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13_ncr:1_{A584EC8A-832E-4C63-B676-4EE430E21779}" xr6:coauthVersionLast="47" xr6:coauthVersionMax="47" xr10:uidLastSave="{00000000-0000-0000-0000-000000000000}"/>
  <bookViews>
    <workbookView xWindow="1155" yWindow="1110" windowWidth="27150" windowHeight="13515" activeTab="3" xr2:uid="{077708AA-6DFC-41E5-8084-56585FA37831}"/>
  </bookViews>
  <sheets>
    <sheet name="Dashboard" sheetId="1" r:id="rId1"/>
    <sheet name="Assumptions" sheetId="2" r:id="rId2"/>
    <sheet name="Projects" sheetId="7" r:id="rId3"/>
    <sheet name="Timeline" sheetId="6" r:id="rId4"/>
    <sheet name="Forecast" sheetId="4" r:id="rId5"/>
    <sheet name="Economics" sheetId="5" r:id="rId6"/>
  </sheets>
  <definedNames>
    <definedName name="_xlnm._FilterDatabase" localSheetId="3" hidden="1">Timeline!$E$18:$E$378</definedName>
    <definedName name="PhaseList">tblPhases[Phase]</definedName>
    <definedName name="pjEnd">Projects!$F$5:$F$1188</definedName>
    <definedName name="pjFee">Projects!$H$5:$H$1188</definedName>
    <definedName name="pjName">Projects!$B$5:$B$1188</definedName>
    <definedName name="pjNo">Projects!$A$5:$A$1188</definedName>
    <definedName name="pjPhase">Projects!$C$5:$C$1188</definedName>
    <definedName name="pjStart">Projects!$E$5:$E$1188</definedName>
    <definedName name="pjStatus">Projects!$D$5:$D$1188</definedName>
    <definedName name="pjTotDir">Projects!$T$5:$T$1188</definedName>
    <definedName name="pjTotHrs">Projects!$P$5:$P$1188</definedName>
    <definedName name="pjTotMid">Projects!$V$5:$V$1188</definedName>
    <definedName name="pjTotPD">Projects!$W$5:$W$1188</definedName>
    <definedName name="pjTotPr">Projects!$S$5:$S$1188</definedName>
    <definedName name="pjTotSD">Projects!$U$5:$U$1188</definedName>
    <definedName name="pjType">Projects!$AC$5:$AC$1188</definedName>
    <definedName name="pjValue">Projects!$X$5:$X$1188</definedName>
    <definedName name="pjWeight">Projects!$AA$5:$AA$1188</definedName>
    <definedName name="pjWk">Projects!$AD$5:$AD$1188</definedName>
    <definedName name="StaffList">tblStaff[Initials]</definedName>
    <definedName name="tlLevel">Timeline!$BJ$20:$BJ$378</definedName>
    <definedName name="tlNo">Timeline!$A$20:$A$378</definedName>
    <definedName name="tlPhase">Timeline!$C$20:$C$378</definedName>
    <definedName name="tlPlaced">Timeline!$F$20:$F$378</definedName>
    <definedName name="tlPool">Timeline!$E$20:$E$378</definedName>
    <definedName name="tlSrc">Timeline!$BI$20:$BI$378</definedName>
    <definedName name="tlStaff">Timeline!$D$20:$D$378</definedName>
    <definedName name="tlWeight">Timeline!$BM$20:$BM$378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7" i="4" l="1"/>
  <c r="D17" i="4" s="1" a="1"/>
  <c r="D17" i="4" s="1"/>
  <c r="AN42" i="4"/>
  <c r="BB42" i="4"/>
  <c r="AK16" i="4" a="1"/>
  <c r="AK16" i="4" s="1"/>
  <c r="AW16" i="4" a="1"/>
  <c r="AW16" i="4" s="1"/>
  <c r="A16" i="4"/>
  <c r="A42" i="4" s="1"/>
  <c r="H42" i="4" s="1"/>
  <c r="A15" i="4"/>
  <c r="BB15" i="4" s="1" a="1"/>
  <c r="BB15" i="4" s="1"/>
  <c r="A14" i="4"/>
  <c r="A13" i="4"/>
  <c r="A12" i="4"/>
  <c r="A25" i="4" s="1"/>
  <c r="X25" i="4" s="1"/>
  <c r="A11" i="4"/>
  <c r="A10" i="4"/>
  <c r="A9" i="4"/>
  <c r="A8" i="4"/>
  <c r="H370" i="6"/>
  <c r="I370" i="6"/>
  <c r="J370" i="6"/>
  <c r="K370" i="6"/>
  <c r="L370" i="6"/>
  <c r="M370" i="6"/>
  <c r="N370" i="6"/>
  <c r="O370" i="6"/>
  <c r="P370" i="6"/>
  <c r="Q370" i="6"/>
  <c r="R370" i="6"/>
  <c r="S370" i="6"/>
  <c r="T370" i="6"/>
  <c r="U370" i="6"/>
  <c r="V370" i="6"/>
  <c r="W370" i="6"/>
  <c r="X370" i="6"/>
  <c r="Y370" i="6"/>
  <c r="Z370" i="6"/>
  <c r="AA370" i="6"/>
  <c r="AB370" i="6"/>
  <c r="AC370" i="6"/>
  <c r="AD370" i="6"/>
  <c r="AE370" i="6"/>
  <c r="AF370" i="6"/>
  <c r="AG370" i="6"/>
  <c r="AH370" i="6"/>
  <c r="AI370" i="6"/>
  <c r="AJ370" i="6"/>
  <c r="AK370" i="6"/>
  <c r="AL370" i="6"/>
  <c r="AM370" i="6"/>
  <c r="AN370" i="6"/>
  <c r="AO370" i="6"/>
  <c r="AP370" i="6"/>
  <c r="AQ370" i="6"/>
  <c r="AR370" i="6"/>
  <c r="AS370" i="6"/>
  <c r="AT370" i="6"/>
  <c r="AU370" i="6"/>
  <c r="AV370" i="6"/>
  <c r="AW370" i="6"/>
  <c r="AX370" i="6"/>
  <c r="AY370" i="6"/>
  <c r="AZ370" i="6"/>
  <c r="BA370" i="6"/>
  <c r="BB370" i="6"/>
  <c r="BC370" i="6"/>
  <c r="BD370" i="6"/>
  <c r="BE370" i="6"/>
  <c r="BF370" i="6"/>
  <c r="BG370" i="6"/>
  <c r="H361" i="6"/>
  <c r="I361" i="6"/>
  <c r="J361" i="6"/>
  <c r="K361" i="6"/>
  <c r="L361" i="6"/>
  <c r="M361" i="6"/>
  <c r="N361" i="6"/>
  <c r="O361" i="6"/>
  <c r="P361" i="6"/>
  <c r="Q361" i="6"/>
  <c r="R361" i="6"/>
  <c r="S361" i="6"/>
  <c r="T361" i="6"/>
  <c r="U361" i="6"/>
  <c r="V361" i="6"/>
  <c r="W361" i="6"/>
  <c r="X361" i="6"/>
  <c r="Y361" i="6"/>
  <c r="Z361" i="6"/>
  <c r="AA361" i="6"/>
  <c r="AB361" i="6"/>
  <c r="AC361" i="6"/>
  <c r="AD361" i="6"/>
  <c r="AE361" i="6"/>
  <c r="AF361" i="6"/>
  <c r="AG361" i="6"/>
  <c r="AH361" i="6"/>
  <c r="AI361" i="6"/>
  <c r="AJ361" i="6"/>
  <c r="AK361" i="6"/>
  <c r="AL361" i="6"/>
  <c r="AM361" i="6"/>
  <c r="AN361" i="6"/>
  <c r="AO361" i="6"/>
  <c r="AP361" i="6"/>
  <c r="AQ361" i="6"/>
  <c r="AR361" i="6"/>
  <c r="AS361" i="6"/>
  <c r="AT361" i="6"/>
  <c r="AU361" i="6"/>
  <c r="AV361" i="6"/>
  <c r="AW361" i="6"/>
  <c r="AX361" i="6"/>
  <c r="AY361" i="6"/>
  <c r="AZ361" i="6"/>
  <c r="BA361" i="6"/>
  <c r="BB361" i="6"/>
  <c r="BC361" i="6"/>
  <c r="BD361" i="6"/>
  <c r="BE361" i="6"/>
  <c r="BF361" i="6"/>
  <c r="BG361" i="6"/>
  <c r="H352" i="6"/>
  <c r="I352" i="6"/>
  <c r="J352" i="6"/>
  <c r="K352" i="6"/>
  <c r="L352" i="6"/>
  <c r="M352" i="6"/>
  <c r="N352" i="6"/>
  <c r="O352" i="6"/>
  <c r="P352" i="6"/>
  <c r="Q352" i="6"/>
  <c r="R352" i="6"/>
  <c r="S352" i="6"/>
  <c r="T352" i="6"/>
  <c r="U352" i="6"/>
  <c r="V352" i="6"/>
  <c r="W352" i="6"/>
  <c r="X352" i="6"/>
  <c r="Y352" i="6"/>
  <c r="Z352" i="6"/>
  <c r="AA352" i="6"/>
  <c r="AB352" i="6"/>
  <c r="AC352" i="6"/>
  <c r="AD352" i="6"/>
  <c r="AE352" i="6"/>
  <c r="AF352" i="6"/>
  <c r="AG352" i="6"/>
  <c r="AH352" i="6"/>
  <c r="AI352" i="6"/>
  <c r="AJ352" i="6"/>
  <c r="AK352" i="6"/>
  <c r="AL352" i="6"/>
  <c r="AM352" i="6"/>
  <c r="AN352" i="6"/>
  <c r="AO352" i="6"/>
  <c r="AP352" i="6"/>
  <c r="AQ352" i="6"/>
  <c r="AR352" i="6"/>
  <c r="AS352" i="6"/>
  <c r="AT352" i="6"/>
  <c r="AU352" i="6"/>
  <c r="AV352" i="6"/>
  <c r="AW352" i="6"/>
  <c r="AX352" i="6"/>
  <c r="AY352" i="6"/>
  <c r="AZ352" i="6"/>
  <c r="BA352" i="6"/>
  <c r="BB352" i="6"/>
  <c r="BC352" i="6"/>
  <c r="BD352" i="6"/>
  <c r="BE352" i="6"/>
  <c r="BF352" i="6"/>
  <c r="BG352" i="6"/>
  <c r="H343" i="6"/>
  <c r="I343" i="6"/>
  <c r="J343" i="6"/>
  <c r="K343" i="6"/>
  <c r="L343" i="6"/>
  <c r="M343" i="6"/>
  <c r="N343" i="6"/>
  <c r="O343" i="6"/>
  <c r="P343" i="6"/>
  <c r="Q343" i="6"/>
  <c r="R343" i="6"/>
  <c r="S343" i="6"/>
  <c r="T343" i="6"/>
  <c r="U343" i="6"/>
  <c r="V343" i="6"/>
  <c r="W343" i="6"/>
  <c r="X343" i="6"/>
  <c r="Y343" i="6"/>
  <c r="Z343" i="6"/>
  <c r="AA343" i="6"/>
  <c r="AB343" i="6"/>
  <c r="AC343" i="6"/>
  <c r="AD343" i="6"/>
  <c r="AE343" i="6"/>
  <c r="AF343" i="6"/>
  <c r="AG343" i="6"/>
  <c r="AH343" i="6"/>
  <c r="AI343" i="6"/>
  <c r="AJ343" i="6"/>
  <c r="AK343" i="6"/>
  <c r="AL343" i="6"/>
  <c r="AM343" i="6"/>
  <c r="AN343" i="6"/>
  <c r="AO343" i="6"/>
  <c r="AP343" i="6"/>
  <c r="AQ343" i="6"/>
  <c r="AR343" i="6"/>
  <c r="AS343" i="6"/>
  <c r="AT343" i="6"/>
  <c r="AU343" i="6"/>
  <c r="AV343" i="6"/>
  <c r="AW343" i="6"/>
  <c r="AX343" i="6"/>
  <c r="AY343" i="6"/>
  <c r="AZ343" i="6"/>
  <c r="BA343" i="6"/>
  <c r="BB343" i="6"/>
  <c r="BC343" i="6"/>
  <c r="BD343" i="6"/>
  <c r="BE343" i="6"/>
  <c r="BF343" i="6"/>
  <c r="BG343" i="6"/>
  <c r="H334" i="6"/>
  <c r="I334" i="6"/>
  <c r="J334" i="6"/>
  <c r="K334" i="6"/>
  <c r="L334" i="6"/>
  <c r="M334" i="6"/>
  <c r="N334" i="6"/>
  <c r="O334" i="6"/>
  <c r="P334" i="6"/>
  <c r="Q334" i="6"/>
  <c r="R334" i="6"/>
  <c r="S334" i="6"/>
  <c r="T334" i="6"/>
  <c r="U334" i="6"/>
  <c r="V334" i="6"/>
  <c r="W334" i="6"/>
  <c r="X334" i="6"/>
  <c r="Y334" i="6"/>
  <c r="Z334" i="6"/>
  <c r="AA334" i="6"/>
  <c r="AB334" i="6"/>
  <c r="AC334" i="6"/>
  <c r="AD334" i="6"/>
  <c r="AE334" i="6"/>
  <c r="AF334" i="6"/>
  <c r="AG334" i="6"/>
  <c r="AH334" i="6"/>
  <c r="AI334" i="6"/>
  <c r="AJ334" i="6"/>
  <c r="AK334" i="6"/>
  <c r="AL334" i="6"/>
  <c r="AM334" i="6"/>
  <c r="AN334" i="6"/>
  <c r="AO334" i="6"/>
  <c r="AP334" i="6"/>
  <c r="AQ334" i="6"/>
  <c r="AR334" i="6"/>
  <c r="AS334" i="6"/>
  <c r="AT334" i="6"/>
  <c r="AU334" i="6"/>
  <c r="AV334" i="6"/>
  <c r="AW334" i="6"/>
  <c r="AX334" i="6"/>
  <c r="AY334" i="6"/>
  <c r="AZ334" i="6"/>
  <c r="BA334" i="6"/>
  <c r="BB334" i="6"/>
  <c r="BC334" i="6"/>
  <c r="BD334" i="6"/>
  <c r="BE334" i="6"/>
  <c r="BF334" i="6"/>
  <c r="BG334" i="6"/>
  <c r="H325" i="6"/>
  <c r="I325" i="6"/>
  <c r="J325" i="6"/>
  <c r="K325" i="6"/>
  <c r="L325" i="6"/>
  <c r="M325" i="6"/>
  <c r="N325" i="6"/>
  <c r="O325" i="6"/>
  <c r="P325" i="6"/>
  <c r="Q325" i="6"/>
  <c r="R325" i="6"/>
  <c r="S325" i="6"/>
  <c r="T325" i="6"/>
  <c r="U325" i="6"/>
  <c r="V325" i="6"/>
  <c r="W325" i="6"/>
  <c r="X325" i="6"/>
  <c r="Y325" i="6"/>
  <c r="Z325" i="6"/>
  <c r="AA325" i="6"/>
  <c r="AB325" i="6"/>
  <c r="AC325" i="6"/>
  <c r="AD325" i="6"/>
  <c r="AE325" i="6"/>
  <c r="AF325" i="6"/>
  <c r="AG325" i="6"/>
  <c r="AH325" i="6"/>
  <c r="AI325" i="6"/>
  <c r="AJ325" i="6"/>
  <c r="AK325" i="6"/>
  <c r="AL325" i="6"/>
  <c r="AM325" i="6"/>
  <c r="AN325" i="6"/>
  <c r="AO325" i="6"/>
  <c r="AP325" i="6"/>
  <c r="AQ325" i="6"/>
  <c r="AR325" i="6"/>
  <c r="AS325" i="6"/>
  <c r="AT325" i="6"/>
  <c r="AU325" i="6"/>
  <c r="AV325" i="6"/>
  <c r="AW325" i="6"/>
  <c r="AX325" i="6"/>
  <c r="AY325" i="6"/>
  <c r="AZ325" i="6"/>
  <c r="BA325" i="6"/>
  <c r="BB325" i="6"/>
  <c r="BC325" i="6"/>
  <c r="BD325" i="6"/>
  <c r="BE325" i="6"/>
  <c r="BF325" i="6"/>
  <c r="BG325" i="6"/>
  <c r="H316" i="6"/>
  <c r="I316" i="6"/>
  <c r="J316" i="6"/>
  <c r="K316" i="6"/>
  <c r="L316" i="6"/>
  <c r="M316" i="6"/>
  <c r="N316" i="6"/>
  <c r="O316" i="6"/>
  <c r="P316" i="6"/>
  <c r="Q316" i="6"/>
  <c r="R316" i="6"/>
  <c r="S316" i="6"/>
  <c r="T316" i="6"/>
  <c r="U316" i="6"/>
  <c r="V316" i="6"/>
  <c r="W316" i="6"/>
  <c r="X316" i="6"/>
  <c r="Y316" i="6"/>
  <c r="Z316" i="6"/>
  <c r="AA316" i="6"/>
  <c r="AB316" i="6"/>
  <c r="AC316" i="6"/>
  <c r="AD316" i="6"/>
  <c r="AE316" i="6"/>
  <c r="AF316" i="6"/>
  <c r="AG316" i="6"/>
  <c r="AH316" i="6"/>
  <c r="AI316" i="6"/>
  <c r="AJ316" i="6"/>
  <c r="AK316" i="6"/>
  <c r="AL316" i="6"/>
  <c r="AM316" i="6"/>
  <c r="AN316" i="6"/>
  <c r="AO316" i="6"/>
  <c r="AP316" i="6"/>
  <c r="AQ316" i="6"/>
  <c r="AR316" i="6"/>
  <c r="AS316" i="6"/>
  <c r="AT316" i="6"/>
  <c r="AU316" i="6"/>
  <c r="AV316" i="6"/>
  <c r="AW316" i="6"/>
  <c r="AX316" i="6"/>
  <c r="AY316" i="6"/>
  <c r="AZ316" i="6"/>
  <c r="BA316" i="6"/>
  <c r="BB316" i="6"/>
  <c r="BC316" i="6"/>
  <c r="BD316" i="6"/>
  <c r="BE316" i="6"/>
  <c r="BF316" i="6"/>
  <c r="BG316" i="6"/>
  <c r="H307" i="6"/>
  <c r="I307" i="6"/>
  <c r="J307" i="6"/>
  <c r="K307" i="6"/>
  <c r="L307" i="6"/>
  <c r="M307" i="6"/>
  <c r="N307" i="6"/>
  <c r="O307" i="6"/>
  <c r="P307" i="6"/>
  <c r="Q307" i="6"/>
  <c r="R307" i="6"/>
  <c r="S307" i="6"/>
  <c r="T307" i="6"/>
  <c r="U307" i="6"/>
  <c r="V307" i="6"/>
  <c r="W307" i="6"/>
  <c r="X307" i="6"/>
  <c r="Y307" i="6"/>
  <c r="Z307" i="6"/>
  <c r="AA307" i="6"/>
  <c r="AB307" i="6"/>
  <c r="AC307" i="6"/>
  <c r="AD307" i="6"/>
  <c r="AE307" i="6"/>
  <c r="AF307" i="6"/>
  <c r="AG307" i="6"/>
  <c r="AH307" i="6"/>
  <c r="AI307" i="6"/>
  <c r="AJ307" i="6"/>
  <c r="AK307" i="6"/>
  <c r="AL307" i="6"/>
  <c r="AM307" i="6"/>
  <c r="AN307" i="6"/>
  <c r="AO307" i="6"/>
  <c r="AP307" i="6"/>
  <c r="AQ307" i="6"/>
  <c r="AR307" i="6"/>
  <c r="AS307" i="6"/>
  <c r="AT307" i="6"/>
  <c r="AU307" i="6"/>
  <c r="AV307" i="6"/>
  <c r="AW307" i="6"/>
  <c r="AX307" i="6"/>
  <c r="AY307" i="6"/>
  <c r="AZ307" i="6"/>
  <c r="BA307" i="6"/>
  <c r="BB307" i="6"/>
  <c r="BC307" i="6"/>
  <c r="BD307" i="6"/>
  <c r="BE307" i="6"/>
  <c r="BF307" i="6"/>
  <c r="BG307" i="6"/>
  <c r="H298" i="6"/>
  <c r="I298" i="6"/>
  <c r="J298" i="6"/>
  <c r="K298" i="6"/>
  <c r="L298" i="6"/>
  <c r="M298" i="6"/>
  <c r="N298" i="6"/>
  <c r="O298" i="6"/>
  <c r="P298" i="6"/>
  <c r="Q298" i="6"/>
  <c r="R298" i="6"/>
  <c r="S298" i="6"/>
  <c r="T298" i="6"/>
  <c r="U298" i="6"/>
  <c r="V298" i="6"/>
  <c r="W298" i="6"/>
  <c r="X298" i="6"/>
  <c r="Y298" i="6"/>
  <c r="Z298" i="6"/>
  <c r="AA298" i="6"/>
  <c r="AB298" i="6"/>
  <c r="AC298" i="6"/>
  <c r="AD298" i="6"/>
  <c r="AE298" i="6"/>
  <c r="AF298" i="6"/>
  <c r="AG298" i="6"/>
  <c r="AH298" i="6"/>
  <c r="AI298" i="6"/>
  <c r="AJ298" i="6"/>
  <c r="AK298" i="6"/>
  <c r="AL298" i="6"/>
  <c r="AM298" i="6"/>
  <c r="AN298" i="6"/>
  <c r="AO298" i="6"/>
  <c r="AP298" i="6"/>
  <c r="AQ298" i="6"/>
  <c r="AR298" i="6"/>
  <c r="AS298" i="6"/>
  <c r="AT298" i="6"/>
  <c r="AU298" i="6"/>
  <c r="AV298" i="6"/>
  <c r="AW298" i="6"/>
  <c r="AX298" i="6"/>
  <c r="AY298" i="6"/>
  <c r="AZ298" i="6"/>
  <c r="BA298" i="6"/>
  <c r="BB298" i="6"/>
  <c r="BC298" i="6"/>
  <c r="BD298" i="6"/>
  <c r="BE298" i="6"/>
  <c r="BF298" i="6"/>
  <c r="BG298" i="6"/>
  <c r="H289" i="6"/>
  <c r="I289" i="6"/>
  <c r="J289" i="6"/>
  <c r="K289" i="6"/>
  <c r="L289" i="6"/>
  <c r="M289" i="6"/>
  <c r="N289" i="6"/>
  <c r="O289" i="6"/>
  <c r="P289" i="6"/>
  <c r="Q289" i="6"/>
  <c r="R289" i="6"/>
  <c r="S289" i="6"/>
  <c r="T289" i="6"/>
  <c r="U289" i="6"/>
  <c r="V289" i="6"/>
  <c r="W289" i="6"/>
  <c r="X289" i="6"/>
  <c r="Y289" i="6"/>
  <c r="Z289" i="6"/>
  <c r="AA289" i="6"/>
  <c r="AB289" i="6"/>
  <c r="AC289" i="6"/>
  <c r="AD289" i="6"/>
  <c r="AE289" i="6"/>
  <c r="AF289" i="6"/>
  <c r="AG289" i="6"/>
  <c r="AH289" i="6"/>
  <c r="AI289" i="6"/>
  <c r="AJ289" i="6"/>
  <c r="AK289" i="6"/>
  <c r="AL289" i="6"/>
  <c r="AM289" i="6"/>
  <c r="AN289" i="6"/>
  <c r="AO289" i="6"/>
  <c r="AP289" i="6"/>
  <c r="AQ289" i="6"/>
  <c r="AR289" i="6"/>
  <c r="AS289" i="6"/>
  <c r="AT289" i="6"/>
  <c r="AU289" i="6"/>
  <c r="AV289" i="6"/>
  <c r="AW289" i="6"/>
  <c r="AX289" i="6"/>
  <c r="AY289" i="6"/>
  <c r="AZ289" i="6"/>
  <c r="BA289" i="6"/>
  <c r="BB289" i="6"/>
  <c r="BC289" i="6"/>
  <c r="BD289" i="6"/>
  <c r="BE289" i="6"/>
  <c r="BF289" i="6"/>
  <c r="BG289" i="6"/>
  <c r="H280" i="6"/>
  <c r="I280" i="6"/>
  <c r="J280" i="6"/>
  <c r="K280" i="6"/>
  <c r="L280" i="6"/>
  <c r="M280" i="6"/>
  <c r="N280" i="6"/>
  <c r="O280" i="6"/>
  <c r="P280" i="6"/>
  <c r="Q280" i="6"/>
  <c r="R280" i="6"/>
  <c r="S280" i="6"/>
  <c r="T280" i="6"/>
  <c r="U280" i="6"/>
  <c r="V280" i="6"/>
  <c r="W280" i="6"/>
  <c r="X280" i="6"/>
  <c r="Y280" i="6"/>
  <c r="Z280" i="6"/>
  <c r="AA280" i="6"/>
  <c r="AB280" i="6"/>
  <c r="AC280" i="6"/>
  <c r="AD280" i="6"/>
  <c r="AE280" i="6"/>
  <c r="AF280" i="6"/>
  <c r="AG280" i="6"/>
  <c r="AH280" i="6"/>
  <c r="AI280" i="6"/>
  <c r="AJ280" i="6"/>
  <c r="AK280" i="6"/>
  <c r="AL280" i="6"/>
  <c r="AM280" i="6"/>
  <c r="AN280" i="6"/>
  <c r="AO280" i="6"/>
  <c r="AP280" i="6"/>
  <c r="AQ280" i="6"/>
  <c r="AR280" i="6"/>
  <c r="AS280" i="6"/>
  <c r="AT280" i="6"/>
  <c r="AU280" i="6"/>
  <c r="AV280" i="6"/>
  <c r="AW280" i="6"/>
  <c r="AX280" i="6"/>
  <c r="AY280" i="6"/>
  <c r="AZ280" i="6"/>
  <c r="BA280" i="6"/>
  <c r="BB280" i="6"/>
  <c r="BC280" i="6"/>
  <c r="BD280" i="6"/>
  <c r="BE280" i="6"/>
  <c r="BF280" i="6"/>
  <c r="BG280" i="6"/>
  <c r="H271" i="6"/>
  <c r="I271" i="6"/>
  <c r="J271" i="6"/>
  <c r="K271" i="6"/>
  <c r="L271" i="6"/>
  <c r="M271" i="6"/>
  <c r="N271" i="6"/>
  <c r="O271" i="6"/>
  <c r="P271" i="6"/>
  <c r="Q271" i="6"/>
  <c r="R271" i="6"/>
  <c r="S271" i="6"/>
  <c r="T271" i="6"/>
  <c r="U271" i="6"/>
  <c r="V271" i="6"/>
  <c r="W271" i="6"/>
  <c r="X271" i="6"/>
  <c r="Y271" i="6"/>
  <c r="Z271" i="6"/>
  <c r="AA271" i="6"/>
  <c r="AB271" i="6"/>
  <c r="AC271" i="6"/>
  <c r="AD271" i="6"/>
  <c r="AE271" i="6"/>
  <c r="AF271" i="6"/>
  <c r="AG271" i="6"/>
  <c r="AH271" i="6"/>
  <c r="AI271" i="6"/>
  <c r="AJ271" i="6"/>
  <c r="AK271" i="6"/>
  <c r="AL271" i="6"/>
  <c r="AM271" i="6"/>
  <c r="AN271" i="6"/>
  <c r="AO271" i="6"/>
  <c r="AP271" i="6"/>
  <c r="AQ271" i="6"/>
  <c r="AR271" i="6"/>
  <c r="AS271" i="6"/>
  <c r="AT271" i="6"/>
  <c r="AU271" i="6"/>
  <c r="AV271" i="6"/>
  <c r="AW271" i="6"/>
  <c r="AX271" i="6"/>
  <c r="AY271" i="6"/>
  <c r="AZ271" i="6"/>
  <c r="BA271" i="6"/>
  <c r="BB271" i="6"/>
  <c r="BC271" i="6"/>
  <c r="BD271" i="6"/>
  <c r="BE271" i="6"/>
  <c r="BF271" i="6"/>
  <c r="BG271" i="6"/>
  <c r="H262" i="6"/>
  <c r="I262" i="6"/>
  <c r="J262" i="6"/>
  <c r="K262" i="6"/>
  <c r="L262" i="6"/>
  <c r="M262" i="6"/>
  <c r="N262" i="6"/>
  <c r="O262" i="6"/>
  <c r="P262" i="6"/>
  <c r="Q262" i="6"/>
  <c r="R262" i="6"/>
  <c r="S262" i="6"/>
  <c r="T262" i="6"/>
  <c r="U262" i="6"/>
  <c r="V262" i="6"/>
  <c r="W262" i="6"/>
  <c r="X262" i="6"/>
  <c r="Y262" i="6"/>
  <c r="Z262" i="6"/>
  <c r="AA262" i="6"/>
  <c r="AB262" i="6"/>
  <c r="AC262" i="6"/>
  <c r="AD262" i="6"/>
  <c r="AE262" i="6"/>
  <c r="AF262" i="6"/>
  <c r="AG262" i="6"/>
  <c r="AH262" i="6"/>
  <c r="AI262" i="6"/>
  <c r="AJ262" i="6"/>
  <c r="AK262" i="6"/>
  <c r="AL262" i="6"/>
  <c r="AM262" i="6"/>
  <c r="AN262" i="6"/>
  <c r="AO262" i="6"/>
  <c r="AP262" i="6"/>
  <c r="AQ262" i="6"/>
  <c r="AR262" i="6"/>
  <c r="AS262" i="6"/>
  <c r="AT262" i="6"/>
  <c r="AU262" i="6"/>
  <c r="AV262" i="6"/>
  <c r="AW262" i="6"/>
  <c r="AX262" i="6"/>
  <c r="AY262" i="6"/>
  <c r="AZ262" i="6"/>
  <c r="BA262" i="6"/>
  <c r="BB262" i="6"/>
  <c r="BC262" i="6"/>
  <c r="BD262" i="6"/>
  <c r="BE262" i="6"/>
  <c r="BF262" i="6"/>
  <c r="BG262" i="6"/>
  <c r="H253" i="6"/>
  <c r="I253" i="6"/>
  <c r="J253" i="6"/>
  <c r="K253" i="6"/>
  <c r="L253" i="6"/>
  <c r="M253" i="6"/>
  <c r="N253" i="6"/>
  <c r="O253" i="6"/>
  <c r="P253" i="6"/>
  <c r="Q253" i="6"/>
  <c r="R253" i="6"/>
  <c r="S253" i="6"/>
  <c r="T253" i="6"/>
  <c r="U253" i="6"/>
  <c r="V253" i="6"/>
  <c r="W253" i="6"/>
  <c r="X253" i="6"/>
  <c r="Y253" i="6"/>
  <c r="Z253" i="6"/>
  <c r="AA253" i="6"/>
  <c r="AB253" i="6"/>
  <c r="AC253" i="6"/>
  <c r="AD253" i="6"/>
  <c r="AE253" i="6"/>
  <c r="AF253" i="6"/>
  <c r="AG253" i="6"/>
  <c r="AH253" i="6"/>
  <c r="AI253" i="6"/>
  <c r="AJ253" i="6"/>
  <c r="AK253" i="6"/>
  <c r="AL253" i="6"/>
  <c r="AM253" i="6"/>
  <c r="AN253" i="6"/>
  <c r="AO253" i="6"/>
  <c r="AP253" i="6"/>
  <c r="AQ253" i="6"/>
  <c r="AR253" i="6"/>
  <c r="AS253" i="6"/>
  <c r="AT253" i="6"/>
  <c r="AU253" i="6"/>
  <c r="AV253" i="6"/>
  <c r="AW253" i="6"/>
  <c r="AX253" i="6"/>
  <c r="AY253" i="6"/>
  <c r="AZ253" i="6"/>
  <c r="BA253" i="6"/>
  <c r="BB253" i="6"/>
  <c r="BC253" i="6"/>
  <c r="BD253" i="6"/>
  <c r="BE253" i="6"/>
  <c r="BF253" i="6"/>
  <c r="BG253" i="6"/>
  <c r="H244" i="6"/>
  <c r="I244" i="6"/>
  <c r="J244" i="6"/>
  <c r="K244" i="6"/>
  <c r="L244" i="6"/>
  <c r="M244" i="6"/>
  <c r="N244" i="6"/>
  <c r="O244" i="6"/>
  <c r="P244" i="6"/>
  <c r="Q244" i="6"/>
  <c r="R244" i="6"/>
  <c r="S244" i="6"/>
  <c r="T244" i="6"/>
  <c r="U244" i="6"/>
  <c r="V244" i="6"/>
  <c r="W244" i="6"/>
  <c r="X244" i="6"/>
  <c r="Y244" i="6"/>
  <c r="Z244" i="6"/>
  <c r="AA244" i="6"/>
  <c r="AB244" i="6"/>
  <c r="AC244" i="6"/>
  <c r="AD244" i="6"/>
  <c r="AE244" i="6"/>
  <c r="AF244" i="6"/>
  <c r="AG244" i="6"/>
  <c r="AH244" i="6"/>
  <c r="AI244" i="6"/>
  <c r="AJ244" i="6"/>
  <c r="AK244" i="6"/>
  <c r="AL244" i="6"/>
  <c r="AM244" i="6"/>
  <c r="AN244" i="6"/>
  <c r="AO244" i="6"/>
  <c r="AP244" i="6"/>
  <c r="AQ244" i="6"/>
  <c r="AR244" i="6"/>
  <c r="AS244" i="6"/>
  <c r="AT244" i="6"/>
  <c r="AU244" i="6"/>
  <c r="AV244" i="6"/>
  <c r="AW244" i="6"/>
  <c r="AX244" i="6"/>
  <c r="AY244" i="6"/>
  <c r="AZ244" i="6"/>
  <c r="BA244" i="6"/>
  <c r="BB244" i="6"/>
  <c r="BC244" i="6"/>
  <c r="BD244" i="6"/>
  <c r="BE244" i="6"/>
  <c r="BF244" i="6"/>
  <c r="BG244" i="6"/>
  <c r="H235" i="6"/>
  <c r="I235" i="6"/>
  <c r="J235" i="6"/>
  <c r="K235" i="6"/>
  <c r="L235" i="6"/>
  <c r="M235" i="6"/>
  <c r="N235" i="6"/>
  <c r="O235" i="6"/>
  <c r="P235" i="6"/>
  <c r="Q235" i="6"/>
  <c r="R235" i="6"/>
  <c r="S235" i="6"/>
  <c r="T235" i="6"/>
  <c r="U235" i="6"/>
  <c r="V235" i="6"/>
  <c r="W235" i="6"/>
  <c r="X235" i="6"/>
  <c r="Y235" i="6"/>
  <c r="Z235" i="6"/>
  <c r="AA235" i="6"/>
  <c r="AB235" i="6"/>
  <c r="AC235" i="6"/>
  <c r="AD235" i="6"/>
  <c r="AE235" i="6"/>
  <c r="AF235" i="6"/>
  <c r="AG235" i="6"/>
  <c r="AH235" i="6"/>
  <c r="AI235" i="6"/>
  <c r="AJ235" i="6"/>
  <c r="AK235" i="6"/>
  <c r="AL235" i="6"/>
  <c r="AM235" i="6"/>
  <c r="AN235" i="6"/>
  <c r="AO235" i="6"/>
  <c r="AP235" i="6"/>
  <c r="AQ235" i="6"/>
  <c r="AR235" i="6"/>
  <c r="AS235" i="6"/>
  <c r="AT235" i="6"/>
  <c r="AU235" i="6"/>
  <c r="AV235" i="6"/>
  <c r="AW235" i="6"/>
  <c r="AX235" i="6"/>
  <c r="AY235" i="6"/>
  <c r="AZ235" i="6"/>
  <c r="BA235" i="6"/>
  <c r="BB235" i="6"/>
  <c r="BC235" i="6"/>
  <c r="BD235" i="6"/>
  <c r="BE235" i="6"/>
  <c r="BF235" i="6"/>
  <c r="BG235" i="6"/>
  <c r="H226" i="6"/>
  <c r="I226" i="6"/>
  <c r="J226" i="6"/>
  <c r="K226" i="6"/>
  <c r="L226" i="6"/>
  <c r="M226" i="6"/>
  <c r="N226" i="6"/>
  <c r="O226" i="6"/>
  <c r="P226" i="6"/>
  <c r="Q226" i="6"/>
  <c r="R226" i="6"/>
  <c r="S226" i="6"/>
  <c r="T226" i="6"/>
  <c r="U226" i="6"/>
  <c r="V226" i="6"/>
  <c r="W226" i="6"/>
  <c r="X226" i="6"/>
  <c r="Y226" i="6"/>
  <c r="Z226" i="6"/>
  <c r="AA226" i="6"/>
  <c r="AB226" i="6"/>
  <c r="AC226" i="6"/>
  <c r="AD226" i="6"/>
  <c r="AE226" i="6"/>
  <c r="AF226" i="6"/>
  <c r="AG226" i="6"/>
  <c r="AH226" i="6"/>
  <c r="AI226" i="6"/>
  <c r="AJ226" i="6"/>
  <c r="AK226" i="6"/>
  <c r="AL226" i="6"/>
  <c r="AM226" i="6"/>
  <c r="AN226" i="6"/>
  <c r="AO226" i="6"/>
  <c r="AP226" i="6"/>
  <c r="AQ226" i="6"/>
  <c r="AR226" i="6"/>
  <c r="AS226" i="6"/>
  <c r="AT226" i="6"/>
  <c r="AU226" i="6"/>
  <c r="AV226" i="6"/>
  <c r="AW226" i="6"/>
  <c r="AX226" i="6"/>
  <c r="AY226" i="6"/>
  <c r="AZ226" i="6"/>
  <c r="BA226" i="6"/>
  <c r="BB226" i="6"/>
  <c r="BC226" i="6"/>
  <c r="BD226" i="6"/>
  <c r="BE226" i="6"/>
  <c r="BF226" i="6"/>
  <c r="BG226" i="6"/>
  <c r="H217" i="6"/>
  <c r="I217" i="6"/>
  <c r="J217" i="6"/>
  <c r="K217" i="6"/>
  <c r="L217" i="6"/>
  <c r="M217" i="6"/>
  <c r="N217" i="6"/>
  <c r="O217" i="6"/>
  <c r="P217" i="6"/>
  <c r="Q217" i="6"/>
  <c r="R217" i="6"/>
  <c r="S217" i="6"/>
  <c r="T217" i="6"/>
  <c r="U217" i="6"/>
  <c r="V217" i="6"/>
  <c r="W217" i="6"/>
  <c r="X217" i="6"/>
  <c r="Y217" i="6"/>
  <c r="Z217" i="6"/>
  <c r="AA217" i="6"/>
  <c r="AB217" i="6"/>
  <c r="AC217" i="6"/>
  <c r="AD217" i="6"/>
  <c r="AE217" i="6"/>
  <c r="AF217" i="6"/>
  <c r="AG217" i="6"/>
  <c r="AH217" i="6"/>
  <c r="AI217" i="6"/>
  <c r="AJ217" i="6"/>
  <c r="AK217" i="6"/>
  <c r="AL217" i="6"/>
  <c r="AM217" i="6"/>
  <c r="AN217" i="6"/>
  <c r="AO217" i="6"/>
  <c r="AP217" i="6"/>
  <c r="AQ217" i="6"/>
  <c r="AR217" i="6"/>
  <c r="AS217" i="6"/>
  <c r="AT217" i="6"/>
  <c r="AU217" i="6"/>
  <c r="AV217" i="6"/>
  <c r="AW217" i="6"/>
  <c r="AX217" i="6"/>
  <c r="AY217" i="6"/>
  <c r="AZ217" i="6"/>
  <c r="BA217" i="6"/>
  <c r="BB217" i="6"/>
  <c r="BC217" i="6"/>
  <c r="BD217" i="6"/>
  <c r="BE217" i="6"/>
  <c r="BF217" i="6"/>
  <c r="BG217" i="6"/>
  <c r="H208" i="6"/>
  <c r="I208" i="6"/>
  <c r="J208" i="6"/>
  <c r="K208" i="6"/>
  <c r="L208" i="6"/>
  <c r="M208" i="6"/>
  <c r="N208" i="6"/>
  <c r="O208" i="6"/>
  <c r="P208" i="6"/>
  <c r="Q208" i="6"/>
  <c r="R208" i="6"/>
  <c r="S208" i="6"/>
  <c r="T208" i="6"/>
  <c r="U208" i="6"/>
  <c r="V208" i="6"/>
  <c r="W208" i="6"/>
  <c r="X208" i="6"/>
  <c r="Y208" i="6"/>
  <c r="Z208" i="6"/>
  <c r="AA208" i="6"/>
  <c r="AB208" i="6"/>
  <c r="AC208" i="6"/>
  <c r="AD208" i="6"/>
  <c r="AE208" i="6"/>
  <c r="AF208" i="6"/>
  <c r="AG208" i="6"/>
  <c r="AH208" i="6"/>
  <c r="AI208" i="6"/>
  <c r="AJ208" i="6"/>
  <c r="AK208" i="6"/>
  <c r="AL208" i="6"/>
  <c r="AM208" i="6"/>
  <c r="AN208" i="6"/>
  <c r="AO208" i="6"/>
  <c r="AP208" i="6"/>
  <c r="AQ208" i="6"/>
  <c r="AR208" i="6"/>
  <c r="AS208" i="6"/>
  <c r="AT208" i="6"/>
  <c r="AU208" i="6"/>
  <c r="AV208" i="6"/>
  <c r="AW208" i="6"/>
  <c r="AX208" i="6"/>
  <c r="AY208" i="6"/>
  <c r="AZ208" i="6"/>
  <c r="BA208" i="6"/>
  <c r="BB208" i="6"/>
  <c r="BC208" i="6"/>
  <c r="BD208" i="6"/>
  <c r="BE208" i="6"/>
  <c r="BF208" i="6"/>
  <c r="BG208" i="6"/>
  <c r="H199" i="6"/>
  <c r="I199" i="6"/>
  <c r="J199" i="6"/>
  <c r="K199" i="6"/>
  <c r="L199" i="6"/>
  <c r="M199" i="6"/>
  <c r="N199" i="6"/>
  <c r="O199" i="6"/>
  <c r="P199" i="6"/>
  <c r="Q199" i="6"/>
  <c r="R199" i="6"/>
  <c r="S199" i="6"/>
  <c r="T199" i="6"/>
  <c r="U199" i="6"/>
  <c r="V199" i="6"/>
  <c r="W199" i="6"/>
  <c r="X199" i="6"/>
  <c r="Y199" i="6"/>
  <c r="Z199" i="6"/>
  <c r="AA199" i="6"/>
  <c r="AB199" i="6"/>
  <c r="AC199" i="6"/>
  <c r="AD199" i="6"/>
  <c r="AE199" i="6"/>
  <c r="AF199" i="6"/>
  <c r="AG199" i="6"/>
  <c r="AH199" i="6"/>
  <c r="AI199" i="6"/>
  <c r="AJ199" i="6"/>
  <c r="AK199" i="6"/>
  <c r="AL199" i="6"/>
  <c r="AM199" i="6"/>
  <c r="AN199" i="6"/>
  <c r="AO199" i="6"/>
  <c r="AP199" i="6"/>
  <c r="AQ199" i="6"/>
  <c r="AR199" i="6"/>
  <c r="AS199" i="6"/>
  <c r="AT199" i="6"/>
  <c r="AU199" i="6"/>
  <c r="AV199" i="6"/>
  <c r="AW199" i="6"/>
  <c r="AX199" i="6"/>
  <c r="AY199" i="6"/>
  <c r="AZ199" i="6"/>
  <c r="BA199" i="6"/>
  <c r="BB199" i="6"/>
  <c r="BC199" i="6"/>
  <c r="BD199" i="6"/>
  <c r="BE199" i="6"/>
  <c r="BF199" i="6"/>
  <c r="BG199" i="6"/>
  <c r="H190" i="6"/>
  <c r="I190" i="6"/>
  <c r="J190" i="6"/>
  <c r="K190" i="6"/>
  <c r="L190" i="6"/>
  <c r="M190" i="6"/>
  <c r="N190" i="6"/>
  <c r="O190" i="6"/>
  <c r="P190" i="6"/>
  <c r="Q190" i="6"/>
  <c r="R190" i="6"/>
  <c r="S190" i="6"/>
  <c r="T190" i="6"/>
  <c r="U190" i="6"/>
  <c r="V190" i="6"/>
  <c r="W190" i="6"/>
  <c r="X190" i="6"/>
  <c r="Y190" i="6"/>
  <c r="Z190" i="6"/>
  <c r="AA190" i="6"/>
  <c r="AB190" i="6"/>
  <c r="AC190" i="6"/>
  <c r="AD190" i="6"/>
  <c r="AE190" i="6"/>
  <c r="AF190" i="6"/>
  <c r="AG190" i="6"/>
  <c r="AH190" i="6"/>
  <c r="AI190" i="6"/>
  <c r="AJ190" i="6"/>
  <c r="AK190" i="6"/>
  <c r="AL190" i="6"/>
  <c r="AM190" i="6"/>
  <c r="AN190" i="6"/>
  <c r="AO190" i="6"/>
  <c r="AP190" i="6"/>
  <c r="AQ190" i="6"/>
  <c r="AR190" i="6"/>
  <c r="AS190" i="6"/>
  <c r="AT190" i="6"/>
  <c r="AU190" i="6"/>
  <c r="AV190" i="6"/>
  <c r="AW190" i="6"/>
  <c r="AX190" i="6"/>
  <c r="AY190" i="6"/>
  <c r="AZ190" i="6"/>
  <c r="BA190" i="6"/>
  <c r="BB190" i="6"/>
  <c r="BC190" i="6"/>
  <c r="BD190" i="6"/>
  <c r="BE190" i="6"/>
  <c r="BF190" i="6"/>
  <c r="BG190" i="6"/>
  <c r="H181" i="6"/>
  <c r="I181" i="6"/>
  <c r="J181" i="6"/>
  <c r="K181" i="6"/>
  <c r="L181" i="6"/>
  <c r="M181" i="6"/>
  <c r="N181" i="6"/>
  <c r="O181" i="6"/>
  <c r="P181" i="6"/>
  <c r="Q181" i="6"/>
  <c r="R181" i="6"/>
  <c r="S181" i="6"/>
  <c r="T181" i="6"/>
  <c r="U181" i="6"/>
  <c r="V181" i="6"/>
  <c r="W181" i="6"/>
  <c r="X181" i="6"/>
  <c r="Y181" i="6"/>
  <c r="Z181" i="6"/>
  <c r="AA181" i="6"/>
  <c r="AB181" i="6"/>
  <c r="AC181" i="6"/>
  <c r="AD181" i="6"/>
  <c r="AE181" i="6"/>
  <c r="AF181" i="6"/>
  <c r="AG181" i="6"/>
  <c r="AH181" i="6"/>
  <c r="AI181" i="6"/>
  <c r="AJ181" i="6"/>
  <c r="AK181" i="6"/>
  <c r="AL181" i="6"/>
  <c r="AM181" i="6"/>
  <c r="AN181" i="6"/>
  <c r="AO181" i="6"/>
  <c r="AP181" i="6"/>
  <c r="AQ181" i="6"/>
  <c r="AR181" i="6"/>
  <c r="AS181" i="6"/>
  <c r="AT181" i="6"/>
  <c r="AU181" i="6"/>
  <c r="AV181" i="6"/>
  <c r="AW181" i="6"/>
  <c r="AX181" i="6"/>
  <c r="AY181" i="6"/>
  <c r="AZ181" i="6"/>
  <c r="BA181" i="6"/>
  <c r="BB181" i="6"/>
  <c r="BC181" i="6"/>
  <c r="BD181" i="6"/>
  <c r="BE181" i="6"/>
  <c r="BF181" i="6"/>
  <c r="BG181" i="6"/>
  <c r="H172" i="6"/>
  <c r="I172" i="6"/>
  <c r="J172" i="6"/>
  <c r="K172" i="6"/>
  <c r="L172" i="6"/>
  <c r="M172" i="6"/>
  <c r="N172" i="6"/>
  <c r="O172" i="6"/>
  <c r="P172" i="6"/>
  <c r="Q172" i="6"/>
  <c r="R172" i="6"/>
  <c r="S172" i="6"/>
  <c r="T172" i="6"/>
  <c r="U172" i="6"/>
  <c r="V172" i="6"/>
  <c r="W172" i="6"/>
  <c r="X172" i="6"/>
  <c r="Y172" i="6"/>
  <c r="Z172" i="6"/>
  <c r="AA172" i="6"/>
  <c r="AB172" i="6"/>
  <c r="AC172" i="6"/>
  <c r="AD172" i="6"/>
  <c r="AE172" i="6"/>
  <c r="AF172" i="6"/>
  <c r="AG172" i="6"/>
  <c r="AH172" i="6"/>
  <c r="AI172" i="6"/>
  <c r="AJ172" i="6"/>
  <c r="AK172" i="6"/>
  <c r="AL172" i="6"/>
  <c r="AM172" i="6"/>
  <c r="AN172" i="6"/>
  <c r="AO172" i="6"/>
  <c r="AP172" i="6"/>
  <c r="AQ172" i="6"/>
  <c r="AR172" i="6"/>
  <c r="AS172" i="6"/>
  <c r="AT172" i="6"/>
  <c r="AU172" i="6"/>
  <c r="AV172" i="6"/>
  <c r="AW172" i="6"/>
  <c r="AX172" i="6"/>
  <c r="AY172" i="6"/>
  <c r="AZ172" i="6"/>
  <c r="BA172" i="6"/>
  <c r="BB172" i="6"/>
  <c r="BC172" i="6"/>
  <c r="BD172" i="6"/>
  <c r="BE172" i="6"/>
  <c r="BF172" i="6"/>
  <c r="BG172" i="6"/>
  <c r="H163" i="6"/>
  <c r="I163" i="6"/>
  <c r="J163" i="6"/>
  <c r="K163" i="6"/>
  <c r="L163" i="6"/>
  <c r="M163" i="6"/>
  <c r="N163" i="6"/>
  <c r="O163" i="6"/>
  <c r="P163" i="6"/>
  <c r="Q163" i="6"/>
  <c r="R163" i="6"/>
  <c r="S163" i="6"/>
  <c r="T163" i="6"/>
  <c r="U163" i="6"/>
  <c r="V163" i="6"/>
  <c r="W163" i="6"/>
  <c r="X163" i="6"/>
  <c r="Y163" i="6"/>
  <c r="Z163" i="6"/>
  <c r="AA163" i="6"/>
  <c r="AB163" i="6"/>
  <c r="AC163" i="6"/>
  <c r="AD163" i="6"/>
  <c r="AE163" i="6"/>
  <c r="AF163" i="6"/>
  <c r="AG163" i="6"/>
  <c r="AH163" i="6"/>
  <c r="AI163" i="6"/>
  <c r="AJ163" i="6"/>
  <c r="AK163" i="6"/>
  <c r="AL163" i="6"/>
  <c r="AM163" i="6"/>
  <c r="AN163" i="6"/>
  <c r="AO163" i="6"/>
  <c r="AP163" i="6"/>
  <c r="AQ163" i="6"/>
  <c r="AR163" i="6"/>
  <c r="AS163" i="6"/>
  <c r="AT163" i="6"/>
  <c r="AU163" i="6"/>
  <c r="AV163" i="6"/>
  <c r="AW163" i="6"/>
  <c r="AX163" i="6"/>
  <c r="AY163" i="6"/>
  <c r="AZ163" i="6"/>
  <c r="BA163" i="6"/>
  <c r="BB163" i="6"/>
  <c r="BC163" i="6"/>
  <c r="BD163" i="6"/>
  <c r="BE163" i="6"/>
  <c r="BF163" i="6"/>
  <c r="BG163" i="6"/>
  <c r="H154" i="6"/>
  <c r="I154" i="6"/>
  <c r="J154" i="6"/>
  <c r="K154" i="6"/>
  <c r="L154" i="6"/>
  <c r="M154" i="6"/>
  <c r="N154" i="6"/>
  <c r="O154" i="6"/>
  <c r="P154" i="6"/>
  <c r="Q154" i="6"/>
  <c r="R154" i="6"/>
  <c r="S154" i="6"/>
  <c r="T154" i="6"/>
  <c r="U154" i="6"/>
  <c r="V154" i="6"/>
  <c r="W154" i="6"/>
  <c r="X154" i="6"/>
  <c r="Y154" i="6"/>
  <c r="Z154" i="6"/>
  <c r="AA154" i="6"/>
  <c r="AB154" i="6"/>
  <c r="AC154" i="6"/>
  <c r="AD154" i="6"/>
  <c r="AE154" i="6"/>
  <c r="AF154" i="6"/>
  <c r="AG154" i="6"/>
  <c r="AH154" i="6"/>
  <c r="AI154" i="6"/>
  <c r="AJ154" i="6"/>
  <c r="AK154" i="6"/>
  <c r="AL154" i="6"/>
  <c r="AM154" i="6"/>
  <c r="AN154" i="6"/>
  <c r="AO154" i="6"/>
  <c r="AP154" i="6"/>
  <c r="AQ154" i="6"/>
  <c r="AR154" i="6"/>
  <c r="AS154" i="6"/>
  <c r="AT154" i="6"/>
  <c r="AU154" i="6"/>
  <c r="AV154" i="6"/>
  <c r="AW154" i="6"/>
  <c r="AX154" i="6"/>
  <c r="AY154" i="6"/>
  <c r="AZ154" i="6"/>
  <c r="BA154" i="6"/>
  <c r="BB154" i="6"/>
  <c r="BC154" i="6"/>
  <c r="BD154" i="6"/>
  <c r="BE154" i="6"/>
  <c r="BF154" i="6"/>
  <c r="BG154" i="6"/>
  <c r="H145" i="6"/>
  <c r="I145" i="6"/>
  <c r="J145" i="6"/>
  <c r="K145" i="6"/>
  <c r="L145" i="6"/>
  <c r="M145" i="6"/>
  <c r="N145" i="6"/>
  <c r="O145" i="6"/>
  <c r="P145" i="6"/>
  <c r="Q145" i="6"/>
  <c r="R145" i="6"/>
  <c r="S145" i="6"/>
  <c r="T145" i="6"/>
  <c r="U145" i="6"/>
  <c r="V145" i="6"/>
  <c r="W145" i="6"/>
  <c r="X145" i="6"/>
  <c r="Y145" i="6"/>
  <c r="Z145" i="6"/>
  <c r="AA145" i="6"/>
  <c r="AB145" i="6"/>
  <c r="AC145" i="6"/>
  <c r="AD145" i="6"/>
  <c r="AE145" i="6"/>
  <c r="AF145" i="6"/>
  <c r="AG145" i="6"/>
  <c r="AH145" i="6"/>
  <c r="AI145" i="6"/>
  <c r="AJ145" i="6"/>
  <c r="AK145" i="6"/>
  <c r="AL145" i="6"/>
  <c r="AM145" i="6"/>
  <c r="AN145" i="6"/>
  <c r="AO145" i="6"/>
  <c r="AP145" i="6"/>
  <c r="AQ145" i="6"/>
  <c r="AR145" i="6"/>
  <c r="AS145" i="6"/>
  <c r="AT145" i="6"/>
  <c r="AU145" i="6"/>
  <c r="AV145" i="6"/>
  <c r="AW145" i="6"/>
  <c r="AX145" i="6"/>
  <c r="AY145" i="6"/>
  <c r="AZ145" i="6"/>
  <c r="BA145" i="6"/>
  <c r="BB145" i="6"/>
  <c r="BC145" i="6"/>
  <c r="BD145" i="6"/>
  <c r="BE145" i="6"/>
  <c r="BF145" i="6"/>
  <c r="BG145" i="6"/>
  <c r="H136" i="6"/>
  <c r="I136" i="6"/>
  <c r="J136" i="6"/>
  <c r="K136" i="6"/>
  <c r="L136" i="6"/>
  <c r="M136" i="6"/>
  <c r="N136" i="6"/>
  <c r="O136" i="6"/>
  <c r="P136" i="6"/>
  <c r="Q136" i="6"/>
  <c r="R136" i="6"/>
  <c r="S136" i="6"/>
  <c r="T136" i="6"/>
  <c r="U136" i="6"/>
  <c r="V136" i="6"/>
  <c r="W136" i="6"/>
  <c r="X136" i="6"/>
  <c r="Y136" i="6"/>
  <c r="Z136" i="6"/>
  <c r="AA136" i="6"/>
  <c r="AB136" i="6"/>
  <c r="AC136" i="6"/>
  <c r="AD136" i="6"/>
  <c r="AE136" i="6"/>
  <c r="AF136" i="6"/>
  <c r="AG136" i="6"/>
  <c r="AH136" i="6"/>
  <c r="AI136" i="6"/>
  <c r="AJ136" i="6"/>
  <c r="AK136" i="6"/>
  <c r="AL136" i="6"/>
  <c r="AM136" i="6"/>
  <c r="AN136" i="6"/>
  <c r="AO136" i="6"/>
  <c r="AP136" i="6"/>
  <c r="AQ136" i="6"/>
  <c r="AR136" i="6"/>
  <c r="AS136" i="6"/>
  <c r="AT136" i="6"/>
  <c r="AU136" i="6"/>
  <c r="AV136" i="6"/>
  <c r="AW136" i="6"/>
  <c r="AX136" i="6"/>
  <c r="AY136" i="6"/>
  <c r="AZ136" i="6"/>
  <c r="BA136" i="6"/>
  <c r="BB136" i="6"/>
  <c r="BC136" i="6"/>
  <c r="BD136" i="6"/>
  <c r="BE136" i="6"/>
  <c r="BF136" i="6"/>
  <c r="BG136" i="6"/>
  <c r="H127" i="6"/>
  <c r="I127" i="6"/>
  <c r="J127" i="6"/>
  <c r="K127" i="6"/>
  <c r="L127" i="6"/>
  <c r="M127" i="6"/>
  <c r="N127" i="6"/>
  <c r="O127" i="6"/>
  <c r="P127" i="6"/>
  <c r="Q127" i="6"/>
  <c r="R127" i="6"/>
  <c r="S127" i="6"/>
  <c r="T127" i="6"/>
  <c r="U127" i="6"/>
  <c r="V127" i="6"/>
  <c r="W127" i="6"/>
  <c r="X127" i="6"/>
  <c r="Y127" i="6"/>
  <c r="Z127" i="6"/>
  <c r="AA127" i="6"/>
  <c r="AB127" i="6"/>
  <c r="AC127" i="6"/>
  <c r="AD127" i="6"/>
  <c r="AE127" i="6"/>
  <c r="AF127" i="6"/>
  <c r="AG127" i="6"/>
  <c r="AH127" i="6"/>
  <c r="AI127" i="6"/>
  <c r="AJ127" i="6"/>
  <c r="AK127" i="6"/>
  <c r="AL127" i="6"/>
  <c r="AM127" i="6"/>
  <c r="AN127" i="6"/>
  <c r="AO127" i="6"/>
  <c r="AP127" i="6"/>
  <c r="AQ127" i="6"/>
  <c r="AR127" i="6"/>
  <c r="AS127" i="6"/>
  <c r="AT127" i="6"/>
  <c r="AU127" i="6"/>
  <c r="AV127" i="6"/>
  <c r="AW127" i="6"/>
  <c r="AX127" i="6"/>
  <c r="AY127" i="6"/>
  <c r="AZ127" i="6"/>
  <c r="BA127" i="6"/>
  <c r="BB127" i="6"/>
  <c r="BC127" i="6"/>
  <c r="BD127" i="6"/>
  <c r="BE127" i="6"/>
  <c r="BF127" i="6"/>
  <c r="BG127" i="6"/>
  <c r="H118" i="6"/>
  <c r="I118" i="6"/>
  <c r="J118" i="6"/>
  <c r="K118" i="6"/>
  <c r="L118" i="6"/>
  <c r="M118" i="6"/>
  <c r="N118" i="6"/>
  <c r="O118" i="6"/>
  <c r="P118" i="6"/>
  <c r="Q118" i="6"/>
  <c r="R118" i="6"/>
  <c r="S118" i="6"/>
  <c r="T118" i="6"/>
  <c r="U118" i="6"/>
  <c r="V118" i="6"/>
  <c r="W118" i="6"/>
  <c r="X118" i="6"/>
  <c r="Y118" i="6"/>
  <c r="Z118" i="6"/>
  <c r="AA118" i="6"/>
  <c r="AB118" i="6"/>
  <c r="AC118" i="6"/>
  <c r="AD118" i="6"/>
  <c r="AE118" i="6"/>
  <c r="AF118" i="6"/>
  <c r="AG118" i="6"/>
  <c r="AH118" i="6"/>
  <c r="AI118" i="6"/>
  <c r="AJ118" i="6"/>
  <c r="AK118" i="6"/>
  <c r="AL118" i="6"/>
  <c r="AM118" i="6"/>
  <c r="AN118" i="6"/>
  <c r="AO118" i="6"/>
  <c r="AP118" i="6"/>
  <c r="AQ118" i="6"/>
  <c r="AR118" i="6"/>
  <c r="AS118" i="6"/>
  <c r="AT118" i="6"/>
  <c r="AU118" i="6"/>
  <c r="AV118" i="6"/>
  <c r="AW118" i="6"/>
  <c r="AX118" i="6"/>
  <c r="AY118" i="6"/>
  <c r="AZ118" i="6"/>
  <c r="BA118" i="6"/>
  <c r="BB118" i="6"/>
  <c r="BC118" i="6"/>
  <c r="BD118" i="6"/>
  <c r="BE118" i="6"/>
  <c r="BF118" i="6"/>
  <c r="BG118" i="6"/>
  <c r="H109" i="6"/>
  <c r="I109" i="6"/>
  <c r="J109" i="6"/>
  <c r="K109" i="6"/>
  <c r="L109" i="6"/>
  <c r="M109" i="6"/>
  <c r="N109" i="6"/>
  <c r="O109" i="6"/>
  <c r="P109" i="6"/>
  <c r="Q109" i="6"/>
  <c r="R109" i="6"/>
  <c r="S109" i="6"/>
  <c r="T109" i="6"/>
  <c r="U109" i="6"/>
  <c r="V109" i="6"/>
  <c r="W109" i="6"/>
  <c r="X109" i="6"/>
  <c r="Y109" i="6"/>
  <c r="Z109" i="6"/>
  <c r="AA109" i="6"/>
  <c r="AB109" i="6"/>
  <c r="AC109" i="6"/>
  <c r="AD109" i="6"/>
  <c r="AE109" i="6"/>
  <c r="AF109" i="6"/>
  <c r="AG109" i="6"/>
  <c r="AH109" i="6"/>
  <c r="AI109" i="6"/>
  <c r="AJ109" i="6"/>
  <c r="AK109" i="6"/>
  <c r="AL109" i="6"/>
  <c r="AM109" i="6"/>
  <c r="AN109" i="6"/>
  <c r="AO109" i="6"/>
  <c r="AP109" i="6"/>
  <c r="AQ109" i="6"/>
  <c r="AR109" i="6"/>
  <c r="AS109" i="6"/>
  <c r="AT109" i="6"/>
  <c r="AU109" i="6"/>
  <c r="AV109" i="6"/>
  <c r="AW109" i="6"/>
  <c r="AX109" i="6"/>
  <c r="AY109" i="6"/>
  <c r="AZ109" i="6"/>
  <c r="BA109" i="6"/>
  <c r="BB109" i="6"/>
  <c r="BC109" i="6"/>
  <c r="BD109" i="6"/>
  <c r="BE109" i="6"/>
  <c r="BF109" i="6"/>
  <c r="BG109" i="6"/>
  <c r="H100" i="6"/>
  <c r="I100" i="6"/>
  <c r="J100" i="6"/>
  <c r="K100" i="6"/>
  <c r="L100" i="6"/>
  <c r="M100" i="6"/>
  <c r="N100" i="6"/>
  <c r="O100" i="6"/>
  <c r="P100" i="6"/>
  <c r="Q100" i="6"/>
  <c r="R100" i="6"/>
  <c r="S100" i="6"/>
  <c r="T100" i="6"/>
  <c r="U100" i="6"/>
  <c r="V100" i="6"/>
  <c r="W100" i="6"/>
  <c r="X100" i="6"/>
  <c r="Y100" i="6"/>
  <c r="Z100" i="6"/>
  <c r="AA100" i="6"/>
  <c r="AB100" i="6"/>
  <c r="AC100" i="6"/>
  <c r="AD100" i="6"/>
  <c r="AE100" i="6"/>
  <c r="AF100" i="6"/>
  <c r="AG100" i="6"/>
  <c r="AH100" i="6"/>
  <c r="AI100" i="6"/>
  <c r="AJ100" i="6"/>
  <c r="AK100" i="6"/>
  <c r="AL100" i="6"/>
  <c r="AM100" i="6"/>
  <c r="AN100" i="6"/>
  <c r="AO100" i="6"/>
  <c r="AP100" i="6"/>
  <c r="AQ100" i="6"/>
  <c r="AR100" i="6"/>
  <c r="AS100" i="6"/>
  <c r="AT100" i="6"/>
  <c r="AU100" i="6"/>
  <c r="AV100" i="6"/>
  <c r="AW100" i="6"/>
  <c r="AX100" i="6"/>
  <c r="AY100" i="6"/>
  <c r="AZ100" i="6"/>
  <c r="BA100" i="6"/>
  <c r="BB100" i="6"/>
  <c r="BC100" i="6"/>
  <c r="BD100" i="6"/>
  <c r="BE100" i="6"/>
  <c r="BF100" i="6"/>
  <c r="BG100" i="6"/>
  <c r="H91" i="6"/>
  <c r="I91" i="6"/>
  <c r="J91" i="6"/>
  <c r="K91" i="6"/>
  <c r="L91" i="6"/>
  <c r="M91" i="6"/>
  <c r="N91" i="6"/>
  <c r="O91" i="6"/>
  <c r="P91" i="6"/>
  <c r="Q91" i="6"/>
  <c r="R91" i="6"/>
  <c r="S91" i="6"/>
  <c r="T91" i="6"/>
  <c r="U91" i="6"/>
  <c r="V91" i="6"/>
  <c r="W91" i="6"/>
  <c r="X91" i="6"/>
  <c r="Y91" i="6"/>
  <c r="Z91" i="6"/>
  <c r="AA91" i="6"/>
  <c r="AB91" i="6"/>
  <c r="AC91" i="6"/>
  <c r="AD91" i="6"/>
  <c r="AE91" i="6"/>
  <c r="AF91" i="6"/>
  <c r="AG91" i="6"/>
  <c r="AH91" i="6"/>
  <c r="AI91" i="6"/>
  <c r="AJ91" i="6"/>
  <c r="AK91" i="6"/>
  <c r="AL91" i="6"/>
  <c r="AM91" i="6"/>
  <c r="AN91" i="6"/>
  <c r="AO91" i="6"/>
  <c r="AP91" i="6"/>
  <c r="AQ91" i="6"/>
  <c r="AR91" i="6"/>
  <c r="AS91" i="6"/>
  <c r="AT91" i="6"/>
  <c r="AU91" i="6"/>
  <c r="AV91" i="6"/>
  <c r="AW91" i="6"/>
  <c r="AX91" i="6"/>
  <c r="AY91" i="6"/>
  <c r="AZ91" i="6"/>
  <c r="BA91" i="6"/>
  <c r="BB91" i="6"/>
  <c r="BC91" i="6"/>
  <c r="BD91" i="6"/>
  <c r="BE91" i="6"/>
  <c r="BF91" i="6"/>
  <c r="BG91" i="6"/>
  <c r="H82" i="6"/>
  <c r="I82" i="6"/>
  <c r="J82" i="6"/>
  <c r="K82" i="6"/>
  <c r="L82" i="6"/>
  <c r="M82" i="6"/>
  <c r="N82" i="6"/>
  <c r="O82" i="6"/>
  <c r="P82" i="6"/>
  <c r="Q82" i="6"/>
  <c r="R82" i="6"/>
  <c r="S82" i="6"/>
  <c r="T82" i="6"/>
  <c r="U82" i="6"/>
  <c r="V82" i="6"/>
  <c r="W82" i="6"/>
  <c r="X82" i="6"/>
  <c r="Y82" i="6"/>
  <c r="Z82" i="6"/>
  <c r="AA82" i="6"/>
  <c r="AB82" i="6"/>
  <c r="AC82" i="6"/>
  <c r="AD82" i="6"/>
  <c r="AE82" i="6"/>
  <c r="AF82" i="6"/>
  <c r="AG82" i="6"/>
  <c r="AH82" i="6"/>
  <c r="AI82" i="6"/>
  <c r="AJ82" i="6"/>
  <c r="AK82" i="6"/>
  <c r="AL82" i="6"/>
  <c r="AM82" i="6"/>
  <c r="AN82" i="6"/>
  <c r="AO82" i="6"/>
  <c r="AP82" i="6"/>
  <c r="AQ82" i="6"/>
  <c r="AR82" i="6"/>
  <c r="AS82" i="6"/>
  <c r="AT82" i="6"/>
  <c r="AU82" i="6"/>
  <c r="AV82" i="6"/>
  <c r="AW82" i="6"/>
  <c r="AX82" i="6"/>
  <c r="AY82" i="6"/>
  <c r="AZ82" i="6"/>
  <c r="BA82" i="6"/>
  <c r="BB82" i="6"/>
  <c r="BC82" i="6"/>
  <c r="BD82" i="6"/>
  <c r="BE82" i="6"/>
  <c r="BF82" i="6"/>
  <c r="BG82" i="6"/>
  <c r="H73" i="6"/>
  <c r="I73" i="6"/>
  <c r="J73" i="6"/>
  <c r="K73" i="6"/>
  <c r="L73" i="6"/>
  <c r="M73" i="6"/>
  <c r="N73" i="6"/>
  <c r="O73" i="6"/>
  <c r="P73" i="6"/>
  <c r="Q73" i="6"/>
  <c r="R73" i="6"/>
  <c r="S73" i="6"/>
  <c r="T73" i="6"/>
  <c r="U73" i="6"/>
  <c r="V73" i="6"/>
  <c r="W73" i="6"/>
  <c r="X73" i="6"/>
  <c r="Y73" i="6"/>
  <c r="Z73" i="6"/>
  <c r="AA73" i="6"/>
  <c r="AB73" i="6"/>
  <c r="AC73" i="6"/>
  <c r="AD73" i="6"/>
  <c r="AE73" i="6"/>
  <c r="AF73" i="6"/>
  <c r="AG73" i="6"/>
  <c r="AH73" i="6"/>
  <c r="AI73" i="6"/>
  <c r="AJ73" i="6"/>
  <c r="AK73" i="6"/>
  <c r="AL73" i="6"/>
  <c r="AM73" i="6"/>
  <c r="AN73" i="6"/>
  <c r="AO73" i="6"/>
  <c r="AP73" i="6"/>
  <c r="AQ73" i="6"/>
  <c r="AR73" i="6"/>
  <c r="AS73" i="6"/>
  <c r="AT73" i="6"/>
  <c r="AU73" i="6"/>
  <c r="AV73" i="6"/>
  <c r="AW73" i="6"/>
  <c r="AX73" i="6"/>
  <c r="AY73" i="6"/>
  <c r="AZ73" i="6"/>
  <c r="BA73" i="6"/>
  <c r="BB73" i="6"/>
  <c r="BC73" i="6"/>
  <c r="BD73" i="6"/>
  <c r="BE73" i="6"/>
  <c r="BF73" i="6"/>
  <c r="BG73" i="6"/>
  <c r="H64" i="6"/>
  <c r="I64" i="6"/>
  <c r="J64" i="6"/>
  <c r="K64" i="6"/>
  <c r="L64" i="6"/>
  <c r="M64" i="6"/>
  <c r="N64" i="6"/>
  <c r="O64" i="6"/>
  <c r="P64" i="6"/>
  <c r="Q64" i="6"/>
  <c r="R64" i="6"/>
  <c r="S64" i="6"/>
  <c r="T64" i="6"/>
  <c r="U64" i="6"/>
  <c r="V64" i="6"/>
  <c r="W64" i="6"/>
  <c r="X64" i="6"/>
  <c r="Y64" i="6"/>
  <c r="Z64" i="6"/>
  <c r="AA64" i="6"/>
  <c r="AB64" i="6"/>
  <c r="AC64" i="6"/>
  <c r="AD64" i="6"/>
  <c r="AE64" i="6"/>
  <c r="AF64" i="6"/>
  <c r="AG64" i="6"/>
  <c r="AH64" i="6"/>
  <c r="AI64" i="6"/>
  <c r="AJ64" i="6"/>
  <c r="AK64" i="6"/>
  <c r="AL64" i="6"/>
  <c r="AM64" i="6"/>
  <c r="AN64" i="6"/>
  <c r="AO64" i="6"/>
  <c r="AP64" i="6"/>
  <c r="AQ64" i="6"/>
  <c r="AR64" i="6"/>
  <c r="AS64" i="6"/>
  <c r="AT64" i="6"/>
  <c r="AU64" i="6"/>
  <c r="AV64" i="6"/>
  <c r="AW64" i="6"/>
  <c r="AX64" i="6"/>
  <c r="AY64" i="6"/>
  <c r="AZ64" i="6"/>
  <c r="BA64" i="6"/>
  <c r="BB64" i="6"/>
  <c r="BC64" i="6"/>
  <c r="BD64" i="6"/>
  <c r="BE64" i="6"/>
  <c r="BF64" i="6"/>
  <c r="BG64" i="6"/>
  <c r="H55" i="6"/>
  <c r="I55" i="6"/>
  <c r="J55" i="6"/>
  <c r="K55" i="6"/>
  <c r="L55" i="6"/>
  <c r="M55" i="6"/>
  <c r="N55" i="6"/>
  <c r="O55" i="6"/>
  <c r="P55" i="6"/>
  <c r="Q55" i="6"/>
  <c r="R55" i="6"/>
  <c r="S55" i="6"/>
  <c r="T55" i="6"/>
  <c r="U55" i="6"/>
  <c r="V55" i="6"/>
  <c r="W55" i="6"/>
  <c r="X55" i="6"/>
  <c r="Y55" i="6"/>
  <c r="Z55" i="6"/>
  <c r="AA55" i="6"/>
  <c r="AB55" i="6"/>
  <c r="AC55" i="6"/>
  <c r="AD55" i="6"/>
  <c r="AE55" i="6"/>
  <c r="AF55" i="6"/>
  <c r="AG55" i="6"/>
  <c r="AH55" i="6"/>
  <c r="AI55" i="6"/>
  <c r="AJ55" i="6"/>
  <c r="AK55" i="6"/>
  <c r="AL55" i="6"/>
  <c r="AM55" i="6"/>
  <c r="AN55" i="6"/>
  <c r="AO55" i="6"/>
  <c r="AP55" i="6"/>
  <c r="AQ55" i="6"/>
  <c r="AR55" i="6"/>
  <c r="AS55" i="6"/>
  <c r="AT55" i="6"/>
  <c r="AU55" i="6"/>
  <c r="AV55" i="6"/>
  <c r="AW55" i="6"/>
  <c r="AX55" i="6"/>
  <c r="AY55" i="6"/>
  <c r="AZ55" i="6"/>
  <c r="BA55" i="6"/>
  <c r="BB55" i="6"/>
  <c r="BC55" i="6"/>
  <c r="BD55" i="6"/>
  <c r="BE55" i="6"/>
  <c r="BF55" i="6"/>
  <c r="BG55" i="6"/>
  <c r="H46" i="6"/>
  <c r="I46" i="6"/>
  <c r="J46" i="6"/>
  <c r="K46" i="6"/>
  <c r="L46" i="6"/>
  <c r="M46" i="6"/>
  <c r="N46" i="6"/>
  <c r="O46" i="6"/>
  <c r="P46" i="6"/>
  <c r="Q46" i="6"/>
  <c r="R46" i="6"/>
  <c r="S46" i="6"/>
  <c r="T46" i="6"/>
  <c r="U46" i="6"/>
  <c r="V46" i="6"/>
  <c r="W46" i="6"/>
  <c r="X46" i="6"/>
  <c r="Y46" i="6"/>
  <c r="Z46" i="6"/>
  <c r="AA46" i="6"/>
  <c r="AB46" i="6"/>
  <c r="AC46" i="6"/>
  <c r="AD46" i="6"/>
  <c r="AE46" i="6"/>
  <c r="AF46" i="6"/>
  <c r="AG46" i="6"/>
  <c r="AH46" i="6"/>
  <c r="AI46" i="6"/>
  <c r="AJ46" i="6"/>
  <c r="AK46" i="6"/>
  <c r="AL46" i="6"/>
  <c r="AM46" i="6"/>
  <c r="AN46" i="6"/>
  <c r="AO46" i="6"/>
  <c r="AP46" i="6"/>
  <c r="AQ46" i="6"/>
  <c r="AR46" i="6"/>
  <c r="AS46" i="6"/>
  <c r="AT46" i="6"/>
  <c r="AU46" i="6"/>
  <c r="AV46" i="6"/>
  <c r="AW46" i="6"/>
  <c r="AX46" i="6"/>
  <c r="AY46" i="6"/>
  <c r="AZ46" i="6"/>
  <c r="BA46" i="6"/>
  <c r="BB46" i="6"/>
  <c r="BC46" i="6"/>
  <c r="BD46" i="6"/>
  <c r="BE46" i="6"/>
  <c r="BF46" i="6"/>
  <c r="BG46" i="6"/>
  <c r="H37" i="6"/>
  <c r="I37" i="6"/>
  <c r="J37" i="6"/>
  <c r="K37" i="6"/>
  <c r="L37" i="6"/>
  <c r="M37" i="6"/>
  <c r="N37" i="6"/>
  <c r="O37" i="6"/>
  <c r="P37" i="6"/>
  <c r="Q37" i="6"/>
  <c r="R37" i="6"/>
  <c r="S37" i="6"/>
  <c r="T37" i="6"/>
  <c r="U37" i="6"/>
  <c r="V37" i="6"/>
  <c r="W37" i="6"/>
  <c r="X37" i="6"/>
  <c r="Y37" i="6"/>
  <c r="Z37" i="6"/>
  <c r="AA37" i="6"/>
  <c r="AB37" i="6"/>
  <c r="AC37" i="6"/>
  <c r="AD37" i="6"/>
  <c r="AE37" i="6"/>
  <c r="AF37" i="6"/>
  <c r="AG37" i="6"/>
  <c r="AH37" i="6"/>
  <c r="AI37" i="6"/>
  <c r="AJ37" i="6"/>
  <c r="AK37" i="6"/>
  <c r="AL37" i="6"/>
  <c r="AM37" i="6"/>
  <c r="AN37" i="6"/>
  <c r="AO37" i="6"/>
  <c r="AP37" i="6"/>
  <c r="AQ37" i="6"/>
  <c r="AR37" i="6"/>
  <c r="AS37" i="6"/>
  <c r="AT37" i="6"/>
  <c r="AU37" i="6"/>
  <c r="AV37" i="6"/>
  <c r="AW37" i="6"/>
  <c r="AX37" i="6"/>
  <c r="AY37" i="6"/>
  <c r="AZ37" i="6"/>
  <c r="BA37" i="6"/>
  <c r="BB37" i="6"/>
  <c r="BC37" i="6"/>
  <c r="BD37" i="6"/>
  <c r="BE37" i="6"/>
  <c r="BF37" i="6"/>
  <c r="BG37" i="6"/>
  <c r="H28" i="6"/>
  <c r="I28" i="6"/>
  <c r="J28" i="6"/>
  <c r="K28" i="6"/>
  <c r="L28" i="6"/>
  <c r="M28" i="6"/>
  <c r="N28" i="6"/>
  <c r="O28" i="6"/>
  <c r="P28" i="6"/>
  <c r="Q28" i="6"/>
  <c r="R28" i="6"/>
  <c r="S28" i="6"/>
  <c r="T28" i="6"/>
  <c r="U28" i="6"/>
  <c r="V28" i="6"/>
  <c r="W28" i="6"/>
  <c r="X28" i="6"/>
  <c r="Y28" i="6"/>
  <c r="Z28" i="6"/>
  <c r="AA28" i="6"/>
  <c r="AB28" i="6"/>
  <c r="AC28" i="6"/>
  <c r="AD28" i="6"/>
  <c r="AE28" i="6"/>
  <c r="AF28" i="6"/>
  <c r="AG28" i="6"/>
  <c r="AH28" i="6"/>
  <c r="AI28" i="6"/>
  <c r="AJ28" i="6"/>
  <c r="AK28" i="6"/>
  <c r="AL28" i="6"/>
  <c r="AM28" i="6"/>
  <c r="AN28" i="6"/>
  <c r="AO28" i="6"/>
  <c r="AP28" i="6"/>
  <c r="AQ28" i="6"/>
  <c r="AR28" i="6"/>
  <c r="AS28" i="6"/>
  <c r="AT28" i="6"/>
  <c r="AU28" i="6"/>
  <c r="AV28" i="6"/>
  <c r="AW28" i="6"/>
  <c r="AX28" i="6"/>
  <c r="AY28" i="6"/>
  <c r="AZ28" i="6"/>
  <c r="BA28" i="6"/>
  <c r="BB28" i="6"/>
  <c r="BC28" i="6"/>
  <c r="BD28" i="6"/>
  <c r="BE28" i="6"/>
  <c r="BF28" i="6"/>
  <c r="BG28" i="6"/>
  <c r="H19" i="6"/>
  <c r="I19" i="6"/>
  <c r="J19" i="6"/>
  <c r="K19" i="6"/>
  <c r="L19" i="6"/>
  <c r="M19" i="6"/>
  <c r="N19" i="6"/>
  <c r="O19" i="6"/>
  <c r="P19" i="6"/>
  <c r="Q19" i="6"/>
  <c r="R19" i="6"/>
  <c r="S19" i="6"/>
  <c r="T19" i="6"/>
  <c r="U19" i="6"/>
  <c r="V19" i="6"/>
  <c r="W19" i="6"/>
  <c r="X19" i="6"/>
  <c r="Y19" i="6"/>
  <c r="Z19" i="6"/>
  <c r="AA19" i="6"/>
  <c r="AB19" i="6"/>
  <c r="AC19" i="6"/>
  <c r="AD19" i="6"/>
  <c r="AE19" i="6"/>
  <c r="AF19" i="6"/>
  <c r="AG19" i="6"/>
  <c r="AH19" i="6"/>
  <c r="AI19" i="6"/>
  <c r="AJ19" i="6"/>
  <c r="AK19" i="6"/>
  <c r="AL19" i="6"/>
  <c r="AM19" i="6"/>
  <c r="AN19" i="6"/>
  <c r="AO19" i="6"/>
  <c r="AP19" i="6"/>
  <c r="AQ19" i="6"/>
  <c r="AR19" i="6"/>
  <c r="AS19" i="6"/>
  <c r="AT19" i="6"/>
  <c r="AU19" i="6"/>
  <c r="AV19" i="6"/>
  <c r="AW19" i="6"/>
  <c r="AX19" i="6"/>
  <c r="AY19" i="6"/>
  <c r="AZ19" i="6"/>
  <c r="BA19" i="6"/>
  <c r="BB19" i="6"/>
  <c r="BC19" i="6"/>
  <c r="BD19" i="6"/>
  <c r="BE19" i="6"/>
  <c r="BF19" i="6"/>
  <c r="BG19" i="6"/>
  <c r="A8" i="5"/>
  <c r="F228" i="7"/>
  <c r="G228" i="7" s="1"/>
  <c r="F66" i="7"/>
  <c r="F8" i="7"/>
  <c r="G167" i="7"/>
  <c r="A16" i="5"/>
  <c r="C16" i="5"/>
  <c r="A20" i="1"/>
  <c r="A29" i="1"/>
  <c r="I67" i="4"/>
  <c r="N67" i="4"/>
  <c r="W4" i="7"/>
  <c r="V4" i="7"/>
  <c r="C18" i="2"/>
  <c r="F18" i="2" s="1"/>
  <c r="O67" i="4" s="1"/>
  <c r="O4" i="7"/>
  <c r="O3" i="7"/>
  <c r="A365" i="6"/>
  <c r="BI365" i="6" s="1" a="1"/>
  <c r="BI365" i="6" s="1"/>
  <c r="D365" i="6" a="1"/>
  <c r="D365" i="6" s="1"/>
  <c r="BJ365" i="6" s="1"/>
  <c r="A366" i="6"/>
  <c r="BI366" i="6" s="1" a="1"/>
  <c r="BI366" i="6" s="1"/>
  <c r="D366" i="6" a="1"/>
  <c r="D366" i="6" s="1"/>
  <c r="BJ366" i="6" s="1"/>
  <c r="A367" i="6"/>
  <c r="BI367" i="6" s="1" a="1"/>
  <c r="BI367" i="6" s="1"/>
  <c r="C367" i="6" s="1" a="1"/>
  <c r="C367" i="6" s="1"/>
  <c r="D367" i="6" a="1"/>
  <c r="D367" i="6" s="1"/>
  <c r="A368" i="6"/>
  <c r="BI368" i="6" s="1" a="1"/>
  <c r="BI368" i="6" s="1"/>
  <c r="D368" i="6" a="1"/>
  <c r="D368" i="6" s="1"/>
  <c r="BJ368" i="6" s="1"/>
  <c r="A369" i="6"/>
  <c r="BI369" i="6" s="1" a="1"/>
  <c r="BI369" i="6" s="1"/>
  <c r="D369" i="6" a="1"/>
  <c r="D369" i="6" s="1"/>
  <c r="BJ369" i="6" s="1"/>
  <c r="A371" i="6"/>
  <c r="BI371" i="6" s="1" a="1"/>
  <c r="BI371" i="6" s="1"/>
  <c r="BK371" i="6" s="1" a="1"/>
  <c r="BK371" i="6" s="1"/>
  <c r="D371" i="6" a="1"/>
  <c r="D371" i="6" s="1"/>
  <c r="BJ371" i="6" s="1"/>
  <c r="A372" i="6"/>
  <c r="BI372" i="6" s="1" a="1"/>
  <c r="BI372" i="6" s="1"/>
  <c r="F372" i="6" s="1"/>
  <c r="D372" i="6" a="1"/>
  <c r="D372" i="6" s="1"/>
  <c r="A373" i="6"/>
  <c r="BI373" i="6" s="1" a="1"/>
  <c r="BI373" i="6" s="1"/>
  <c r="D373" i="6" a="1"/>
  <c r="D373" i="6" s="1"/>
  <c r="BJ373" i="6" s="1"/>
  <c r="A374" i="6"/>
  <c r="BI374" i="6" s="1" a="1"/>
  <c r="BI374" i="6" s="1"/>
  <c r="BM374" i="6" s="1"/>
  <c r="D374" i="6" a="1"/>
  <c r="D374" i="6" s="1"/>
  <c r="BJ374" i="6" s="1"/>
  <c r="A375" i="6"/>
  <c r="BI375" i="6" s="1" a="1"/>
  <c r="BI375" i="6" s="1"/>
  <c r="D375" i="6" a="1"/>
  <c r="D375" i="6" s="1"/>
  <c r="BJ375" i="6" s="1"/>
  <c r="A376" i="6"/>
  <c r="BI376" i="6" s="1" a="1"/>
  <c r="BI376" i="6" s="1"/>
  <c r="D376" i="6" a="1"/>
  <c r="D376" i="6" s="1"/>
  <c r="BJ376" i="6" s="1"/>
  <c r="A377" i="6"/>
  <c r="BI377" i="6" s="1" a="1"/>
  <c r="BI377" i="6" s="1"/>
  <c r="BK377" i="6" s="1" a="1"/>
  <c r="BK377" i="6" s="1"/>
  <c r="D377" i="6" a="1"/>
  <c r="D377" i="6" s="1"/>
  <c r="BJ377" i="6" s="1"/>
  <c r="A378" i="6"/>
  <c r="BI378" i="6" s="1" a="1"/>
  <c r="BI378" i="6" s="1"/>
  <c r="D378" i="6" a="1"/>
  <c r="D378" i="6" s="1"/>
  <c r="A340" i="6"/>
  <c r="BI340" i="6" s="1" a="1"/>
  <c r="BI340" i="6" s="1"/>
  <c r="C340" i="6" s="1" a="1"/>
  <c r="C340" i="6" s="1"/>
  <c r="D340" i="6" a="1"/>
  <c r="D340" i="6" s="1"/>
  <c r="A341" i="6"/>
  <c r="BI341" i="6" s="1" a="1"/>
  <c r="BI341" i="6" s="1"/>
  <c r="D341" i="6" a="1"/>
  <c r="D341" i="6" s="1"/>
  <c r="BJ341" i="6" s="1"/>
  <c r="A342" i="6"/>
  <c r="BI342" i="6" s="1" a="1"/>
  <c r="BI342" i="6" s="1"/>
  <c r="D342" i="6" a="1"/>
  <c r="D342" i="6" s="1"/>
  <c r="BJ342" i="6" s="1"/>
  <c r="A344" i="6"/>
  <c r="BI344" i="6" s="1" a="1"/>
  <c r="BI344" i="6" s="1"/>
  <c r="BK344" i="6" s="1" a="1"/>
  <c r="BK344" i="6" s="1"/>
  <c r="D344" i="6" a="1"/>
  <c r="D344" i="6" s="1"/>
  <c r="BJ344" i="6" s="1"/>
  <c r="A345" i="6"/>
  <c r="BI345" i="6" s="1" a="1"/>
  <c r="BI345" i="6" s="1"/>
  <c r="C345" i="6" s="1" a="1"/>
  <c r="C345" i="6" s="1"/>
  <c r="D345" i="6" a="1"/>
  <c r="D345" i="6" s="1"/>
  <c r="BJ345" i="6" s="1"/>
  <c r="A346" i="6"/>
  <c r="BI346" i="6" s="1" a="1"/>
  <c r="BI346" i="6" s="1"/>
  <c r="F346" i="6" s="1"/>
  <c r="D346" i="6" a="1"/>
  <c r="D346" i="6" s="1"/>
  <c r="A347" i="6"/>
  <c r="BI347" i="6" s="1" a="1"/>
  <c r="BI347" i="6" s="1"/>
  <c r="D347" i="6" a="1"/>
  <c r="D347" i="6" s="1"/>
  <c r="BJ347" i="6" s="1"/>
  <c r="A348" i="6"/>
  <c r="BI348" i="6" s="1" a="1"/>
  <c r="BI348" i="6" s="1"/>
  <c r="B348" i="6" s="1" a="1"/>
  <c r="B348" i="6" s="1"/>
  <c r="D348" i="6" a="1"/>
  <c r="D348" i="6" s="1"/>
  <c r="BJ348" i="6" s="1"/>
  <c r="A349" i="6"/>
  <c r="BI349" i="6" s="1" a="1"/>
  <c r="BI349" i="6" s="1"/>
  <c r="D349" i="6" a="1"/>
  <c r="D349" i="6" s="1"/>
  <c r="A350" i="6"/>
  <c r="BI350" i="6" s="1" a="1"/>
  <c r="BI350" i="6" s="1"/>
  <c r="D350" i="6" a="1"/>
  <c r="D350" i="6" s="1"/>
  <c r="BJ350" i="6" s="1"/>
  <c r="A351" i="6"/>
  <c r="BI351" i="6" s="1" a="1"/>
  <c r="BI351" i="6" s="1"/>
  <c r="B351" i="6" s="1" a="1"/>
  <c r="B351" i="6" s="1"/>
  <c r="D351" i="6" a="1"/>
  <c r="D351" i="6" s="1"/>
  <c r="A353" i="6"/>
  <c r="BI353" i="6" s="1" a="1"/>
  <c r="BI353" i="6" s="1"/>
  <c r="BL353" i="6" s="1" a="1"/>
  <c r="BL353" i="6" s="1"/>
  <c r="D353" i="6" a="1"/>
  <c r="D353" i="6" s="1"/>
  <c r="BJ353" i="6" s="1"/>
  <c r="A354" i="6"/>
  <c r="BI354" i="6" s="1" a="1"/>
  <c r="BI354" i="6" s="1"/>
  <c r="B354" i="6" s="1" a="1"/>
  <c r="B354" i="6" s="1"/>
  <c r="D354" i="6" a="1"/>
  <c r="D354" i="6" s="1"/>
  <c r="BJ354" i="6" s="1"/>
  <c r="A355" i="6"/>
  <c r="BI355" i="6" s="1" a="1"/>
  <c r="BI355" i="6" s="1"/>
  <c r="D355" i="6" a="1"/>
  <c r="D355" i="6" s="1"/>
  <c r="BJ355" i="6" s="1"/>
  <c r="A356" i="6"/>
  <c r="BI356" i="6" s="1" a="1"/>
  <c r="BI356" i="6" s="1"/>
  <c r="D356" i="6" a="1"/>
  <c r="D356" i="6" s="1"/>
  <c r="BJ356" i="6" s="1"/>
  <c r="A357" i="6"/>
  <c r="BI357" i="6" s="1" a="1"/>
  <c r="BI357" i="6" s="1"/>
  <c r="D357" i="6" a="1"/>
  <c r="D357" i="6" s="1"/>
  <c r="BJ357" i="6" s="1"/>
  <c r="A358" i="6"/>
  <c r="BI358" i="6" s="1" a="1"/>
  <c r="BI358" i="6" s="1"/>
  <c r="B358" i="6" s="1" a="1"/>
  <c r="B358" i="6" s="1"/>
  <c r="D358" i="6" a="1"/>
  <c r="D358" i="6" s="1"/>
  <c r="BJ358" i="6" s="1"/>
  <c r="A359" i="6"/>
  <c r="BI359" i="6" s="1" a="1"/>
  <c r="BI359" i="6" s="1"/>
  <c r="B359" i="6" s="1" a="1"/>
  <c r="B359" i="6" s="1"/>
  <c r="D359" i="6" a="1"/>
  <c r="D359" i="6" s="1"/>
  <c r="BJ359" i="6" s="1"/>
  <c r="A360" i="6"/>
  <c r="BI360" i="6" s="1" a="1"/>
  <c r="BI360" i="6" s="1"/>
  <c r="D360" i="6" a="1"/>
  <c r="D360" i="6" s="1"/>
  <c r="BJ360" i="6" s="1"/>
  <c r="A362" i="6"/>
  <c r="BI362" i="6" s="1" a="1"/>
  <c r="BI362" i="6" s="1"/>
  <c r="D362" i="6" a="1"/>
  <c r="D362" i="6" s="1"/>
  <c r="BJ362" i="6" s="1"/>
  <c r="A363" i="6"/>
  <c r="BI363" i="6" s="1" a="1"/>
  <c r="BI363" i="6" s="1"/>
  <c r="F363" i="6" s="1"/>
  <c r="D363" i="6" a="1"/>
  <c r="D363" i="6" s="1"/>
  <c r="BJ363" i="6" s="1"/>
  <c r="A364" i="6"/>
  <c r="BI364" i="6" s="1" a="1"/>
  <c r="BI364" i="6" s="1"/>
  <c r="BL364" i="6" s="1" a="1"/>
  <c r="BL364" i="6" s="1"/>
  <c r="D364" i="6" a="1"/>
  <c r="D364" i="6" s="1"/>
  <c r="BJ364" i="6" s="1"/>
  <c r="A315" i="6"/>
  <c r="BI315" i="6" s="1" a="1"/>
  <c r="BI315" i="6" s="1"/>
  <c r="BL315" i="6" s="1" a="1"/>
  <c r="BL315" i="6" s="1"/>
  <c r="D315" i="6" a="1"/>
  <c r="D315" i="6" s="1"/>
  <c r="BJ315" i="6" s="1"/>
  <c r="A317" i="6"/>
  <c r="BI317" i="6" s="1" a="1"/>
  <c r="BI317" i="6" s="1"/>
  <c r="D317" i="6" a="1"/>
  <c r="D317" i="6" s="1"/>
  <c r="BJ317" i="6" s="1"/>
  <c r="A318" i="6"/>
  <c r="BI318" i="6" s="1" a="1"/>
  <c r="BI318" i="6" s="1"/>
  <c r="D318" i="6" a="1"/>
  <c r="D318" i="6" s="1"/>
  <c r="BJ318" i="6" s="1"/>
  <c r="A319" i="6"/>
  <c r="BI319" i="6" s="1" a="1"/>
  <c r="BI319" i="6" s="1"/>
  <c r="D319" i="6" a="1"/>
  <c r="D319" i="6" s="1"/>
  <c r="BJ319" i="6" s="1"/>
  <c r="A320" i="6"/>
  <c r="BI320" i="6" s="1" a="1"/>
  <c r="BI320" i="6" s="1"/>
  <c r="BL320" i="6" s="1" a="1"/>
  <c r="BL320" i="6" s="1"/>
  <c r="D320" i="6" a="1"/>
  <c r="D320" i="6" s="1"/>
  <c r="A321" i="6"/>
  <c r="BI321" i="6" s="1" a="1"/>
  <c r="BI321" i="6" s="1"/>
  <c r="F321" i="6" s="1"/>
  <c r="D321" i="6" a="1"/>
  <c r="D321" i="6" s="1"/>
  <c r="BJ321" i="6" s="1"/>
  <c r="A322" i="6"/>
  <c r="BI322" i="6" s="1" a="1"/>
  <c r="BI322" i="6" s="1"/>
  <c r="B322" i="6" s="1" a="1"/>
  <c r="B322" i="6" s="1"/>
  <c r="D322" i="6" a="1"/>
  <c r="D322" i="6" s="1"/>
  <c r="BJ322" i="6" s="1"/>
  <c r="A323" i="6"/>
  <c r="BI323" i="6" s="1" a="1"/>
  <c r="BI323" i="6" s="1"/>
  <c r="B323" i="6" s="1" a="1"/>
  <c r="B323" i="6" s="1"/>
  <c r="D323" i="6" a="1"/>
  <c r="D323" i="6" s="1"/>
  <c r="BJ323" i="6" s="1"/>
  <c r="A324" i="6"/>
  <c r="BI324" i="6" s="1" a="1"/>
  <c r="BI324" i="6" s="1"/>
  <c r="BK324" i="6" s="1" a="1"/>
  <c r="BK324" i="6" s="1"/>
  <c r="D324" i="6" a="1"/>
  <c r="D324" i="6" s="1"/>
  <c r="BJ324" i="6" s="1"/>
  <c r="A326" i="6"/>
  <c r="BI326" i="6" s="1" a="1"/>
  <c r="BI326" i="6" s="1"/>
  <c r="D326" i="6" a="1"/>
  <c r="D326" i="6" s="1"/>
  <c r="A327" i="6"/>
  <c r="BI327" i="6" s="1" a="1"/>
  <c r="BI327" i="6" s="1"/>
  <c r="B327" i="6" s="1" a="1"/>
  <c r="B327" i="6" s="1"/>
  <c r="D327" i="6" a="1"/>
  <c r="D327" i="6" s="1"/>
  <c r="BJ327" i="6" s="1"/>
  <c r="A328" i="6"/>
  <c r="BI328" i="6" s="1" a="1"/>
  <c r="BI328" i="6" s="1"/>
  <c r="D328" i="6" a="1"/>
  <c r="D328" i="6" s="1"/>
  <c r="BJ328" i="6" s="1"/>
  <c r="A329" i="6"/>
  <c r="BI329" i="6" s="1" a="1"/>
  <c r="BI329" i="6" s="1"/>
  <c r="D329" i="6" a="1"/>
  <c r="D329" i="6" s="1"/>
  <c r="BJ329" i="6" s="1"/>
  <c r="A330" i="6"/>
  <c r="BI330" i="6" s="1" a="1"/>
  <c r="BI330" i="6" s="1"/>
  <c r="D330" i="6" a="1"/>
  <c r="D330" i="6" s="1"/>
  <c r="BJ330" i="6" s="1"/>
  <c r="A331" i="6"/>
  <c r="BI331" i="6" s="1" a="1"/>
  <c r="BI331" i="6" s="1"/>
  <c r="C331" i="6" s="1" a="1"/>
  <c r="C331" i="6" s="1"/>
  <c r="D331" i="6" a="1"/>
  <c r="D331" i="6" s="1"/>
  <c r="A332" i="6"/>
  <c r="BI332" i="6" s="1" a="1"/>
  <c r="BI332" i="6" s="1"/>
  <c r="B332" i="6" s="1" a="1"/>
  <c r="B332" i="6" s="1"/>
  <c r="D332" i="6" a="1"/>
  <c r="D332" i="6" s="1"/>
  <c r="BJ332" i="6" s="1"/>
  <c r="A333" i="6"/>
  <c r="BI333" i="6" s="1" a="1"/>
  <c r="BI333" i="6" s="1"/>
  <c r="B333" i="6" s="1" a="1"/>
  <c r="B333" i="6" s="1"/>
  <c r="D333" i="6" a="1"/>
  <c r="D333" i="6" s="1"/>
  <c r="BJ333" i="6" s="1"/>
  <c r="A335" i="6"/>
  <c r="BI335" i="6" s="1" a="1"/>
  <c r="BI335" i="6" s="1"/>
  <c r="C335" i="6" s="1" a="1"/>
  <c r="C335" i="6" s="1"/>
  <c r="D335" i="6" a="1"/>
  <c r="D335" i="6" s="1"/>
  <c r="BJ335" i="6" s="1"/>
  <c r="A336" i="6"/>
  <c r="BI336" i="6" s="1" a="1"/>
  <c r="BI336" i="6" s="1"/>
  <c r="F336" i="6" s="1"/>
  <c r="D336" i="6" a="1"/>
  <c r="D336" i="6" s="1"/>
  <c r="BJ336" i="6" s="1"/>
  <c r="A337" i="6"/>
  <c r="BI337" i="6" s="1" a="1"/>
  <c r="BI337" i="6" s="1"/>
  <c r="BM337" i="6" s="1"/>
  <c r="D337" i="6" a="1"/>
  <c r="D337" i="6" s="1"/>
  <c r="BJ337" i="6" s="1"/>
  <c r="A338" i="6"/>
  <c r="BI338" i="6" s="1" a="1"/>
  <c r="BI338" i="6" s="1"/>
  <c r="B338" i="6" s="1" a="1"/>
  <c r="B338" i="6" s="1"/>
  <c r="D338" i="6" a="1"/>
  <c r="D338" i="6" s="1"/>
  <c r="BJ338" i="6" s="1"/>
  <c r="A339" i="6"/>
  <c r="BI339" i="6" s="1" a="1"/>
  <c r="BI339" i="6" s="1"/>
  <c r="B339" i="6" s="1" a="1"/>
  <c r="B339" i="6" s="1"/>
  <c r="D339" i="6" a="1"/>
  <c r="D339" i="6" s="1"/>
  <c r="BJ339" i="6" s="1"/>
  <c r="A291" i="6"/>
  <c r="BI291" i="6" s="1" a="1"/>
  <c r="BI291" i="6" s="1"/>
  <c r="D291" i="6" a="1"/>
  <c r="D291" i="6" s="1"/>
  <c r="BJ291" i="6" s="1"/>
  <c r="A292" i="6"/>
  <c r="BI292" i="6" s="1" a="1"/>
  <c r="BI292" i="6" s="1"/>
  <c r="F292" i="6" s="1"/>
  <c r="D292" i="6" a="1"/>
  <c r="D292" i="6" s="1"/>
  <c r="BJ292" i="6" s="1"/>
  <c r="A293" i="6"/>
  <c r="BI293" i="6" s="1" a="1"/>
  <c r="BI293" i="6" s="1"/>
  <c r="D293" i="6" a="1"/>
  <c r="D293" i="6" s="1"/>
  <c r="A294" i="6"/>
  <c r="BI294" i="6" s="1" a="1"/>
  <c r="BI294" i="6" s="1"/>
  <c r="BM294" i="6" s="1"/>
  <c r="D294" i="6" a="1"/>
  <c r="D294" i="6" s="1"/>
  <c r="BJ294" i="6" s="1"/>
  <c r="A295" i="6"/>
  <c r="BI295" i="6" s="1" a="1"/>
  <c r="BI295" i="6" s="1"/>
  <c r="B295" i="6" s="1" a="1"/>
  <c r="B295" i="6" s="1"/>
  <c r="D295" i="6" a="1"/>
  <c r="D295" i="6" s="1"/>
  <c r="BJ295" i="6" s="1"/>
  <c r="A296" i="6"/>
  <c r="BI296" i="6" s="1" a="1"/>
  <c r="BI296" i="6" s="1"/>
  <c r="D296" i="6" a="1"/>
  <c r="D296" i="6" s="1"/>
  <c r="BJ296" i="6" s="1"/>
  <c r="A297" i="6"/>
  <c r="BI297" i="6" s="1" a="1"/>
  <c r="BI297" i="6" s="1"/>
  <c r="D297" i="6" a="1"/>
  <c r="D297" i="6" s="1"/>
  <c r="BJ297" i="6" s="1"/>
  <c r="A299" i="6"/>
  <c r="BI299" i="6" s="1" a="1"/>
  <c r="BI299" i="6" s="1"/>
  <c r="D299" i="6" a="1"/>
  <c r="D299" i="6" s="1"/>
  <c r="BJ299" i="6" s="1"/>
  <c r="A300" i="6"/>
  <c r="BI300" i="6" s="1" a="1"/>
  <c r="BI300" i="6" s="1"/>
  <c r="D300" i="6" a="1"/>
  <c r="D300" i="6" s="1"/>
  <c r="BJ300" i="6" s="1"/>
  <c r="A301" i="6"/>
  <c r="BI301" i="6" s="1" a="1"/>
  <c r="BI301" i="6" s="1"/>
  <c r="D301" i="6" a="1"/>
  <c r="D301" i="6" s="1"/>
  <c r="BJ301" i="6" s="1"/>
  <c r="A302" i="6"/>
  <c r="BI302" i="6" s="1" a="1"/>
  <c r="BI302" i="6" s="1"/>
  <c r="B302" i="6" s="1" a="1"/>
  <c r="B302" i="6" s="1"/>
  <c r="D302" i="6" a="1"/>
  <c r="D302" i="6" s="1"/>
  <c r="BJ302" i="6" s="1"/>
  <c r="A303" i="6"/>
  <c r="BI303" i="6" s="1" a="1"/>
  <c r="BI303" i="6" s="1"/>
  <c r="D303" i="6" a="1"/>
  <c r="D303" i="6" s="1"/>
  <c r="BJ303" i="6" s="1"/>
  <c r="A304" i="6"/>
  <c r="BI304" i="6" s="1" a="1"/>
  <c r="BI304" i="6" s="1"/>
  <c r="D304" i="6" a="1"/>
  <c r="D304" i="6" s="1"/>
  <c r="A305" i="6"/>
  <c r="BI305" i="6" s="1" a="1"/>
  <c r="BI305" i="6" s="1"/>
  <c r="D305" i="6" a="1"/>
  <c r="D305" i="6" s="1"/>
  <c r="BJ305" i="6" s="1"/>
  <c r="A306" i="6"/>
  <c r="BI306" i="6" s="1" a="1"/>
  <c r="BI306" i="6" s="1"/>
  <c r="D306" i="6" a="1"/>
  <c r="D306" i="6" s="1"/>
  <c r="BJ306" i="6" s="1"/>
  <c r="A308" i="6"/>
  <c r="BI308" i="6" s="1" a="1"/>
  <c r="BI308" i="6" s="1"/>
  <c r="D308" i="6" a="1"/>
  <c r="D308" i="6" s="1"/>
  <c r="BJ308" i="6" s="1"/>
  <c r="A309" i="6"/>
  <c r="BI309" i="6" s="1" a="1"/>
  <c r="BI309" i="6" s="1"/>
  <c r="D309" i="6" a="1"/>
  <c r="D309" i="6" s="1"/>
  <c r="BJ309" i="6" s="1"/>
  <c r="A310" i="6"/>
  <c r="BI310" i="6" s="1" a="1"/>
  <c r="BI310" i="6" s="1"/>
  <c r="D310" i="6" a="1"/>
  <c r="D310" i="6" s="1"/>
  <c r="BJ310" i="6" s="1"/>
  <c r="A311" i="6"/>
  <c r="BI311" i="6" s="1" a="1"/>
  <c r="BI311" i="6" s="1"/>
  <c r="D311" i="6" a="1"/>
  <c r="D311" i="6" s="1"/>
  <c r="BJ311" i="6" s="1"/>
  <c r="A312" i="6"/>
  <c r="BI312" i="6" s="1" a="1"/>
  <c r="BI312" i="6" s="1"/>
  <c r="BM312" i="6" s="1"/>
  <c r="D312" i="6" a="1"/>
  <c r="D312" i="6" s="1"/>
  <c r="BJ312" i="6" s="1"/>
  <c r="A313" i="6"/>
  <c r="BI313" i="6" s="1" a="1"/>
  <c r="BI313" i="6" s="1"/>
  <c r="B313" i="6" s="1" a="1"/>
  <c r="B313" i="6" s="1"/>
  <c r="D313" i="6" a="1"/>
  <c r="D313" i="6" s="1"/>
  <c r="BJ313" i="6" s="1"/>
  <c r="A314" i="6"/>
  <c r="BI314" i="6" s="1" a="1"/>
  <c r="BI314" i="6" s="1"/>
  <c r="D314" i="6" a="1"/>
  <c r="D314" i="6" s="1"/>
  <c r="BJ314" i="6" s="1"/>
  <c r="D266" i="6" a="1"/>
  <c r="D266" i="6" s="1"/>
  <c r="BJ266" i="6" s="1"/>
  <c r="D267" i="6" a="1"/>
  <c r="D267" i="6" s="1"/>
  <c r="BJ267" i="6" s="1"/>
  <c r="D268" i="6" a="1"/>
  <c r="D268" i="6" s="1"/>
  <c r="BJ268" i="6" s="1"/>
  <c r="D269" i="6" a="1"/>
  <c r="D269" i="6" s="1"/>
  <c r="BJ269" i="6" s="1"/>
  <c r="D270" i="6" a="1"/>
  <c r="D270" i="6" s="1"/>
  <c r="BJ270" i="6" s="1"/>
  <c r="D272" i="6" a="1"/>
  <c r="D272" i="6" s="1"/>
  <c r="BJ272" i="6" s="1"/>
  <c r="D273" i="6" a="1"/>
  <c r="D273" i="6" s="1"/>
  <c r="BJ273" i="6" s="1"/>
  <c r="D274" i="6" a="1"/>
  <c r="D274" i="6" s="1"/>
  <c r="BJ274" i="6" s="1"/>
  <c r="D275" i="6" a="1"/>
  <c r="D275" i="6"/>
  <c r="BJ275" i="6" s="1"/>
  <c r="D276" i="6" a="1"/>
  <c r="D276" i="6" s="1"/>
  <c r="BJ276" i="6" s="1"/>
  <c r="D277" i="6" a="1"/>
  <c r="D277" i="6" s="1"/>
  <c r="BJ277" i="6" s="1"/>
  <c r="D278" i="6" a="1"/>
  <c r="D278" i="6" s="1"/>
  <c r="BJ278" i="6" s="1"/>
  <c r="D279" i="6" a="1"/>
  <c r="D279" i="6" s="1"/>
  <c r="BJ279" i="6" s="1"/>
  <c r="A281" i="6"/>
  <c r="BI281" i="6" s="1" a="1"/>
  <c r="BI281" i="6" s="1"/>
  <c r="C281" i="6" s="1" a="1"/>
  <c r="C281" i="6" s="1"/>
  <c r="D281" i="6" a="1"/>
  <c r="D281" i="6" s="1"/>
  <c r="BJ281" i="6" s="1"/>
  <c r="A282" i="6"/>
  <c r="BI282" i="6" s="1" a="1"/>
  <c r="BI282" i="6" s="1"/>
  <c r="BM282" i="6" s="1"/>
  <c r="D282" i="6" a="1"/>
  <c r="D282" i="6" s="1"/>
  <c r="BJ282" i="6" s="1"/>
  <c r="A283" i="6"/>
  <c r="BI283" i="6" s="1" a="1"/>
  <c r="BI283" i="6" s="1"/>
  <c r="B283" i="6" s="1" a="1"/>
  <c r="B283" i="6" s="1"/>
  <c r="D283" i="6" a="1"/>
  <c r="D283" i="6" s="1"/>
  <c r="BJ283" i="6" s="1"/>
  <c r="A284" i="6"/>
  <c r="BI284" i="6" s="1" a="1"/>
  <c r="BI284" i="6" s="1"/>
  <c r="BK284" i="6" s="1" a="1"/>
  <c r="BK284" i="6" s="1"/>
  <c r="D284" i="6" a="1"/>
  <c r="D284" i="6" s="1"/>
  <c r="BJ284" i="6" s="1"/>
  <c r="A285" i="6"/>
  <c r="BI285" i="6" s="1" a="1"/>
  <c r="BI285" i="6" s="1"/>
  <c r="BK285" i="6" s="1" a="1"/>
  <c r="BK285" i="6" s="1"/>
  <c r="D285" i="6" a="1"/>
  <c r="D285" i="6" s="1"/>
  <c r="BJ285" i="6" s="1"/>
  <c r="A286" i="6"/>
  <c r="BI286" i="6" s="1" a="1"/>
  <c r="BI286" i="6" s="1"/>
  <c r="BK286" i="6" s="1" a="1"/>
  <c r="BK286" i="6" s="1"/>
  <c r="D286" i="6" a="1"/>
  <c r="D286" i="6" s="1"/>
  <c r="BJ286" i="6" s="1"/>
  <c r="A287" i="6"/>
  <c r="BI287" i="6" s="1" a="1"/>
  <c r="BI287" i="6" s="1"/>
  <c r="D287" i="6" a="1"/>
  <c r="D287" i="6" s="1"/>
  <c r="BJ287" i="6" s="1"/>
  <c r="A288" i="6"/>
  <c r="BI288" i="6" s="1" a="1"/>
  <c r="BI288" i="6" s="1"/>
  <c r="D288" i="6" a="1"/>
  <c r="D288" i="6" s="1"/>
  <c r="BJ288" i="6" s="1"/>
  <c r="A290" i="6"/>
  <c r="BI290" i="6" s="1" a="1"/>
  <c r="BI290" i="6" s="1"/>
  <c r="C290" i="6" s="1" a="1"/>
  <c r="C290" i="6" s="1"/>
  <c r="D290" i="6" a="1"/>
  <c r="D290" i="6" s="1"/>
  <c r="BJ290" i="6" s="1"/>
  <c r="D241" i="6" a="1"/>
  <c r="D241" i="6" s="1"/>
  <c r="BJ241" i="6" s="1"/>
  <c r="D242" i="6" a="1"/>
  <c r="D242" i="6" s="1"/>
  <c r="BJ242" i="6" s="1"/>
  <c r="D243" i="6" a="1"/>
  <c r="D243" i="6" s="1"/>
  <c r="BJ243" i="6" s="1"/>
  <c r="D245" i="6" a="1"/>
  <c r="D245" i="6" s="1"/>
  <c r="BJ245" i="6" s="1"/>
  <c r="D246" i="6" a="1"/>
  <c r="D246" i="6" s="1"/>
  <c r="BJ246" i="6" s="1"/>
  <c r="D247" i="6" a="1"/>
  <c r="D247" i="6" s="1"/>
  <c r="BJ247" i="6" s="1"/>
  <c r="D248" i="6" a="1"/>
  <c r="D248" i="6" s="1"/>
  <c r="BJ248" i="6" s="1"/>
  <c r="D249" i="6" a="1"/>
  <c r="D249" i="6" s="1"/>
  <c r="BJ249" i="6" s="1"/>
  <c r="D250" i="6" a="1"/>
  <c r="D250" i="6" s="1"/>
  <c r="BJ250" i="6" s="1"/>
  <c r="D251" i="6" a="1"/>
  <c r="D251" i="6" s="1"/>
  <c r="BJ251" i="6" s="1"/>
  <c r="D252" i="6" a="1"/>
  <c r="D252" i="6" s="1"/>
  <c r="BJ252" i="6" s="1"/>
  <c r="D254" i="6" a="1"/>
  <c r="D254" i="6" s="1"/>
  <c r="BJ254" i="6" s="1"/>
  <c r="D255" i="6" a="1"/>
  <c r="D255" i="6" s="1"/>
  <c r="BJ255" i="6" s="1"/>
  <c r="D256" i="6" a="1"/>
  <c r="D256" i="6" s="1"/>
  <c r="BJ256" i="6" s="1"/>
  <c r="D257" i="6" a="1"/>
  <c r="D257" i="6" s="1"/>
  <c r="BJ257" i="6" s="1"/>
  <c r="D258" i="6" a="1"/>
  <c r="D258" i="6" s="1"/>
  <c r="BJ258" i="6" s="1"/>
  <c r="D259" i="6" a="1"/>
  <c r="D259" i="6" s="1"/>
  <c r="BJ259" i="6" s="1"/>
  <c r="D260" i="6" a="1"/>
  <c r="D260" i="6" s="1"/>
  <c r="BJ260" i="6" s="1"/>
  <c r="D261" i="6" a="1"/>
  <c r="D261" i="6" s="1"/>
  <c r="BJ261" i="6" s="1"/>
  <c r="D263" i="6" a="1"/>
  <c r="D263" i="6" s="1"/>
  <c r="BJ263" i="6" s="1"/>
  <c r="D264" i="6" a="1"/>
  <c r="D264" i="6" s="1"/>
  <c r="BJ264" i="6" s="1"/>
  <c r="D265" i="6" a="1"/>
  <c r="D265" i="6" s="1"/>
  <c r="BJ265" i="6" s="1"/>
  <c r="D216" i="6" a="1"/>
  <c r="D216" i="6" s="1"/>
  <c r="BJ216" i="6" s="1"/>
  <c r="D218" i="6" a="1"/>
  <c r="D218" i="6" s="1"/>
  <c r="BJ218" i="6" s="1"/>
  <c r="D219" i="6" a="1"/>
  <c r="D219" i="6" s="1"/>
  <c r="BJ219" i="6" s="1"/>
  <c r="D220" i="6" a="1"/>
  <c r="D220" i="6" s="1"/>
  <c r="BJ220" i="6" s="1"/>
  <c r="D221" i="6" a="1"/>
  <c r="D221" i="6" s="1"/>
  <c r="BJ221" i="6" s="1"/>
  <c r="D222" i="6" a="1"/>
  <c r="D222" i="6" s="1"/>
  <c r="BJ222" i="6" s="1"/>
  <c r="D223" i="6" a="1"/>
  <c r="D223" i="6" s="1"/>
  <c r="BJ223" i="6" s="1"/>
  <c r="D224" i="6" a="1"/>
  <c r="D224" i="6" s="1"/>
  <c r="BJ224" i="6" s="1"/>
  <c r="D225" i="6" a="1"/>
  <c r="D225" i="6" s="1"/>
  <c r="BJ225" i="6" s="1"/>
  <c r="D227" i="6" a="1"/>
  <c r="D227" i="6" s="1"/>
  <c r="BJ227" i="6" s="1"/>
  <c r="D228" i="6" a="1"/>
  <c r="D228" i="6" s="1"/>
  <c r="BJ228" i="6" s="1"/>
  <c r="D229" i="6" a="1"/>
  <c r="D229" i="6" s="1"/>
  <c r="BJ229" i="6" s="1"/>
  <c r="D230" i="6" a="1"/>
  <c r="D230" i="6" s="1"/>
  <c r="BJ230" i="6" s="1"/>
  <c r="D231" i="6" a="1"/>
  <c r="D231" i="6" s="1"/>
  <c r="BJ231" i="6" s="1"/>
  <c r="D232" i="6" a="1"/>
  <c r="D232" i="6" s="1"/>
  <c r="BJ232" i="6" s="1"/>
  <c r="D233" i="6" a="1"/>
  <c r="D233" i="6" s="1"/>
  <c r="BJ233" i="6" s="1"/>
  <c r="D234" i="6" a="1"/>
  <c r="D234" i="6" s="1"/>
  <c r="BJ234" i="6" s="1"/>
  <c r="D236" i="6" a="1"/>
  <c r="D236" i="6" s="1"/>
  <c r="BJ236" i="6" s="1"/>
  <c r="D237" i="6" a="1"/>
  <c r="D237" i="6" s="1"/>
  <c r="BJ237" i="6" s="1"/>
  <c r="D238" i="6" a="1"/>
  <c r="D238" i="6" s="1"/>
  <c r="BJ238" i="6" s="1"/>
  <c r="D239" i="6" a="1"/>
  <c r="D239" i="6" s="1"/>
  <c r="BJ239" i="6" s="1"/>
  <c r="D240" i="6" a="1"/>
  <c r="D240" i="6" s="1"/>
  <c r="BJ240" i="6" s="1"/>
  <c r="D192" i="6" a="1"/>
  <c r="D192" i="6" s="1"/>
  <c r="BJ192" i="6" s="1"/>
  <c r="D193" i="6" a="1"/>
  <c r="D193" i="6" s="1"/>
  <c r="BJ193" i="6" s="1"/>
  <c r="D194" i="6" a="1"/>
  <c r="D194" i="6" s="1"/>
  <c r="BJ194" i="6" s="1"/>
  <c r="D195" i="6" a="1"/>
  <c r="D195" i="6" s="1"/>
  <c r="BJ195" i="6" s="1"/>
  <c r="D196" i="6" a="1"/>
  <c r="D196" i="6" s="1"/>
  <c r="BJ196" i="6" s="1"/>
  <c r="D197" i="6" a="1"/>
  <c r="D197" i="6" s="1"/>
  <c r="BJ197" i="6" s="1"/>
  <c r="D198" i="6" a="1"/>
  <c r="D198" i="6" s="1"/>
  <c r="BJ198" i="6" s="1"/>
  <c r="D200" i="6" a="1"/>
  <c r="D200" i="6" s="1"/>
  <c r="BJ200" i="6" s="1"/>
  <c r="D201" i="6" a="1"/>
  <c r="D201" i="6" s="1"/>
  <c r="BJ201" i="6" s="1"/>
  <c r="D202" i="6" a="1"/>
  <c r="D202" i="6" s="1"/>
  <c r="BJ202" i="6" s="1"/>
  <c r="D203" i="6" a="1"/>
  <c r="D203" i="6" s="1"/>
  <c r="BJ203" i="6" s="1"/>
  <c r="D204" i="6" a="1"/>
  <c r="D204" i="6" s="1"/>
  <c r="BJ204" i="6" s="1"/>
  <c r="D205" i="6" a="1"/>
  <c r="D205" i="6" s="1"/>
  <c r="BJ205" i="6" s="1"/>
  <c r="D206" i="6" a="1"/>
  <c r="D206" i="6" s="1"/>
  <c r="BJ206" i="6" s="1"/>
  <c r="D207" i="6" a="1"/>
  <c r="D207" i="6" s="1"/>
  <c r="BJ207" i="6" s="1"/>
  <c r="D209" i="6" a="1"/>
  <c r="D209" i="6" s="1"/>
  <c r="BJ209" i="6" s="1"/>
  <c r="D210" i="6" a="1"/>
  <c r="D210" i="6" s="1"/>
  <c r="BJ210" i="6" s="1"/>
  <c r="D211" i="6" a="1"/>
  <c r="D211" i="6" s="1"/>
  <c r="BJ211" i="6" s="1"/>
  <c r="D212" i="6" a="1"/>
  <c r="D212" i="6" s="1"/>
  <c r="BJ212" i="6" s="1"/>
  <c r="D213" i="6" a="1"/>
  <c r="D213" i="6" s="1"/>
  <c r="BJ213" i="6" s="1"/>
  <c r="D214" i="6" a="1"/>
  <c r="D214" i="6" s="1"/>
  <c r="BJ214" i="6" s="1"/>
  <c r="D215" i="6" a="1"/>
  <c r="D215" i="6" s="1"/>
  <c r="BJ215" i="6" s="1"/>
  <c r="D167" i="6" a="1"/>
  <c r="D167" i="6" s="1"/>
  <c r="BJ167" i="6" s="1"/>
  <c r="D168" i="6" a="1"/>
  <c r="D168" i="6" s="1"/>
  <c r="BJ168" i="6" s="1"/>
  <c r="D169" i="6" a="1"/>
  <c r="D169" i="6" s="1"/>
  <c r="BJ169" i="6" s="1"/>
  <c r="D170" i="6" a="1"/>
  <c r="D170" i="6" s="1"/>
  <c r="BJ170" i="6" s="1"/>
  <c r="D171" i="6" a="1"/>
  <c r="D171" i="6" s="1"/>
  <c r="BJ171" i="6" s="1"/>
  <c r="D173" i="6" a="1"/>
  <c r="D173" i="6" s="1"/>
  <c r="BJ173" i="6" s="1"/>
  <c r="D174" i="6" a="1"/>
  <c r="D174" i="6" s="1"/>
  <c r="BJ174" i="6" s="1"/>
  <c r="D175" i="6" a="1"/>
  <c r="D175" i="6" s="1"/>
  <c r="BJ175" i="6" s="1"/>
  <c r="D176" i="6" a="1"/>
  <c r="D176" i="6" s="1"/>
  <c r="BJ176" i="6" s="1"/>
  <c r="D177" i="6" a="1"/>
  <c r="D177" i="6" s="1"/>
  <c r="BJ177" i="6" s="1"/>
  <c r="D178" i="6" a="1"/>
  <c r="D178" i="6" s="1"/>
  <c r="BJ178" i="6" s="1"/>
  <c r="D179" i="6" a="1"/>
  <c r="D179" i="6" s="1"/>
  <c r="BJ179" i="6" s="1"/>
  <c r="D180" i="6" a="1"/>
  <c r="D180" i="6" s="1"/>
  <c r="BJ180" i="6" s="1"/>
  <c r="D182" i="6" a="1"/>
  <c r="D182" i="6" s="1"/>
  <c r="BJ182" i="6" s="1"/>
  <c r="D183" i="6" a="1"/>
  <c r="D183" i="6" s="1"/>
  <c r="BJ183" i="6" s="1"/>
  <c r="D184" i="6" a="1"/>
  <c r="D184" i="6" s="1"/>
  <c r="BJ184" i="6" s="1"/>
  <c r="D185" i="6" a="1"/>
  <c r="D185" i="6" s="1"/>
  <c r="BJ185" i="6" s="1"/>
  <c r="D186" i="6" a="1"/>
  <c r="D186" i="6" s="1"/>
  <c r="BJ186" i="6" s="1"/>
  <c r="D187" i="6" a="1"/>
  <c r="D187" i="6" s="1"/>
  <c r="BJ187" i="6" s="1"/>
  <c r="D188" i="6" a="1"/>
  <c r="D188" i="6" s="1"/>
  <c r="BJ188" i="6" s="1"/>
  <c r="D189" i="6" a="1"/>
  <c r="D189" i="6" s="1"/>
  <c r="BJ189" i="6" s="1"/>
  <c r="D191" i="6" a="1"/>
  <c r="D191" i="6" s="1"/>
  <c r="BJ191" i="6" s="1"/>
  <c r="D142" i="6" a="1"/>
  <c r="D142" i="6" s="1"/>
  <c r="BJ142" i="6" s="1"/>
  <c r="D143" i="6" a="1"/>
  <c r="D143" i="6" s="1"/>
  <c r="BJ143" i="6" s="1"/>
  <c r="D144" i="6" a="1"/>
  <c r="D144" i="6" s="1"/>
  <c r="BJ144" i="6" s="1"/>
  <c r="D146" i="6" a="1"/>
  <c r="D146" i="6" s="1"/>
  <c r="BJ146" i="6" s="1"/>
  <c r="D147" i="6" a="1"/>
  <c r="D147" i="6" s="1"/>
  <c r="BJ147" i="6" s="1"/>
  <c r="D148" i="6" a="1"/>
  <c r="D148" i="6" s="1"/>
  <c r="BJ148" i="6" s="1"/>
  <c r="D149" i="6" a="1"/>
  <c r="D149" i="6" s="1"/>
  <c r="BJ149" i="6" s="1"/>
  <c r="D150" i="6" a="1"/>
  <c r="D150" i="6" s="1"/>
  <c r="BJ150" i="6" s="1"/>
  <c r="D151" i="6" a="1"/>
  <c r="D151" i="6" s="1"/>
  <c r="BJ151" i="6" s="1"/>
  <c r="D152" i="6" a="1"/>
  <c r="D152" i="6" s="1"/>
  <c r="BJ152" i="6" s="1"/>
  <c r="D153" i="6" a="1"/>
  <c r="D153" i="6" s="1"/>
  <c r="BJ153" i="6" s="1"/>
  <c r="D155" i="6" a="1"/>
  <c r="D155" i="6" s="1"/>
  <c r="BJ155" i="6" s="1"/>
  <c r="D156" i="6" a="1"/>
  <c r="D156" i="6" s="1"/>
  <c r="BJ156" i="6" s="1"/>
  <c r="D157" i="6" a="1"/>
  <c r="D157" i="6" s="1"/>
  <c r="BJ157" i="6" s="1"/>
  <c r="D158" i="6" a="1"/>
  <c r="D158" i="6" s="1"/>
  <c r="BJ158" i="6" s="1"/>
  <c r="D159" i="6" a="1"/>
  <c r="D159" i="6" s="1"/>
  <c r="BJ159" i="6" s="1"/>
  <c r="D160" i="6" a="1"/>
  <c r="D160" i="6" s="1"/>
  <c r="BJ160" i="6" s="1"/>
  <c r="D161" i="6" a="1"/>
  <c r="D161" i="6" s="1"/>
  <c r="BJ161" i="6" s="1"/>
  <c r="D162" i="6" a="1"/>
  <c r="D162" i="6" s="1"/>
  <c r="BJ162" i="6" s="1"/>
  <c r="D164" i="6" a="1"/>
  <c r="D164" i="6" s="1"/>
  <c r="BJ164" i="6" s="1"/>
  <c r="D165" i="6" a="1"/>
  <c r="D165" i="6" s="1"/>
  <c r="BJ165" i="6" s="1"/>
  <c r="D166" i="6" a="1"/>
  <c r="D166" i="6" s="1"/>
  <c r="BJ166" i="6" s="1"/>
  <c r="D117" i="6" a="1"/>
  <c r="D117" i="6" s="1"/>
  <c r="BJ117" i="6" s="1"/>
  <c r="D119" i="6" a="1"/>
  <c r="D119" i="6" s="1"/>
  <c r="BJ119" i="6" s="1"/>
  <c r="D120" i="6" a="1"/>
  <c r="D120" i="6" s="1"/>
  <c r="BJ120" i="6" s="1"/>
  <c r="D121" i="6" a="1"/>
  <c r="D121" i="6" s="1"/>
  <c r="BJ121" i="6" s="1"/>
  <c r="D122" i="6" a="1"/>
  <c r="D122" i="6" s="1"/>
  <c r="BJ122" i="6" s="1"/>
  <c r="D123" i="6" a="1"/>
  <c r="D123" i="6"/>
  <c r="BJ123" i="6" s="1"/>
  <c r="D124" i="6" a="1"/>
  <c r="D124" i="6" s="1"/>
  <c r="BJ124" i="6" s="1"/>
  <c r="D125" i="6" a="1"/>
  <c r="D125" i="6" s="1"/>
  <c r="BJ125" i="6" s="1"/>
  <c r="D126" i="6" a="1"/>
  <c r="D126" i="6" s="1"/>
  <c r="BJ126" i="6" s="1"/>
  <c r="D128" i="6" a="1"/>
  <c r="D128" i="6" s="1"/>
  <c r="BJ128" i="6" s="1"/>
  <c r="D129" i="6" a="1"/>
  <c r="D129" i="6" s="1"/>
  <c r="BJ129" i="6" s="1"/>
  <c r="D130" i="6" a="1"/>
  <c r="D130" i="6" s="1"/>
  <c r="BJ130" i="6" s="1"/>
  <c r="D131" i="6" a="1"/>
  <c r="D131" i="6" s="1"/>
  <c r="BJ131" i="6" s="1"/>
  <c r="D132" i="6" a="1"/>
  <c r="D132" i="6" s="1"/>
  <c r="BJ132" i="6" s="1"/>
  <c r="D133" i="6" a="1"/>
  <c r="D133" i="6" s="1"/>
  <c r="BJ133" i="6" s="1"/>
  <c r="D134" i="6" a="1"/>
  <c r="D134" i="6" s="1"/>
  <c r="BJ134" i="6" s="1"/>
  <c r="D135" i="6" a="1"/>
  <c r="D135" i="6" s="1"/>
  <c r="BJ135" i="6" s="1"/>
  <c r="D137" i="6" a="1"/>
  <c r="D137" i="6" s="1"/>
  <c r="BJ137" i="6" s="1"/>
  <c r="D138" i="6" a="1"/>
  <c r="D138" i="6" s="1"/>
  <c r="BJ138" i="6" s="1"/>
  <c r="D139" i="6" a="1"/>
  <c r="D139" i="6" s="1"/>
  <c r="BJ139" i="6" s="1"/>
  <c r="D140" i="6" a="1"/>
  <c r="D140" i="6" s="1"/>
  <c r="BJ140" i="6" s="1"/>
  <c r="D141" i="6" a="1"/>
  <c r="D141" i="6" s="1"/>
  <c r="BJ141" i="6" s="1"/>
  <c r="D93" i="6" a="1"/>
  <c r="D93" i="6" s="1"/>
  <c r="BJ93" i="6" s="1"/>
  <c r="D94" i="6" a="1"/>
  <c r="D94" i="6" s="1"/>
  <c r="BJ94" i="6" s="1"/>
  <c r="D95" i="6" a="1"/>
  <c r="D95" i="6" s="1"/>
  <c r="BJ95" i="6" s="1"/>
  <c r="D96" i="6" a="1"/>
  <c r="D96" i="6" s="1"/>
  <c r="BJ96" i="6" s="1"/>
  <c r="D97" i="6" a="1"/>
  <c r="D97" i="6" s="1"/>
  <c r="BJ97" i="6" s="1"/>
  <c r="D98" i="6" a="1"/>
  <c r="D98" i="6" s="1"/>
  <c r="BJ98" i="6" s="1"/>
  <c r="D99" i="6" a="1"/>
  <c r="D99" i="6"/>
  <c r="BJ99" i="6" s="1"/>
  <c r="D101" i="6" a="1"/>
  <c r="D101" i="6" s="1"/>
  <c r="BJ101" i="6" s="1"/>
  <c r="D102" i="6" a="1"/>
  <c r="D102" i="6" s="1"/>
  <c r="BJ102" i="6" s="1"/>
  <c r="D103" i="6" a="1"/>
  <c r="D103" i="6" s="1"/>
  <c r="BJ103" i="6" s="1"/>
  <c r="D104" i="6" a="1"/>
  <c r="D104" i="6" s="1"/>
  <c r="BJ104" i="6" s="1"/>
  <c r="D105" i="6" a="1"/>
  <c r="D105" i="6" s="1"/>
  <c r="BJ105" i="6" s="1"/>
  <c r="D106" i="6" a="1"/>
  <c r="D106" i="6" s="1"/>
  <c r="BJ106" i="6" s="1"/>
  <c r="D107" i="6" a="1"/>
  <c r="D107" i="6" s="1"/>
  <c r="BJ107" i="6" s="1"/>
  <c r="D108" i="6" a="1"/>
  <c r="D108" i="6" s="1"/>
  <c r="BJ108" i="6" s="1"/>
  <c r="D110" i="6" a="1"/>
  <c r="D110" i="6" s="1"/>
  <c r="BJ110" i="6" s="1"/>
  <c r="D111" i="6" a="1"/>
  <c r="D111" i="6" s="1"/>
  <c r="BJ111" i="6" s="1"/>
  <c r="D112" i="6" a="1"/>
  <c r="D112" i="6" s="1"/>
  <c r="BJ112" i="6" s="1"/>
  <c r="D113" i="6" a="1"/>
  <c r="D113" i="6" s="1"/>
  <c r="BJ113" i="6" s="1"/>
  <c r="D114" i="6" a="1"/>
  <c r="D114" i="6" s="1"/>
  <c r="BJ114" i="6" s="1"/>
  <c r="D115" i="6" a="1"/>
  <c r="D115" i="6" s="1"/>
  <c r="BJ115" i="6" s="1"/>
  <c r="D116" i="6" a="1"/>
  <c r="D116" i="6" s="1"/>
  <c r="BJ116" i="6" s="1"/>
  <c r="D68" i="6" a="1"/>
  <c r="D68" i="6" s="1"/>
  <c r="BJ68" i="6" s="1"/>
  <c r="D69" i="6" a="1"/>
  <c r="D69" i="6" s="1"/>
  <c r="BJ69" i="6" s="1"/>
  <c r="D70" i="6" a="1"/>
  <c r="D70" i="6" s="1"/>
  <c r="BJ70" i="6" s="1"/>
  <c r="D71" i="6" a="1"/>
  <c r="D71" i="6" s="1"/>
  <c r="BJ71" i="6" s="1"/>
  <c r="D72" i="6" a="1"/>
  <c r="D72" i="6" s="1"/>
  <c r="BJ72" i="6" s="1"/>
  <c r="D74" i="6" a="1"/>
  <c r="D74" i="6" s="1"/>
  <c r="BJ74" i="6" s="1"/>
  <c r="D75" i="6" a="1"/>
  <c r="D75" i="6" s="1"/>
  <c r="BJ75" i="6" s="1"/>
  <c r="D76" i="6" a="1"/>
  <c r="D76" i="6" s="1"/>
  <c r="BJ76" i="6" s="1"/>
  <c r="D77" i="6" a="1"/>
  <c r="D77" i="6" s="1"/>
  <c r="BJ77" i="6" s="1"/>
  <c r="D78" i="6" a="1"/>
  <c r="D78" i="6" s="1"/>
  <c r="BJ78" i="6" s="1"/>
  <c r="D79" i="6" a="1"/>
  <c r="D79" i="6" s="1"/>
  <c r="BJ79" i="6" s="1"/>
  <c r="D80" i="6" a="1"/>
  <c r="D80" i="6" s="1"/>
  <c r="BJ80" i="6" s="1"/>
  <c r="D81" i="6" a="1"/>
  <c r="D81" i="6" s="1"/>
  <c r="BJ81" i="6" s="1"/>
  <c r="D83" i="6" a="1"/>
  <c r="D83" i="6" s="1"/>
  <c r="BJ83" i="6" s="1"/>
  <c r="D84" i="6" a="1"/>
  <c r="D84" i="6" s="1"/>
  <c r="BJ84" i="6" s="1"/>
  <c r="D85" i="6" a="1"/>
  <c r="D85" i="6" s="1"/>
  <c r="BJ85" i="6" s="1"/>
  <c r="D86" i="6" a="1"/>
  <c r="D86" i="6" s="1"/>
  <c r="BJ86" i="6" s="1"/>
  <c r="D87" i="6" a="1"/>
  <c r="D87" i="6" s="1"/>
  <c r="BJ87" i="6" s="1"/>
  <c r="D88" i="6" a="1"/>
  <c r="D88" i="6" s="1"/>
  <c r="BJ88" i="6" s="1"/>
  <c r="D89" i="6" a="1"/>
  <c r="D89" i="6" s="1"/>
  <c r="BJ89" i="6" s="1"/>
  <c r="D90" i="6" a="1"/>
  <c r="D90" i="6" s="1"/>
  <c r="BJ90" i="6" s="1"/>
  <c r="D92" i="6" a="1"/>
  <c r="D92" i="6" s="1"/>
  <c r="BJ92" i="6" s="1"/>
  <c r="D43" i="6" a="1"/>
  <c r="D43" i="6" s="1"/>
  <c r="BJ43" i="6" s="1"/>
  <c r="D44" i="6" a="1"/>
  <c r="D44" i="6" s="1"/>
  <c r="BJ44" i="6" s="1"/>
  <c r="D45" i="6" a="1"/>
  <c r="D45" i="6" s="1"/>
  <c r="BJ45" i="6" s="1"/>
  <c r="D47" i="6" a="1"/>
  <c r="D47" i="6" s="1"/>
  <c r="BJ47" i="6" s="1"/>
  <c r="D48" i="6" a="1"/>
  <c r="D48" i="6" s="1"/>
  <c r="BJ48" i="6" s="1"/>
  <c r="D49" i="6" a="1"/>
  <c r="D49" i="6" s="1"/>
  <c r="BJ49" i="6" s="1"/>
  <c r="D50" i="6" a="1"/>
  <c r="D50" i="6" s="1"/>
  <c r="BJ50" i="6" s="1"/>
  <c r="D51" i="6" a="1"/>
  <c r="D51" i="6" s="1"/>
  <c r="BJ51" i="6" s="1"/>
  <c r="D52" i="6" a="1"/>
  <c r="D52" i="6" s="1"/>
  <c r="BJ52" i="6" s="1"/>
  <c r="D53" i="6" a="1"/>
  <c r="D53" i="6" s="1"/>
  <c r="BJ53" i="6" s="1"/>
  <c r="D54" i="6" a="1"/>
  <c r="D54" i="6" s="1"/>
  <c r="BJ54" i="6" s="1"/>
  <c r="D56" i="6" a="1"/>
  <c r="D56" i="6" s="1"/>
  <c r="BJ56" i="6" s="1"/>
  <c r="D57" i="6" a="1"/>
  <c r="D57" i="6" s="1"/>
  <c r="BJ57" i="6" s="1"/>
  <c r="D58" i="6" a="1"/>
  <c r="D58" i="6" s="1"/>
  <c r="BJ58" i="6" s="1"/>
  <c r="D59" i="6" a="1"/>
  <c r="D59" i="6" s="1"/>
  <c r="BJ59" i="6" s="1"/>
  <c r="D60" i="6" a="1"/>
  <c r="D60" i="6" s="1"/>
  <c r="BJ60" i="6" s="1"/>
  <c r="D61" i="6" a="1"/>
  <c r="D61" i="6" s="1"/>
  <c r="BJ61" i="6" s="1"/>
  <c r="D62" i="6" a="1"/>
  <c r="D62" i="6" s="1"/>
  <c r="BJ62" i="6" s="1"/>
  <c r="D63" i="6" a="1"/>
  <c r="D63" i="6" s="1"/>
  <c r="BJ63" i="6" s="1"/>
  <c r="D65" i="6" a="1"/>
  <c r="D65" i="6" s="1"/>
  <c r="BJ65" i="6" s="1"/>
  <c r="D66" i="6" a="1"/>
  <c r="D66" i="6" s="1"/>
  <c r="BJ66" i="6" s="1"/>
  <c r="D67" i="6" a="1"/>
  <c r="D67" i="6" s="1"/>
  <c r="BJ67" i="6" s="1"/>
  <c r="D20" i="6" a="1"/>
  <c r="D20" i="6" s="1"/>
  <c r="BJ20" i="6" s="1"/>
  <c r="BI20" i="6" a="1"/>
  <c r="BI20" i="6" s="1"/>
  <c r="B20" i="6" s="1" a="1"/>
  <c r="B20" i="6" s="1"/>
  <c r="B19" i="6" s="1"/>
  <c r="D21" i="6" a="1"/>
  <c r="D21" i="6" s="1"/>
  <c r="BJ21" i="6" s="1"/>
  <c r="BI21" i="6" a="1"/>
  <c r="BI21" i="6" s="1"/>
  <c r="D22" i="6" a="1"/>
  <c r="D22" i="6" s="1"/>
  <c r="BJ22" i="6" s="1"/>
  <c r="BI22" i="6" a="1"/>
  <c r="BI22" i="6" s="1"/>
  <c r="D23" i="6" a="1"/>
  <c r="D23" i="6" s="1"/>
  <c r="BJ23" i="6" s="1"/>
  <c r="BI23" i="6" a="1"/>
  <c r="BI23" i="6" s="1"/>
  <c r="D24" i="6" a="1"/>
  <c r="D24" i="6" s="1"/>
  <c r="BJ24" i="6" s="1"/>
  <c r="BI24" i="6" a="1"/>
  <c r="BI24" i="6" s="1"/>
  <c r="D25" i="6" a="1"/>
  <c r="D25" i="6" s="1"/>
  <c r="BJ25" i="6" s="1"/>
  <c r="BI25" i="6" a="1"/>
  <c r="BI25" i="6" s="1"/>
  <c r="D26" i="6" a="1"/>
  <c r="D26" i="6" s="1"/>
  <c r="BJ26" i="6" s="1"/>
  <c r="BI26" i="6" a="1"/>
  <c r="BI26" i="6" s="1"/>
  <c r="D27" i="6" a="1"/>
  <c r="D27" i="6" s="1"/>
  <c r="BJ27" i="6" s="1"/>
  <c r="BI27" i="6" a="1"/>
  <c r="BI27" i="6" s="1"/>
  <c r="F27" i="6" s="1"/>
  <c r="D29" i="6" a="1"/>
  <c r="D29" i="6" s="1"/>
  <c r="BJ29" i="6" s="1"/>
  <c r="D30" i="6" a="1"/>
  <c r="D30" i="6" s="1"/>
  <c r="BJ30" i="6" s="1"/>
  <c r="D31" i="6" a="1"/>
  <c r="D31" i="6" s="1"/>
  <c r="BJ31" i="6" s="1"/>
  <c r="D32" i="6" a="1"/>
  <c r="D32" i="6" s="1"/>
  <c r="BJ32" i="6" s="1"/>
  <c r="D33" i="6" a="1"/>
  <c r="D33" i="6" s="1"/>
  <c r="BJ33" i="6" s="1"/>
  <c r="D34" i="6" a="1"/>
  <c r="D34" i="6" s="1"/>
  <c r="BJ34" i="6" s="1"/>
  <c r="D35" i="6" a="1"/>
  <c r="D35" i="6" s="1"/>
  <c r="BJ35" i="6" s="1"/>
  <c r="D36" i="6" a="1"/>
  <c r="D36" i="6" s="1"/>
  <c r="BJ36" i="6" s="1"/>
  <c r="D38" i="6" a="1"/>
  <c r="D38" i="6" s="1"/>
  <c r="BJ38" i="6" s="1"/>
  <c r="D39" i="6" a="1"/>
  <c r="D39" i="6" s="1"/>
  <c r="BJ39" i="6" s="1"/>
  <c r="D40" i="6" a="1"/>
  <c r="D40" i="6" s="1"/>
  <c r="BJ40" i="6" s="1"/>
  <c r="D41" i="6" a="1"/>
  <c r="D41" i="6" s="1"/>
  <c r="BJ41" i="6" s="1"/>
  <c r="D42" i="6" a="1"/>
  <c r="D42" i="6" s="1"/>
  <c r="BJ42" i="6" s="1"/>
  <c r="A207" i="7"/>
  <c r="B207" i="7"/>
  <c r="D207" i="7"/>
  <c r="Y207" i="7" s="1"/>
  <c r="F207" i="7"/>
  <c r="G207" i="7" s="1"/>
  <c r="P207" i="7" s="1"/>
  <c r="AB207" i="7"/>
  <c r="A208" i="7"/>
  <c r="B208" i="7"/>
  <c r="D208" i="7"/>
  <c r="F208" i="7"/>
  <c r="G208" i="7" s="1"/>
  <c r="P208" i="7" s="1"/>
  <c r="AB208" i="7"/>
  <c r="E209" i="7"/>
  <c r="H209" i="7"/>
  <c r="Z209" i="7" s="1"/>
  <c r="AD209" i="7"/>
  <c r="A210" i="7"/>
  <c r="B210" i="7"/>
  <c r="D210" i="7"/>
  <c r="Z210" i="7" s="1"/>
  <c r="F210" i="7"/>
  <c r="G210" i="7" s="1"/>
  <c r="AB210" i="7"/>
  <c r="A211" i="7"/>
  <c r="B211" i="7"/>
  <c r="D211" i="7"/>
  <c r="Y211" i="7" s="1"/>
  <c r="F211" i="7"/>
  <c r="G211" i="7" s="1"/>
  <c r="AB211" i="7"/>
  <c r="A212" i="7"/>
  <c r="B212" i="7"/>
  <c r="D212" i="7"/>
  <c r="Y212" i="7" s="1"/>
  <c r="F212" i="7"/>
  <c r="Z212" i="7"/>
  <c r="AB212" i="7"/>
  <c r="A213" i="7"/>
  <c r="B213" i="7"/>
  <c r="D213" i="7"/>
  <c r="Z213" i="7" s="1"/>
  <c r="F213" i="7"/>
  <c r="G213" i="7" s="1"/>
  <c r="AD213" i="7" s="1"/>
  <c r="AB213" i="7"/>
  <c r="A214" i="7"/>
  <c r="B214" i="7"/>
  <c r="D214" i="7"/>
  <c r="F214" i="7"/>
  <c r="G214" i="7"/>
  <c r="AD214" i="7" s="1"/>
  <c r="AB214" i="7"/>
  <c r="A215" i="7"/>
  <c r="B215" i="7"/>
  <c r="D215" i="7"/>
  <c r="Y215" i="7" s="1"/>
  <c r="F215" i="7"/>
  <c r="AB215" i="7"/>
  <c r="A216" i="7"/>
  <c r="B216" i="7"/>
  <c r="D216" i="7"/>
  <c r="Y216" i="7" s="1"/>
  <c r="F216" i="7"/>
  <c r="G216" i="7"/>
  <c r="P216" i="7" s="1"/>
  <c r="AB216" i="7"/>
  <c r="A217" i="7"/>
  <c r="B217" i="7"/>
  <c r="D217" i="7"/>
  <c r="AA217" i="7" s="1"/>
  <c r="F217" i="7"/>
  <c r="G217" i="7" s="1"/>
  <c r="AB217" i="7"/>
  <c r="E218" i="7"/>
  <c r="H218" i="7"/>
  <c r="AD218" i="7"/>
  <c r="A219" i="7"/>
  <c r="B219" i="7"/>
  <c r="D219" i="7"/>
  <c r="AA219" i="7" s="1"/>
  <c r="F219" i="7"/>
  <c r="G219" i="7" s="1"/>
  <c r="AB219" i="7"/>
  <c r="A220" i="7"/>
  <c r="B220" i="7"/>
  <c r="D220" i="7"/>
  <c r="Z220" i="7" s="1"/>
  <c r="F220" i="7"/>
  <c r="G220" i="7" s="1"/>
  <c r="P220" i="7" s="1"/>
  <c r="Y220" i="7"/>
  <c r="AA220" i="7"/>
  <c r="AB220" i="7"/>
  <c r="AD220" i="7"/>
  <c r="A221" i="7"/>
  <c r="B221" i="7"/>
  <c r="D221" i="7"/>
  <c r="AA221" i="7" s="1"/>
  <c r="F221" i="7"/>
  <c r="G221" i="7" s="1"/>
  <c r="AB221" i="7"/>
  <c r="A222" i="7"/>
  <c r="B222" i="7"/>
  <c r="D222" i="7"/>
  <c r="Z222" i="7" s="1"/>
  <c r="F222" i="7"/>
  <c r="AB222" i="7"/>
  <c r="A223" i="7"/>
  <c r="B223" i="7"/>
  <c r="D223" i="7"/>
  <c r="AA223" i="7" s="1"/>
  <c r="F223" i="7"/>
  <c r="G223" i="7" s="1"/>
  <c r="P223" i="7" s="1"/>
  <c r="AB223" i="7"/>
  <c r="A224" i="7"/>
  <c r="B224" i="7"/>
  <c r="D224" i="7"/>
  <c r="F224" i="7"/>
  <c r="G224" i="7" s="1"/>
  <c r="P224" i="7" s="1"/>
  <c r="Y224" i="7"/>
  <c r="Z224" i="7"/>
  <c r="AA224" i="7"/>
  <c r="AB224" i="7"/>
  <c r="A225" i="7"/>
  <c r="B225" i="7"/>
  <c r="D225" i="7"/>
  <c r="Z225" i="7" s="1"/>
  <c r="F225" i="7"/>
  <c r="G225" i="7" s="1"/>
  <c r="AB225" i="7"/>
  <c r="A226" i="7"/>
  <c r="B226" i="7"/>
  <c r="D226" i="7"/>
  <c r="Y226" i="7" s="1"/>
  <c r="F226" i="7"/>
  <c r="G226" i="7" s="1"/>
  <c r="P226" i="7" s="1"/>
  <c r="AA226" i="7"/>
  <c r="AB226" i="7"/>
  <c r="E227" i="7"/>
  <c r="H227" i="7"/>
  <c r="Z227" i="7" s="1"/>
  <c r="AD227" i="7"/>
  <c r="A228" i="7"/>
  <c r="Q228" i="7" s="1" a="1"/>
  <c r="Q228" i="7" s="1"/>
  <c r="B228" i="7"/>
  <c r="D228" i="7"/>
  <c r="AB228" i="7"/>
  <c r="A229" i="7"/>
  <c r="B229" i="7"/>
  <c r="D229" i="7"/>
  <c r="Z229" i="7" s="1"/>
  <c r="F229" i="7"/>
  <c r="G229" i="7" s="1"/>
  <c r="Y229" i="7"/>
  <c r="AB229" i="7"/>
  <c r="A230" i="7"/>
  <c r="B230" i="7"/>
  <c r="D230" i="7"/>
  <c r="Y230" i="7" s="1"/>
  <c r="F230" i="7"/>
  <c r="AA230" i="7"/>
  <c r="AB230" i="7"/>
  <c r="A231" i="7"/>
  <c r="B231" i="7"/>
  <c r="D231" i="7"/>
  <c r="AA231" i="7" s="1"/>
  <c r="F231" i="7"/>
  <c r="AB231" i="7"/>
  <c r="A232" i="7"/>
  <c r="B232" i="7"/>
  <c r="D232" i="7"/>
  <c r="F232" i="7"/>
  <c r="G232" i="7"/>
  <c r="AD232" i="7" s="1"/>
  <c r="AB232" i="7"/>
  <c r="A233" i="7"/>
  <c r="B233" i="7"/>
  <c r="D233" i="7"/>
  <c r="F233" i="7"/>
  <c r="G233" i="7" s="1"/>
  <c r="P233" i="7" s="1"/>
  <c r="AB233" i="7"/>
  <c r="A234" i="7"/>
  <c r="B234" i="7"/>
  <c r="D234" i="7"/>
  <c r="F234" i="7"/>
  <c r="G234" i="7" s="1"/>
  <c r="AD234" i="7" s="1"/>
  <c r="AB234" i="7"/>
  <c r="A235" i="7"/>
  <c r="B235" i="7"/>
  <c r="D235" i="7"/>
  <c r="AA235" i="7" s="1"/>
  <c r="F235" i="7"/>
  <c r="G235" i="7" s="1"/>
  <c r="P235" i="7" s="1"/>
  <c r="AB235" i="7"/>
  <c r="E166" i="7"/>
  <c r="H166" i="7"/>
  <c r="AD166" i="7"/>
  <c r="A167" i="7"/>
  <c r="B167" i="7"/>
  <c r="D167" i="7"/>
  <c r="AA167" i="7" s="1"/>
  <c r="P167" i="7"/>
  <c r="A168" i="7"/>
  <c r="B168" i="7"/>
  <c r="D168" i="7"/>
  <c r="AA168" i="7" s="1"/>
  <c r="F168" i="7"/>
  <c r="AB168" i="7" s="1"/>
  <c r="A169" i="7"/>
  <c r="B169" i="7"/>
  <c r="D169" i="7"/>
  <c r="AA169" i="7" s="1"/>
  <c r="F169" i="7"/>
  <c r="A170" i="7"/>
  <c r="B170" i="7"/>
  <c r="D170" i="7"/>
  <c r="AA170" i="7" s="1"/>
  <c r="F170" i="7"/>
  <c r="AB170" i="7" s="1"/>
  <c r="E171" i="7"/>
  <c r="H171" i="7"/>
  <c r="AD171" i="7"/>
  <c r="A172" i="7"/>
  <c r="B172" i="7"/>
  <c r="D172" i="7"/>
  <c r="F172" i="7"/>
  <c r="G172" i="7" s="1"/>
  <c r="P172" i="7" s="1"/>
  <c r="AA172" i="7"/>
  <c r="A173" i="7"/>
  <c r="B173" i="7"/>
  <c r="D173" i="7"/>
  <c r="AA173" i="7" s="1"/>
  <c r="F173" i="7"/>
  <c r="G173" i="7" s="1"/>
  <c r="A174" i="7"/>
  <c r="B174" i="7"/>
  <c r="D174" i="7"/>
  <c r="AA174" i="7" s="1"/>
  <c r="F174" i="7"/>
  <c r="AB174" i="7" s="1"/>
  <c r="A175" i="7"/>
  <c r="Q175" i="7" s="1" a="1"/>
  <c r="Q175" i="7" s="1"/>
  <c r="B175" i="7"/>
  <c r="D175" i="7"/>
  <c r="AA175" i="7" s="1"/>
  <c r="F175" i="7"/>
  <c r="A176" i="7"/>
  <c r="Q176" i="7" s="1" a="1"/>
  <c r="Q176" i="7" s="1"/>
  <c r="B176" i="7"/>
  <c r="D176" i="7"/>
  <c r="F176" i="7"/>
  <c r="G176" i="7"/>
  <c r="AD176" i="7" s="1"/>
  <c r="AB176" i="7"/>
  <c r="E177" i="7"/>
  <c r="F177" i="7"/>
  <c r="H177" i="7"/>
  <c r="AD177" i="7"/>
  <c r="A178" i="7"/>
  <c r="B178" i="7"/>
  <c r="D178" i="7"/>
  <c r="AA178" i="7" s="1"/>
  <c r="G178" i="7"/>
  <c r="P178" i="7" s="1"/>
  <c r="A179" i="7"/>
  <c r="B179" i="7"/>
  <c r="D179" i="7"/>
  <c r="G179" i="7"/>
  <c r="P179" i="7" s="1"/>
  <c r="E180" i="7"/>
  <c r="H180" i="7"/>
  <c r="AD180" i="7"/>
  <c r="A181" i="7"/>
  <c r="B181" i="7"/>
  <c r="D181" i="7"/>
  <c r="F181" i="7"/>
  <c r="G181" i="7" s="1"/>
  <c r="A182" i="7"/>
  <c r="B182" i="7"/>
  <c r="D182" i="7"/>
  <c r="F182" i="7"/>
  <c r="A183" i="7"/>
  <c r="B183" i="7"/>
  <c r="D183" i="7"/>
  <c r="F183" i="7"/>
  <c r="AB183" i="7" s="1"/>
  <c r="A184" i="7"/>
  <c r="B184" i="7"/>
  <c r="D184" i="7"/>
  <c r="AA184" i="7" s="1"/>
  <c r="F184" i="7"/>
  <c r="AB184" i="7" s="1"/>
  <c r="A185" i="7"/>
  <c r="B185" i="7"/>
  <c r="D185" i="7"/>
  <c r="AA185" i="7" s="1"/>
  <c r="F185" i="7"/>
  <c r="AB185" i="7" s="1"/>
  <c r="A186" i="7"/>
  <c r="B186" i="7"/>
  <c r="D186" i="7"/>
  <c r="F186" i="7"/>
  <c r="G186" i="7" s="1"/>
  <c r="P186" i="7" s="1"/>
  <c r="A187" i="7"/>
  <c r="B187" i="7"/>
  <c r="D187" i="7"/>
  <c r="AA187" i="7" s="1"/>
  <c r="F187" i="7"/>
  <c r="E188" i="7"/>
  <c r="H188" i="7"/>
  <c r="AD188" i="7"/>
  <c r="A189" i="7"/>
  <c r="D189" i="7"/>
  <c r="AA189" i="7" s="1"/>
  <c r="F189" i="7"/>
  <c r="P189" i="7"/>
  <c r="AD189" i="7"/>
  <c r="A190" i="7"/>
  <c r="D190" i="7"/>
  <c r="AA190" i="7" s="1"/>
  <c r="F190" i="7"/>
  <c r="P190" i="7"/>
  <c r="AD190" i="7"/>
  <c r="A191" i="7"/>
  <c r="D191" i="7"/>
  <c r="F191" i="7"/>
  <c r="P191" i="7"/>
  <c r="AD191" i="7"/>
  <c r="A192" i="7"/>
  <c r="D192" i="7"/>
  <c r="AA192" i="7" s="1"/>
  <c r="G192" i="7"/>
  <c r="AD192" i="7" s="1"/>
  <c r="E193" i="7"/>
  <c r="H193" i="7"/>
  <c r="AD193" i="7"/>
  <c r="A194" i="7"/>
  <c r="B194" i="7"/>
  <c r="D194" i="7"/>
  <c r="AA194" i="7" s="1"/>
  <c r="G194" i="7"/>
  <c r="P194" i="7" s="1"/>
  <c r="A195" i="7"/>
  <c r="B195" i="7"/>
  <c r="D195" i="7"/>
  <c r="F195" i="7"/>
  <c r="P195" i="7"/>
  <c r="AD195" i="7"/>
  <c r="A196" i="7"/>
  <c r="B196" i="7"/>
  <c r="D196" i="7"/>
  <c r="F196" i="7"/>
  <c r="P196" i="7"/>
  <c r="AD196" i="7"/>
  <c r="A197" i="7"/>
  <c r="B197" i="7"/>
  <c r="D197" i="7"/>
  <c r="AA197" i="7" s="1"/>
  <c r="F197" i="7"/>
  <c r="P197" i="7"/>
  <c r="AD197" i="7"/>
  <c r="A198" i="7"/>
  <c r="B198" i="7"/>
  <c r="D198" i="7"/>
  <c r="F198" i="7"/>
  <c r="P198" i="7"/>
  <c r="AA198" i="7"/>
  <c r="AD198" i="7"/>
  <c r="A199" i="7"/>
  <c r="B199" i="7"/>
  <c r="D199" i="7"/>
  <c r="F199" i="7"/>
  <c r="P199" i="7"/>
  <c r="AA199" i="7"/>
  <c r="AD199" i="7"/>
  <c r="E200" i="7"/>
  <c r="H200" i="7"/>
  <c r="AD200" i="7"/>
  <c r="A201" i="7"/>
  <c r="B201" i="7"/>
  <c r="D201" i="7"/>
  <c r="Z201" i="7" s="1"/>
  <c r="F201" i="7"/>
  <c r="G201" i="7" s="1"/>
  <c r="AB201" i="7"/>
  <c r="A202" i="7"/>
  <c r="B202" i="7"/>
  <c r="D202" i="7"/>
  <c r="Z202" i="7" s="1"/>
  <c r="F202" i="7"/>
  <c r="G202" i="7" s="1"/>
  <c r="AB202" i="7"/>
  <c r="A203" i="7"/>
  <c r="B203" i="7"/>
  <c r="D203" i="7"/>
  <c r="Y203" i="7" s="1"/>
  <c r="F203" i="7"/>
  <c r="G203" i="7" s="1"/>
  <c r="AB203" i="7"/>
  <c r="A204" i="7"/>
  <c r="B204" i="7"/>
  <c r="D204" i="7"/>
  <c r="F204" i="7"/>
  <c r="G204" i="7" s="1"/>
  <c r="AD204" i="7" s="1"/>
  <c r="AB204" i="7"/>
  <c r="A205" i="7"/>
  <c r="B205" i="7"/>
  <c r="D205" i="7"/>
  <c r="Z205" i="7" s="1"/>
  <c r="F205" i="7"/>
  <c r="G205" i="7"/>
  <c r="P205" i="7" s="1"/>
  <c r="AB205" i="7"/>
  <c r="A206" i="7"/>
  <c r="B206" i="7"/>
  <c r="D206" i="7"/>
  <c r="AA206" i="7" s="1"/>
  <c r="F206" i="7"/>
  <c r="G206" i="7" s="1"/>
  <c r="AB206" i="7"/>
  <c r="A125" i="7"/>
  <c r="Q125" i="7" s="1" a="1"/>
  <c r="Q125" i="7" s="1"/>
  <c r="B125" i="7"/>
  <c r="D125" i="7"/>
  <c r="Z125" i="7" s="1"/>
  <c r="F125" i="7"/>
  <c r="G125" i="7"/>
  <c r="P125" i="7" s="1"/>
  <c r="AB125" i="7"/>
  <c r="E126" i="7"/>
  <c r="H126" i="7"/>
  <c r="Z126" i="7"/>
  <c r="AD126" i="7"/>
  <c r="A127" i="7"/>
  <c r="B127" i="7"/>
  <c r="D127" i="7"/>
  <c r="AA127" i="7" s="1"/>
  <c r="F127" i="7"/>
  <c r="G127" i="7"/>
  <c r="AD127" i="7" s="1"/>
  <c r="AB127" i="7"/>
  <c r="A128" i="7"/>
  <c r="Q128" i="7" s="1" a="1"/>
  <c r="Q128" i="7" s="1"/>
  <c r="B128" i="7"/>
  <c r="D128" i="7"/>
  <c r="Y128" i="7" s="1"/>
  <c r="F128" i="7"/>
  <c r="G128" i="7" s="1"/>
  <c r="AD128" i="7" s="1"/>
  <c r="AB128" i="7"/>
  <c r="A129" i="7"/>
  <c r="Q129" i="7" s="1" a="1"/>
  <c r="Q129" i="7" s="1"/>
  <c r="B129" i="7"/>
  <c r="D129" i="7"/>
  <c r="AA129" i="7" s="1"/>
  <c r="F129" i="7"/>
  <c r="G129" i="7"/>
  <c r="AD129" i="7" s="1"/>
  <c r="AB129" i="7"/>
  <c r="A130" i="7"/>
  <c r="B130" i="7"/>
  <c r="D130" i="7"/>
  <c r="AA130" i="7" s="1"/>
  <c r="F130" i="7"/>
  <c r="G130" i="7" s="1"/>
  <c r="AB130" i="7"/>
  <c r="A131" i="7"/>
  <c r="B131" i="7"/>
  <c r="D131" i="7"/>
  <c r="F131" i="7"/>
  <c r="G131" i="7"/>
  <c r="AB131" i="7"/>
  <c r="A132" i="7"/>
  <c r="B132" i="7"/>
  <c r="D132" i="7"/>
  <c r="F132" i="7"/>
  <c r="G132" i="7" s="1"/>
  <c r="AD132" i="7" s="1"/>
  <c r="AB132" i="7"/>
  <c r="A133" i="7"/>
  <c r="B133" i="7"/>
  <c r="D133" i="7"/>
  <c r="Y133" i="7" s="1"/>
  <c r="F133" i="7"/>
  <c r="G133" i="7" s="1"/>
  <c r="AD133" i="7" s="1"/>
  <c r="AB133" i="7"/>
  <c r="A134" i="7"/>
  <c r="B134" i="7"/>
  <c r="D134" i="7"/>
  <c r="Y134" i="7" s="1"/>
  <c r="F134" i="7"/>
  <c r="G134" i="7" s="1"/>
  <c r="P134" i="7" s="1"/>
  <c r="AB134" i="7"/>
  <c r="AD134" i="7"/>
  <c r="E135" i="7"/>
  <c r="H135" i="7"/>
  <c r="AD135" i="7"/>
  <c r="A136" i="7"/>
  <c r="B136" i="7"/>
  <c r="D136" i="7"/>
  <c r="AA136" i="7" s="1"/>
  <c r="F136" i="7"/>
  <c r="F135" i="7" s="1"/>
  <c r="P136" i="7"/>
  <c r="P135" i="7" s="1"/>
  <c r="AD136" i="7"/>
  <c r="E137" i="7"/>
  <c r="H137" i="7"/>
  <c r="Z137" i="7"/>
  <c r="AD137" i="7"/>
  <c r="A138" i="7"/>
  <c r="B138" i="7"/>
  <c r="D138" i="7"/>
  <c r="F138" i="7"/>
  <c r="G138" i="7" s="1"/>
  <c r="AB138" i="7"/>
  <c r="A139" i="7"/>
  <c r="B139" i="7"/>
  <c r="D139" i="7"/>
  <c r="F139" i="7"/>
  <c r="G139" i="7" s="1"/>
  <c r="AB139" i="7"/>
  <c r="A140" i="7"/>
  <c r="B140" i="7"/>
  <c r="D140" i="7"/>
  <c r="Z140" i="7" s="1"/>
  <c r="F140" i="7"/>
  <c r="G140" i="7" s="1"/>
  <c r="AD140" i="7" s="1"/>
  <c r="AB140" i="7"/>
  <c r="A141" i="7"/>
  <c r="B141" i="7"/>
  <c r="D141" i="7"/>
  <c r="F141" i="7"/>
  <c r="Y141" i="7"/>
  <c r="AB141" i="7"/>
  <c r="A142" i="7"/>
  <c r="B142" i="7"/>
  <c r="D142" i="7"/>
  <c r="Z142" i="7" s="1"/>
  <c r="F142" i="7"/>
  <c r="G142" i="7" s="1"/>
  <c r="P142" i="7" s="1"/>
  <c r="AB142" i="7"/>
  <c r="A143" i="7"/>
  <c r="B143" i="7"/>
  <c r="D143" i="7"/>
  <c r="F143" i="7"/>
  <c r="G143" i="7"/>
  <c r="AD143" i="7" s="1"/>
  <c r="Y143" i="7"/>
  <c r="Z143" i="7"/>
  <c r="AA143" i="7"/>
  <c r="AB143" i="7"/>
  <c r="A144" i="7"/>
  <c r="B144" i="7"/>
  <c r="D144" i="7"/>
  <c r="Z144" i="7" s="1"/>
  <c r="F144" i="7"/>
  <c r="G144" i="7" s="1"/>
  <c r="AB144" i="7"/>
  <c r="A145" i="7"/>
  <c r="B145" i="7"/>
  <c r="D145" i="7"/>
  <c r="Z145" i="7" s="1"/>
  <c r="F145" i="7"/>
  <c r="AB145" i="7"/>
  <c r="E146" i="7"/>
  <c r="H146" i="7"/>
  <c r="AD146" i="7"/>
  <c r="A147" i="7"/>
  <c r="B147" i="7"/>
  <c r="D147" i="7"/>
  <c r="G147" i="7"/>
  <c r="A148" i="7"/>
  <c r="B148" i="7"/>
  <c r="D148" i="7"/>
  <c r="F148" i="7"/>
  <c r="G148" i="7" s="1"/>
  <c r="A149" i="7"/>
  <c r="B149" i="7"/>
  <c r="D149" i="7"/>
  <c r="AA149" i="7" s="1"/>
  <c r="F149" i="7"/>
  <c r="A150" i="7"/>
  <c r="B150" i="7"/>
  <c r="D150" i="7"/>
  <c r="F150" i="7"/>
  <c r="G150" i="7"/>
  <c r="P150" i="7" s="1"/>
  <c r="AB150" i="7"/>
  <c r="AD150" i="7"/>
  <c r="A151" i="7"/>
  <c r="B151" i="7"/>
  <c r="D151" i="7"/>
  <c r="F151" i="7"/>
  <c r="AB151" i="7" s="1"/>
  <c r="A152" i="7"/>
  <c r="B152" i="7"/>
  <c r="D152" i="7"/>
  <c r="F152" i="7"/>
  <c r="E153" i="7"/>
  <c r="H153" i="7"/>
  <c r="AD153" i="7"/>
  <c r="A154" i="7"/>
  <c r="B154" i="7"/>
  <c r="D154" i="7"/>
  <c r="AA154" i="7" s="1"/>
  <c r="G154" i="7"/>
  <c r="P154" i="7" s="1"/>
  <c r="A155" i="7"/>
  <c r="B155" i="7"/>
  <c r="D155" i="7"/>
  <c r="F155" i="7"/>
  <c r="A156" i="7"/>
  <c r="B156" i="7"/>
  <c r="D156" i="7"/>
  <c r="F156" i="7"/>
  <c r="AB156" i="7" s="1"/>
  <c r="G156" i="7"/>
  <c r="AD156" i="7" s="1"/>
  <c r="AA156" i="7"/>
  <c r="E157" i="7"/>
  <c r="H157" i="7"/>
  <c r="Z157" i="7" s="1"/>
  <c r="AD157" i="7"/>
  <c r="A158" i="7"/>
  <c r="B158" i="7"/>
  <c r="D158" i="7"/>
  <c r="Z158" i="7" s="1"/>
  <c r="F158" i="7"/>
  <c r="AB158" i="7"/>
  <c r="A159" i="7"/>
  <c r="B159" i="7"/>
  <c r="D159" i="7"/>
  <c r="F159" i="7"/>
  <c r="G159" i="7" s="1"/>
  <c r="Y159" i="7"/>
  <c r="Z159" i="7"/>
  <c r="AA159" i="7"/>
  <c r="AB159" i="7"/>
  <c r="A160" i="7"/>
  <c r="B160" i="7"/>
  <c r="D160" i="7"/>
  <c r="Y160" i="7" s="1"/>
  <c r="F160" i="7"/>
  <c r="G160" i="7" s="1"/>
  <c r="AB160" i="7"/>
  <c r="A161" i="7"/>
  <c r="B161" i="7"/>
  <c r="D161" i="7"/>
  <c r="AA161" i="7" s="1"/>
  <c r="F161" i="7"/>
  <c r="G161" i="7" s="1"/>
  <c r="AD161" i="7" s="1"/>
  <c r="Z161" i="7"/>
  <c r="AB161" i="7"/>
  <c r="A162" i="7"/>
  <c r="B162" i="7"/>
  <c r="D162" i="7"/>
  <c r="AA162" i="7" s="1"/>
  <c r="F162" i="7"/>
  <c r="G162" i="7" s="1"/>
  <c r="AB162" i="7"/>
  <c r="A163" i="7"/>
  <c r="B163" i="7"/>
  <c r="D163" i="7"/>
  <c r="F163" i="7"/>
  <c r="G163" i="7" s="1"/>
  <c r="P163" i="7" s="1"/>
  <c r="AB163" i="7"/>
  <c r="A164" i="7"/>
  <c r="B164" i="7"/>
  <c r="D164" i="7"/>
  <c r="Z164" i="7" s="1"/>
  <c r="F164" i="7"/>
  <c r="AB164" i="7"/>
  <c r="A165" i="7"/>
  <c r="B165" i="7"/>
  <c r="D165" i="7"/>
  <c r="Y165" i="7" s="1"/>
  <c r="F165" i="7"/>
  <c r="G165" i="7" s="1"/>
  <c r="AB165" i="7"/>
  <c r="A84" i="7"/>
  <c r="Q84" i="7" s="1" a="1"/>
  <c r="Q84" i="7" s="1"/>
  <c r="R84" i="7" s="1"/>
  <c r="B84" i="7"/>
  <c r="D84" i="7"/>
  <c r="AA84" i="7" s="1"/>
  <c r="F84" i="7"/>
  <c r="G84" i="7" s="1"/>
  <c r="P84" i="7" s="1"/>
  <c r="Y84" i="7"/>
  <c r="Z84" i="7"/>
  <c r="AB84" i="7"/>
  <c r="E85" i="7"/>
  <c r="H85" i="7"/>
  <c r="Z85" i="7"/>
  <c r="AD85" i="7"/>
  <c r="A86" i="7"/>
  <c r="B86" i="7"/>
  <c r="D86" i="7"/>
  <c r="Z86" i="7" s="1"/>
  <c r="F86" i="7"/>
  <c r="AB86" i="7"/>
  <c r="A87" i="7"/>
  <c r="B87" i="7"/>
  <c r="D87" i="7"/>
  <c r="Y87" i="7" s="1"/>
  <c r="F87" i="7"/>
  <c r="G87" i="7"/>
  <c r="AB87" i="7"/>
  <c r="A88" i="7"/>
  <c r="B88" i="7"/>
  <c r="D88" i="7"/>
  <c r="Y88" i="7" s="1"/>
  <c r="F88" i="7"/>
  <c r="G88" i="7" s="1"/>
  <c r="AB88" i="7"/>
  <c r="A89" i="7"/>
  <c r="B89" i="7"/>
  <c r="D89" i="7"/>
  <c r="F89" i="7"/>
  <c r="G89" i="7"/>
  <c r="AD89" i="7" s="1"/>
  <c r="AB89" i="7"/>
  <c r="A90" i="7"/>
  <c r="B90" i="7"/>
  <c r="D90" i="7"/>
  <c r="Z90" i="7" s="1"/>
  <c r="F90" i="7"/>
  <c r="G90" i="7"/>
  <c r="AB90" i="7"/>
  <c r="A91" i="7"/>
  <c r="B91" i="7"/>
  <c r="D91" i="7"/>
  <c r="Z91" i="7" s="1"/>
  <c r="F91" i="7"/>
  <c r="G91" i="7" s="1"/>
  <c r="AB91" i="7"/>
  <c r="A92" i="7"/>
  <c r="B92" i="7"/>
  <c r="D92" i="7"/>
  <c r="Z92" i="7" s="1"/>
  <c r="F92" i="7"/>
  <c r="G92" i="7" s="1"/>
  <c r="AD92" i="7" s="1"/>
  <c r="AB92" i="7"/>
  <c r="A93" i="7"/>
  <c r="B93" i="7"/>
  <c r="D93" i="7"/>
  <c r="Y93" i="7" s="1"/>
  <c r="F93" i="7"/>
  <c r="G93" i="7" s="1"/>
  <c r="Z93" i="7"/>
  <c r="AA93" i="7"/>
  <c r="AB93" i="7"/>
  <c r="E94" i="7"/>
  <c r="H94" i="7"/>
  <c r="AD94" i="7"/>
  <c r="A95" i="7"/>
  <c r="B95" i="7"/>
  <c r="D95" i="7"/>
  <c r="F95" i="7"/>
  <c r="G95" i="7"/>
  <c r="AD95" i="7" s="1"/>
  <c r="AB95" i="7"/>
  <c r="A96" i="7"/>
  <c r="B96" i="7"/>
  <c r="D96" i="7"/>
  <c r="Z96" i="7" s="1"/>
  <c r="F96" i="7"/>
  <c r="G96" i="7"/>
  <c r="AD96" i="7" s="1"/>
  <c r="AB96" i="7"/>
  <c r="A97" i="7"/>
  <c r="B97" i="7"/>
  <c r="D97" i="7"/>
  <c r="F97" i="7"/>
  <c r="G97" i="7" s="1"/>
  <c r="AB97" i="7"/>
  <c r="A98" i="7"/>
  <c r="B98" i="7"/>
  <c r="D98" i="7"/>
  <c r="Z98" i="7" s="1"/>
  <c r="F98" i="7"/>
  <c r="G98" i="7" s="1"/>
  <c r="AD98" i="7" s="1"/>
  <c r="P98" i="7"/>
  <c r="AB98" i="7"/>
  <c r="A99" i="7"/>
  <c r="Q99" i="7" s="1" a="1"/>
  <c r="Q99" i="7" s="1"/>
  <c r="B99" i="7"/>
  <c r="D99" i="7"/>
  <c r="Y99" i="7" s="1"/>
  <c r="F99" i="7"/>
  <c r="G99" i="7"/>
  <c r="AB99" i="7"/>
  <c r="A100" i="7"/>
  <c r="B100" i="7"/>
  <c r="D100" i="7"/>
  <c r="F100" i="7"/>
  <c r="G100" i="7" s="1"/>
  <c r="AB100" i="7"/>
  <c r="A101" i="7"/>
  <c r="B101" i="7"/>
  <c r="D101" i="7"/>
  <c r="AA101" i="7" s="1"/>
  <c r="F101" i="7"/>
  <c r="G101" i="7" s="1"/>
  <c r="AB101" i="7"/>
  <c r="A102" i="7"/>
  <c r="B102" i="7"/>
  <c r="D102" i="7"/>
  <c r="Z102" i="7" s="1"/>
  <c r="F102" i="7"/>
  <c r="G102" i="7" s="1"/>
  <c r="AD102" i="7" s="1"/>
  <c r="Y102" i="7"/>
  <c r="AB102" i="7"/>
  <c r="E103" i="7"/>
  <c r="H103" i="7"/>
  <c r="Z103" i="7" s="1"/>
  <c r="AD103" i="7"/>
  <c r="A104" i="7"/>
  <c r="B104" i="7"/>
  <c r="D104" i="7"/>
  <c r="F104" i="7"/>
  <c r="AB104" i="7"/>
  <c r="A105" i="7"/>
  <c r="B105" i="7"/>
  <c r="D105" i="7"/>
  <c r="F105" i="7"/>
  <c r="G105" i="7" s="1"/>
  <c r="Y105" i="7"/>
  <c r="AB105" i="7"/>
  <c r="A106" i="7"/>
  <c r="B106" i="7"/>
  <c r="D106" i="7"/>
  <c r="F106" i="7"/>
  <c r="G106" i="7" s="1"/>
  <c r="AD106" i="7" s="1"/>
  <c r="AB106" i="7"/>
  <c r="A107" i="7"/>
  <c r="B107" i="7"/>
  <c r="D107" i="7"/>
  <c r="F107" i="7"/>
  <c r="G107" i="7" s="1"/>
  <c r="Y107" i="7"/>
  <c r="Z107" i="7"/>
  <c r="AA107" i="7"/>
  <c r="AB107" i="7"/>
  <c r="A108" i="7"/>
  <c r="B108" i="7"/>
  <c r="D108" i="7"/>
  <c r="F108" i="7"/>
  <c r="G108" i="7" s="1"/>
  <c r="AB108" i="7"/>
  <c r="A109" i="7"/>
  <c r="Q109" i="7" s="1" a="1"/>
  <c r="Q109" i="7" s="1"/>
  <c r="B109" i="7"/>
  <c r="D109" i="7"/>
  <c r="F109" i="7"/>
  <c r="G109" i="7"/>
  <c r="P109" i="7" s="1"/>
  <c r="AB109" i="7"/>
  <c r="A110" i="7"/>
  <c r="B110" i="7"/>
  <c r="D110" i="7"/>
  <c r="F110" i="7"/>
  <c r="G110" i="7" s="1"/>
  <c r="AD110" i="7" s="1"/>
  <c r="AB110" i="7"/>
  <c r="A111" i="7"/>
  <c r="B111" i="7"/>
  <c r="D111" i="7"/>
  <c r="Z111" i="7" s="1"/>
  <c r="F111" i="7"/>
  <c r="G111" i="7" s="1"/>
  <c r="AA111" i="7"/>
  <c r="AB111" i="7"/>
  <c r="E112" i="7"/>
  <c r="H112" i="7"/>
  <c r="AD112" i="7"/>
  <c r="A113" i="7"/>
  <c r="B113" i="7"/>
  <c r="D113" i="7"/>
  <c r="F113" i="7"/>
  <c r="AD113" i="7"/>
  <c r="A114" i="7"/>
  <c r="B114" i="7"/>
  <c r="D114" i="7"/>
  <c r="AA114" i="7" s="1"/>
  <c r="F114" i="7"/>
  <c r="A115" i="7"/>
  <c r="B115" i="7"/>
  <c r="D115" i="7"/>
  <c r="AA115" i="7" s="1"/>
  <c r="F115" i="7"/>
  <c r="A116" i="7"/>
  <c r="B116" i="7"/>
  <c r="D116" i="7"/>
  <c r="AA116" i="7" s="1"/>
  <c r="F116" i="7"/>
  <c r="E117" i="7"/>
  <c r="H117" i="7"/>
  <c r="Z117" i="7" s="1"/>
  <c r="AD117" i="7"/>
  <c r="A118" i="7"/>
  <c r="B118" i="7"/>
  <c r="D118" i="7"/>
  <c r="Y118" i="7" s="1"/>
  <c r="F118" i="7"/>
  <c r="AB118" i="7"/>
  <c r="A119" i="7"/>
  <c r="B119" i="7"/>
  <c r="D119" i="7"/>
  <c r="Y119" i="7" s="1"/>
  <c r="F119" i="7"/>
  <c r="G119" i="7"/>
  <c r="AB119" i="7"/>
  <c r="A120" i="7"/>
  <c r="B120" i="7"/>
  <c r="D120" i="7"/>
  <c r="Y120" i="7" s="1"/>
  <c r="F120" i="7"/>
  <c r="G120" i="7"/>
  <c r="AB120" i="7"/>
  <c r="A121" i="7"/>
  <c r="B121" i="7"/>
  <c r="D121" i="7"/>
  <c r="Z121" i="7" s="1"/>
  <c r="F121" i="7"/>
  <c r="G121" i="7"/>
  <c r="P121" i="7" s="1"/>
  <c r="Y121" i="7"/>
  <c r="AA121" i="7"/>
  <c r="AB121" i="7"/>
  <c r="AD121" i="7"/>
  <c r="A122" i="7"/>
  <c r="B122" i="7"/>
  <c r="D122" i="7"/>
  <c r="AA122" i="7" s="1"/>
  <c r="F122" i="7"/>
  <c r="G122" i="7" s="1"/>
  <c r="AD122" i="7" s="1"/>
  <c r="AB122" i="7"/>
  <c r="A123" i="7"/>
  <c r="B123" i="7"/>
  <c r="D123" i="7"/>
  <c r="F123" i="7"/>
  <c r="G123" i="7" s="1"/>
  <c r="AB123" i="7"/>
  <c r="A124" i="7"/>
  <c r="B124" i="7"/>
  <c r="D124" i="7"/>
  <c r="Y124" i="7" s="1"/>
  <c r="F124" i="7"/>
  <c r="G124" i="7" s="1"/>
  <c r="AD124" i="7" s="1"/>
  <c r="AB124" i="7"/>
  <c r="E43" i="7"/>
  <c r="H43" i="7"/>
  <c r="Z43" i="7" s="1"/>
  <c r="AD43" i="7"/>
  <c r="A44" i="7"/>
  <c r="Q44" i="7" s="1" a="1"/>
  <c r="Q44" i="7" s="1"/>
  <c r="B44" i="7"/>
  <c r="D44" i="7"/>
  <c r="F44" i="7"/>
  <c r="G44" i="7" s="1"/>
  <c r="AD44" i="7" s="1"/>
  <c r="P44" i="7"/>
  <c r="AB44" i="7"/>
  <c r="A45" i="7"/>
  <c r="B45" i="7"/>
  <c r="D45" i="7"/>
  <c r="Y45" i="7" s="1"/>
  <c r="F45" i="7"/>
  <c r="G45" i="7" s="1"/>
  <c r="AD45" i="7" s="1"/>
  <c r="AB45" i="7"/>
  <c r="A46" i="7"/>
  <c r="B46" i="7"/>
  <c r="D46" i="7"/>
  <c r="AA46" i="7" s="1"/>
  <c r="F46" i="7"/>
  <c r="G46" i="7" s="1"/>
  <c r="AB46" i="7"/>
  <c r="A47" i="7"/>
  <c r="B47" i="7"/>
  <c r="D47" i="7"/>
  <c r="Y47" i="7" s="1"/>
  <c r="F47" i="7"/>
  <c r="G47" i="7" s="1"/>
  <c r="Z47" i="7"/>
  <c r="AA47" i="7"/>
  <c r="AB47" i="7"/>
  <c r="A48" i="7"/>
  <c r="B48" i="7"/>
  <c r="D48" i="7"/>
  <c r="F48" i="7"/>
  <c r="G48" i="7" s="1"/>
  <c r="P48" i="7" s="1"/>
  <c r="AB48" i="7"/>
  <c r="A49" i="7"/>
  <c r="B49" i="7"/>
  <c r="D49" i="7"/>
  <c r="Z49" i="7" s="1"/>
  <c r="F49" i="7"/>
  <c r="G49" i="7"/>
  <c r="P49" i="7" s="1"/>
  <c r="AB49" i="7"/>
  <c r="A50" i="7"/>
  <c r="B50" i="7"/>
  <c r="D50" i="7"/>
  <c r="Y50" i="7" s="1"/>
  <c r="F50" i="7"/>
  <c r="G50" i="7" s="1"/>
  <c r="AD50" i="7" s="1"/>
  <c r="AB50" i="7"/>
  <c r="A51" i="7"/>
  <c r="B51" i="7"/>
  <c r="D51" i="7"/>
  <c r="F51" i="7"/>
  <c r="G51" i="7" s="1"/>
  <c r="AB51" i="7"/>
  <c r="E52" i="7"/>
  <c r="H52" i="7"/>
  <c r="AD52" i="7"/>
  <c r="A53" i="7"/>
  <c r="B53" i="7"/>
  <c r="D53" i="7"/>
  <c r="AA53" i="7" s="1"/>
  <c r="F53" i="7"/>
  <c r="G53" i="7" s="1"/>
  <c r="AB53" i="7"/>
  <c r="A54" i="7"/>
  <c r="B54" i="7"/>
  <c r="D54" i="7"/>
  <c r="Y54" i="7" s="1"/>
  <c r="F54" i="7"/>
  <c r="G54" i="7"/>
  <c r="AD54" i="7" s="1"/>
  <c r="P54" i="7"/>
  <c r="AB54" i="7"/>
  <c r="A55" i="7"/>
  <c r="B55" i="7"/>
  <c r="D55" i="7"/>
  <c r="Z55" i="7" s="1"/>
  <c r="F55" i="7"/>
  <c r="G55" i="7" s="1"/>
  <c r="AD55" i="7" s="1"/>
  <c r="AB55" i="7"/>
  <c r="A56" i="7"/>
  <c r="B56" i="7"/>
  <c r="D56" i="7"/>
  <c r="Z56" i="7" s="1"/>
  <c r="F56" i="7"/>
  <c r="G56" i="7" s="1"/>
  <c r="AB56" i="7"/>
  <c r="A57" i="7"/>
  <c r="B57" i="7"/>
  <c r="D57" i="7"/>
  <c r="Y57" i="7" s="1"/>
  <c r="F57" i="7"/>
  <c r="G57" i="7" s="1"/>
  <c r="AD57" i="7" s="1"/>
  <c r="AB57" i="7"/>
  <c r="A58" i="7"/>
  <c r="B58" i="7"/>
  <c r="D58" i="7"/>
  <c r="F58" i="7"/>
  <c r="G58" i="7" s="1"/>
  <c r="AB58" i="7"/>
  <c r="A59" i="7"/>
  <c r="Q59" i="7" s="1" a="1"/>
  <c r="Q59" i="7" s="1"/>
  <c r="R59" i="7" s="1"/>
  <c r="B59" i="7"/>
  <c r="D59" i="7"/>
  <c r="Z59" i="7" s="1"/>
  <c r="F59" i="7"/>
  <c r="G59" i="7"/>
  <c r="P59" i="7" s="1"/>
  <c r="AB59" i="7"/>
  <c r="A60" i="7"/>
  <c r="B60" i="7"/>
  <c r="D60" i="7"/>
  <c r="Y60" i="7" s="1"/>
  <c r="F60" i="7"/>
  <c r="G60" i="7" s="1"/>
  <c r="AD60" i="7" s="1"/>
  <c r="AB60" i="7"/>
  <c r="E61" i="7"/>
  <c r="H61" i="7"/>
  <c r="AD61" i="7"/>
  <c r="A62" i="7"/>
  <c r="B62" i="7"/>
  <c r="D62" i="7"/>
  <c r="AA62" i="7" s="1"/>
  <c r="F62" i="7"/>
  <c r="AB62" i="7" s="1"/>
  <c r="G62" i="7"/>
  <c r="A63" i="7"/>
  <c r="B63" i="7"/>
  <c r="D63" i="7"/>
  <c r="AA63" i="7" s="1"/>
  <c r="F63" i="7"/>
  <c r="G63" i="7" s="1"/>
  <c r="A64" i="7"/>
  <c r="B64" i="7"/>
  <c r="D64" i="7"/>
  <c r="F64" i="7"/>
  <c r="E65" i="7"/>
  <c r="F65" i="7"/>
  <c r="H65" i="7"/>
  <c r="AD65" i="7"/>
  <c r="A66" i="7"/>
  <c r="B66" i="7"/>
  <c r="D66" i="7"/>
  <c r="E67" i="7"/>
  <c r="H67" i="7"/>
  <c r="Z67" i="7"/>
  <c r="AD67" i="7"/>
  <c r="A68" i="7"/>
  <c r="B68" i="7"/>
  <c r="D68" i="7"/>
  <c r="Z68" i="7" s="1"/>
  <c r="F68" i="7"/>
  <c r="G68" i="7" s="1"/>
  <c r="AB68" i="7"/>
  <c r="A69" i="7"/>
  <c r="B69" i="7"/>
  <c r="D69" i="7"/>
  <c r="AA69" i="7" s="1"/>
  <c r="F69" i="7"/>
  <c r="G69" i="7" s="1"/>
  <c r="AB69" i="7"/>
  <c r="A70" i="7"/>
  <c r="B70" i="7"/>
  <c r="D70" i="7"/>
  <c r="Y70" i="7" s="1"/>
  <c r="F70" i="7"/>
  <c r="G70" i="7" s="1"/>
  <c r="AB70" i="7"/>
  <c r="A71" i="7"/>
  <c r="B71" i="7"/>
  <c r="D71" i="7"/>
  <c r="AA71" i="7" s="1"/>
  <c r="F71" i="7"/>
  <c r="G71" i="7" s="1"/>
  <c r="AB71" i="7"/>
  <c r="A72" i="7"/>
  <c r="B72" i="7"/>
  <c r="D72" i="7"/>
  <c r="F72" i="7"/>
  <c r="G72" i="7" s="1"/>
  <c r="AB72" i="7"/>
  <c r="A73" i="7"/>
  <c r="B73" i="7"/>
  <c r="D73" i="7"/>
  <c r="AA73" i="7" s="1"/>
  <c r="F73" i="7"/>
  <c r="G73" i="7" s="1"/>
  <c r="AD73" i="7" s="1"/>
  <c r="AB73" i="7"/>
  <c r="A74" i="7"/>
  <c r="B74" i="7"/>
  <c r="D74" i="7"/>
  <c r="Y74" i="7" s="1"/>
  <c r="F74" i="7"/>
  <c r="G74" i="7" s="1"/>
  <c r="Z74" i="7"/>
  <c r="AB74" i="7"/>
  <c r="A75" i="7"/>
  <c r="B75" i="7"/>
  <c r="D75" i="7"/>
  <c r="Z75" i="7" s="1"/>
  <c r="F75" i="7"/>
  <c r="G75" i="7"/>
  <c r="AB75" i="7"/>
  <c r="E76" i="7"/>
  <c r="H76" i="7"/>
  <c r="AD76" i="7"/>
  <c r="A77" i="7"/>
  <c r="B77" i="7"/>
  <c r="D77" i="7"/>
  <c r="Z77" i="7" s="1"/>
  <c r="F77" i="7"/>
  <c r="G77" i="7" s="1"/>
  <c r="AB77" i="7"/>
  <c r="A78" i="7"/>
  <c r="B78" i="7"/>
  <c r="D78" i="7"/>
  <c r="AA78" i="7" s="1"/>
  <c r="F78" i="7"/>
  <c r="G78" i="7" s="1"/>
  <c r="AD78" i="7" s="1"/>
  <c r="P78" i="7"/>
  <c r="AB78" i="7"/>
  <c r="A79" i="7"/>
  <c r="B79" i="7"/>
  <c r="D79" i="7"/>
  <c r="Z79" i="7" s="1"/>
  <c r="F79" i="7"/>
  <c r="G79" i="7" s="1"/>
  <c r="P79" i="7"/>
  <c r="Y79" i="7"/>
  <c r="AA79" i="7"/>
  <c r="AB79" i="7"/>
  <c r="AD79" i="7"/>
  <c r="A80" i="7"/>
  <c r="B80" i="7"/>
  <c r="D80" i="7"/>
  <c r="Z80" i="7" s="1"/>
  <c r="F80" i="7"/>
  <c r="G80" i="7"/>
  <c r="AD80" i="7" s="1"/>
  <c r="AB80" i="7"/>
  <c r="A81" i="7"/>
  <c r="B81" i="7"/>
  <c r="D81" i="7"/>
  <c r="AA81" i="7" s="1"/>
  <c r="F81" i="7"/>
  <c r="G81" i="7" s="1"/>
  <c r="AD81" i="7" s="1"/>
  <c r="AB81" i="7"/>
  <c r="A82" i="7"/>
  <c r="B82" i="7"/>
  <c r="D82" i="7"/>
  <c r="F82" i="7"/>
  <c r="Q82" i="7" s="1" a="1"/>
  <c r="Q82" i="7" s="1"/>
  <c r="AB82" i="7"/>
  <c r="A83" i="7"/>
  <c r="B83" i="7"/>
  <c r="D83" i="7"/>
  <c r="Y83" i="7" s="1"/>
  <c r="F83" i="7"/>
  <c r="G83" i="7"/>
  <c r="AD83" i="7" s="1"/>
  <c r="AB83" i="7"/>
  <c r="I3" i="7"/>
  <c r="J3" i="7"/>
  <c r="K3" i="7"/>
  <c r="L3" i="7"/>
  <c r="M3" i="7"/>
  <c r="N3" i="7"/>
  <c r="I4" i="7"/>
  <c r="J4" i="7"/>
  <c r="K4" i="7"/>
  <c r="L4" i="7"/>
  <c r="M4" i="7"/>
  <c r="N4" i="7"/>
  <c r="S4" i="7"/>
  <c r="T4" i="7"/>
  <c r="U4" i="7"/>
  <c r="E5" i="7"/>
  <c r="H5" i="7"/>
  <c r="AD5" i="7"/>
  <c r="A6" i="7"/>
  <c r="B6" i="7"/>
  <c r="D6" i="7"/>
  <c r="AA6" i="7" s="1"/>
  <c r="G6" i="7"/>
  <c r="F5" i="7"/>
  <c r="E7" i="7"/>
  <c r="H7" i="7"/>
  <c r="Z7" i="7"/>
  <c r="AD7" i="7"/>
  <c r="A8" i="7"/>
  <c r="Q8" i="7" s="1" a="1"/>
  <c r="Q8" i="7" s="1"/>
  <c r="B8" i="7"/>
  <c r="D8" i="7"/>
  <c r="G8" i="7"/>
  <c r="AB8" i="7"/>
  <c r="A9" i="7"/>
  <c r="Q9" i="7" s="1" a="1"/>
  <c r="Q9" i="7" s="1"/>
  <c r="B9" i="7"/>
  <c r="D9" i="7"/>
  <c r="Y9" i="7" s="1"/>
  <c r="F9" i="7"/>
  <c r="G9" i="7" s="1"/>
  <c r="AB9" i="7"/>
  <c r="A10" i="7"/>
  <c r="B10" i="7"/>
  <c r="D10" i="7"/>
  <c r="F10" i="7"/>
  <c r="G10" i="7" s="1"/>
  <c r="AD10" i="7" s="1"/>
  <c r="AB10" i="7"/>
  <c r="A11" i="7"/>
  <c r="B11" i="7"/>
  <c r="D11" i="7"/>
  <c r="F11" i="7"/>
  <c r="AB11" i="7"/>
  <c r="A12" i="7"/>
  <c r="B12" i="7"/>
  <c r="D12" i="7"/>
  <c r="F12" i="7"/>
  <c r="G12" i="7"/>
  <c r="AD12" i="7" s="1"/>
  <c r="AB12" i="7"/>
  <c r="A13" i="7"/>
  <c r="B13" i="7"/>
  <c r="D13" i="7"/>
  <c r="F13" i="7"/>
  <c r="G13" i="7" s="1"/>
  <c r="P13" i="7" s="1"/>
  <c r="AB13" i="7"/>
  <c r="A14" i="7"/>
  <c r="B14" i="7"/>
  <c r="D14" i="7"/>
  <c r="AA14" i="7" s="1"/>
  <c r="F14" i="7"/>
  <c r="G14" i="7" s="1"/>
  <c r="AD14" i="7" s="1"/>
  <c r="AB14" i="7"/>
  <c r="A15" i="7"/>
  <c r="B15" i="7"/>
  <c r="D15" i="7"/>
  <c r="Y15" i="7" s="1"/>
  <c r="F15" i="7"/>
  <c r="G15" i="7" s="1"/>
  <c r="AB15" i="7"/>
  <c r="E16" i="7"/>
  <c r="H16" i="7"/>
  <c r="Z16" i="7" s="1"/>
  <c r="AD16" i="7"/>
  <c r="A17" i="7"/>
  <c r="B17" i="7"/>
  <c r="D17" i="7"/>
  <c r="Z17" i="7" s="1"/>
  <c r="F17" i="7"/>
  <c r="AB17" i="7"/>
  <c r="A18" i="7"/>
  <c r="B18" i="7"/>
  <c r="D18" i="7"/>
  <c r="Y18" i="7" s="1"/>
  <c r="F18" i="7"/>
  <c r="G18" i="7" s="1"/>
  <c r="AD18" i="7" s="1"/>
  <c r="AB18" i="7"/>
  <c r="A19" i="7"/>
  <c r="B19" i="7"/>
  <c r="D19" i="7"/>
  <c r="Z19" i="7" s="1"/>
  <c r="F19" i="7"/>
  <c r="G19" i="7"/>
  <c r="P19" i="7" s="1"/>
  <c r="AB19" i="7"/>
  <c r="A20" i="7"/>
  <c r="B20" i="7"/>
  <c r="D20" i="7"/>
  <c r="AA20" i="7" s="1"/>
  <c r="F20" i="7"/>
  <c r="G20" i="7" s="1"/>
  <c r="AB20" i="7"/>
  <c r="A21" i="7"/>
  <c r="B21" i="7"/>
  <c r="D21" i="7"/>
  <c r="Y21" i="7" s="1"/>
  <c r="F21" i="7"/>
  <c r="G21" i="7" s="1"/>
  <c r="AB21" i="7"/>
  <c r="A22" i="7"/>
  <c r="B22" i="7"/>
  <c r="D22" i="7"/>
  <c r="AA22" i="7" s="1"/>
  <c r="F22" i="7"/>
  <c r="AB22" i="7"/>
  <c r="A23" i="7"/>
  <c r="B23" i="7"/>
  <c r="D23" i="7"/>
  <c r="F23" i="7"/>
  <c r="G23" i="7" s="1"/>
  <c r="AB23" i="7"/>
  <c r="A24" i="7"/>
  <c r="B24" i="7"/>
  <c r="D24" i="7"/>
  <c r="Y24" i="7" s="1"/>
  <c r="F24" i="7"/>
  <c r="G24" i="7"/>
  <c r="P24" i="7" s="1"/>
  <c r="Z24" i="7"/>
  <c r="AA24" i="7"/>
  <c r="AB24" i="7"/>
  <c r="AD24" i="7"/>
  <c r="E25" i="7"/>
  <c r="H25" i="7"/>
  <c r="AD25" i="7"/>
  <c r="A26" i="7"/>
  <c r="B26" i="7"/>
  <c r="D26" i="7"/>
  <c r="F26" i="7"/>
  <c r="G26" i="7" s="1"/>
  <c r="P26" i="7" s="1"/>
  <c r="AB26" i="7"/>
  <c r="AD26" i="7"/>
  <c r="A27" i="7"/>
  <c r="B27" i="7"/>
  <c r="D27" i="7"/>
  <c r="Y27" i="7" s="1"/>
  <c r="F27" i="7"/>
  <c r="G27" i="7" s="1"/>
  <c r="AB27" i="7"/>
  <c r="A28" i="7"/>
  <c r="B28" i="7"/>
  <c r="D28" i="7"/>
  <c r="Y28" i="7" s="1"/>
  <c r="F28" i="7"/>
  <c r="G28" i="7" s="1"/>
  <c r="AB28" i="7"/>
  <c r="A29" i="7"/>
  <c r="B29" i="7"/>
  <c r="D29" i="7"/>
  <c r="Z29" i="7" s="1"/>
  <c r="F29" i="7"/>
  <c r="G29" i="7" s="1"/>
  <c r="P29" i="7" s="1"/>
  <c r="AB29" i="7"/>
  <c r="AD29" i="7"/>
  <c r="A30" i="7"/>
  <c r="B30" i="7"/>
  <c r="D30" i="7"/>
  <c r="AA30" i="7" s="1"/>
  <c r="F30" i="7"/>
  <c r="G30" i="7" s="1"/>
  <c r="P30" i="7" s="1"/>
  <c r="AB30" i="7"/>
  <c r="A31" i="7"/>
  <c r="B31" i="7"/>
  <c r="D31" i="7"/>
  <c r="AA31" i="7" s="1"/>
  <c r="F31" i="7"/>
  <c r="G31" i="7" s="1"/>
  <c r="AD31" i="7" s="1"/>
  <c r="AB31" i="7"/>
  <c r="A32" i="7"/>
  <c r="Q32" i="7" s="1" a="1"/>
  <c r="Q32" i="7" s="1"/>
  <c r="B32" i="7"/>
  <c r="D32" i="7"/>
  <c r="Y32" i="7" s="1"/>
  <c r="F32" i="7"/>
  <c r="G32" i="7"/>
  <c r="AD32" i="7" s="1"/>
  <c r="AB32" i="7"/>
  <c r="A33" i="7"/>
  <c r="B33" i="7"/>
  <c r="D33" i="7"/>
  <c r="F33" i="7"/>
  <c r="G33" i="7" s="1"/>
  <c r="P33" i="7" s="1"/>
  <c r="AB33" i="7"/>
  <c r="E34" i="7"/>
  <c r="H34" i="7"/>
  <c r="AD34" i="7"/>
  <c r="A35" i="7"/>
  <c r="B35" i="7"/>
  <c r="D35" i="7"/>
  <c r="F35" i="7"/>
  <c r="G35" i="7" s="1"/>
  <c r="P35" i="7" s="1"/>
  <c r="AB35" i="7"/>
  <c r="A36" i="7"/>
  <c r="B36" i="7"/>
  <c r="D36" i="7"/>
  <c r="F36" i="7"/>
  <c r="G36" i="7" s="1"/>
  <c r="P36" i="7" s="1"/>
  <c r="AB36" i="7"/>
  <c r="A37" i="7"/>
  <c r="B37" i="7"/>
  <c r="D37" i="7"/>
  <c r="Y37" i="7" s="1"/>
  <c r="F37" i="7"/>
  <c r="G37" i="7" s="1"/>
  <c r="AB37" i="7"/>
  <c r="A38" i="7"/>
  <c r="B38" i="7"/>
  <c r="D38" i="7"/>
  <c r="Z38" i="7" s="1"/>
  <c r="F38" i="7"/>
  <c r="G38" i="7" s="1"/>
  <c r="P38" i="7" s="1"/>
  <c r="Y38" i="7"/>
  <c r="AB38" i="7"/>
  <c r="A39" i="7"/>
  <c r="B39" i="7"/>
  <c r="D39" i="7"/>
  <c r="AA39" i="7" s="1"/>
  <c r="F39" i="7"/>
  <c r="G39" i="7" s="1"/>
  <c r="AB39" i="7"/>
  <c r="A40" i="7"/>
  <c r="Q40" i="7" s="1" a="1"/>
  <c r="Q40" i="7" s="1"/>
  <c r="B40" i="7"/>
  <c r="D40" i="7"/>
  <c r="AA40" i="7" s="1"/>
  <c r="F40" i="7"/>
  <c r="G40" i="7" s="1"/>
  <c r="AB40" i="7"/>
  <c r="A41" i="7"/>
  <c r="B41" i="7"/>
  <c r="D41" i="7"/>
  <c r="Z41" i="7" s="1"/>
  <c r="F41" i="7"/>
  <c r="G41" i="7"/>
  <c r="P41" i="7" s="1"/>
  <c r="AB41" i="7"/>
  <c r="A42" i="7"/>
  <c r="B42" i="7"/>
  <c r="D42" i="7"/>
  <c r="F42" i="7"/>
  <c r="Q42" i="7" s="1" a="1"/>
  <c r="Q42" i="7" s="1"/>
  <c r="AB42" i="7"/>
  <c r="A2" i="6"/>
  <c r="P221" i="7" l="1"/>
  <c r="AD221" i="7"/>
  <c r="P63" i="7"/>
  <c r="AD63" i="7"/>
  <c r="AF67" i="4"/>
  <c r="E16" i="4" a="1"/>
  <c r="E16" i="4" s="1"/>
  <c r="BA16" i="4" a="1"/>
  <c r="BA16" i="4" s="1"/>
  <c r="D16" i="4" a="1"/>
  <c r="D16" i="4" s="1"/>
  <c r="Y40" i="7"/>
  <c r="AA49" i="7"/>
  <c r="Y161" i="7"/>
  <c r="Z226" i="7"/>
  <c r="AE67" i="4"/>
  <c r="Y49" i="7"/>
  <c r="AD67" i="4"/>
  <c r="AZ16" i="4" a="1"/>
  <c r="AZ16" i="4" s="1"/>
  <c r="A29" i="4"/>
  <c r="AZ29" i="4" s="1"/>
  <c r="AC67" i="4"/>
  <c r="AY16" i="4" a="1"/>
  <c r="AY16" i="4" s="1"/>
  <c r="G174" i="7"/>
  <c r="P234" i="7"/>
  <c r="Y67" i="4"/>
  <c r="AX16" i="4" a="1"/>
  <c r="AX16" i="4" s="1"/>
  <c r="BC42" i="4"/>
  <c r="Z127" i="7"/>
  <c r="M67" i="4"/>
  <c r="AV16" i="4" a="1"/>
  <c r="AV16" i="4" s="1"/>
  <c r="Y164" i="7"/>
  <c r="AA213" i="7"/>
  <c r="L67" i="4"/>
  <c r="AU16" i="4" a="1"/>
  <c r="AU16" i="4" s="1"/>
  <c r="AZ42" i="4"/>
  <c r="BA42" i="4"/>
  <c r="Z39" i="7"/>
  <c r="Q87" i="7" a="1"/>
  <c r="Q87" i="7" s="1"/>
  <c r="Q174" i="7" a="1"/>
  <c r="Q174" i="7" s="1"/>
  <c r="G168" i="7"/>
  <c r="Y213" i="7"/>
  <c r="K67" i="4"/>
  <c r="AT16" i="4" a="1"/>
  <c r="AT16" i="4" s="1"/>
  <c r="AY42" i="4"/>
  <c r="Q173" i="7" a="1"/>
  <c r="Q173" i="7" s="1"/>
  <c r="P213" i="7"/>
  <c r="J67" i="4"/>
  <c r="AL16" i="4" a="1"/>
  <c r="AL16" i="4" s="1"/>
  <c r="AS42" i="4"/>
  <c r="H67" i="4"/>
  <c r="AJ16" i="4" a="1"/>
  <c r="AJ16" i="4" s="1"/>
  <c r="AI42" i="4"/>
  <c r="Q81" i="7" a="1"/>
  <c r="Q81" i="7" s="1"/>
  <c r="P83" i="7"/>
  <c r="Y111" i="7"/>
  <c r="Q217" i="7" a="1"/>
  <c r="Q217" i="7" s="1"/>
  <c r="AI16" i="4" a="1"/>
  <c r="AI16" i="4" s="1"/>
  <c r="U42" i="4"/>
  <c r="B29" i="1"/>
  <c r="AH16" i="4" a="1"/>
  <c r="AH16" i="4" s="1"/>
  <c r="S42" i="4"/>
  <c r="AB148" i="7"/>
  <c r="P232" i="7"/>
  <c r="AF16" i="4" a="1"/>
  <c r="AF16" i="4" s="1"/>
  <c r="Q42" i="4"/>
  <c r="Q111" i="7" a="1"/>
  <c r="Q111" i="7" s="1"/>
  <c r="AS67" i="4"/>
  <c r="Y16" i="4" a="1"/>
  <c r="Y16" i="4" s="1"/>
  <c r="N42" i="4"/>
  <c r="Q71" i="7" a="1"/>
  <c r="Q71" i="7" s="1"/>
  <c r="AT67" i="4"/>
  <c r="O42" i="4"/>
  <c r="AA41" i="7"/>
  <c r="AD59" i="7"/>
  <c r="Q98" i="7" a="1"/>
  <c r="Q98" i="7" s="1"/>
  <c r="R98" i="7" s="1"/>
  <c r="Z129" i="7"/>
  <c r="AD207" i="7"/>
  <c r="Y41" i="7"/>
  <c r="Q38" i="7" a="1"/>
  <c r="Q38" i="7" s="1"/>
  <c r="AD19" i="7"/>
  <c r="Q74" i="7" a="1"/>
  <c r="Q74" i="7" s="1"/>
  <c r="P124" i="7"/>
  <c r="P176" i="7"/>
  <c r="AR67" i="4"/>
  <c r="O16" i="4" a="1"/>
  <c r="O16" i="4" s="1"/>
  <c r="M42" i="4"/>
  <c r="AQ67" i="4"/>
  <c r="N16" i="4" a="1"/>
  <c r="N16" i="4" s="1"/>
  <c r="L42" i="4"/>
  <c r="AG16" i="4" a="1"/>
  <c r="AG16" i="4" s="1"/>
  <c r="AE16" i="4" a="1"/>
  <c r="AE16" i="4" s="1"/>
  <c r="AA59" i="7"/>
  <c r="Q89" i="7" a="1"/>
  <c r="Q89" i="7" s="1"/>
  <c r="P32" i="7"/>
  <c r="R32" i="7" s="1"/>
  <c r="Y19" i="7"/>
  <c r="Z78" i="7"/>
  <c r="Y69" i="7"/>
  <c r="Z101" i="7"/>
  <c r="AP67" i="4"/>
  <c r="M16" i="4" a="1"/>
  <c r="M16" i="4" s="1"/>
  <c r="G42" i="4"/>
  <c r="AO67" i="4"/>
  <c r="L16" i="4" a="1"/>
  <c r="L16" i="4" s="1"/>
  <c r="E42" i="4"/>
  <c r="V38" i="7"/>
  <c r="R42" i="4"/>
  <c r="AA88" i="7"/>
  <c r="AA211" i="7"/>
  <c r="AB63" i="7"/>
  <c r="AD109" i="7"/>
  <c r="Q106" i="7" a="1"/>
  <c r="Q106" i="7" s="1"/>
  <c r="Z88" i="7"/>
  <c r="G170" i="7"/>
  <c r="AD170" i="7" s="1"/>
  <c r="Z231" i="7"/>
  <c r="Z211" i="7"/>
  <c r="AN67" i="4"/>
  <c r="I16" i="4" a="1"/>
  <c r="I16" i="4" s="1"/>
  <c r="D42" i="4"/>
  <c r="AG67" i="4"/>
  <c r="AI15" i="4" a="1"/>
  <c r="AI15" i="4" s="1"/>
  <c r="F16" i="4" a="1"/>
  <c r="F16" i="4" s="1"/>
  <c r="W25" i="4"/>
  <c r="BA15" i="4" a="1"/>
  <c r="BA15" i="4" s="1"/>
  <c r="AH15" i="4" a="1"/>
  <c r="AH15" i="4" s="1"/>
  <c r="AG15" i="4" a="1"/>
  <c r="AG15" i="4" s="1"/>
  <c r="AS17" i="4" a="1"/>
  <c r="AS17" i="4" s="1"/>
  <c r="AD15" i="4" a="1"/>
  <c r="AD15" i="4" s="1"/>
  <c r="AR17" i="4" a="1"/>
  <c r="AR17" i="4" s="1"/>
  <c r="Z15" i="4" a="1"/>
  <c r="Z15" i="4" s="1"/>
  <c r="AD16" i="4" a="1"/>
  <c r="AD16" i="4" s="1"/>
  <c r="AX42" i="4"/>
  <c r="Z17" i="4" a="1"/>
  <c r="Z17" i="4" s="1"/>
  <c r="S15" i="4" a="1"/>
  <c r="S15" i="4" s="1"/>
  <c r="AC16" i="4" a="1"/>
  <c r="AC16" i="4" s="1"/>
  <c r="AW42" i="4"/>
  <c r="Y17" i="4" a="1"/>
  <c r="Y17" i="4" s="1"/>
  <c r="R15" i="4" a="1"/>
  <c r="R15" i="4" s="1"/>
  <c r="AB16" i="4" a="1"/>
  <c r="AB16" i="4" s="1"/>
  <c r="AU42" i="4"/>
  <c r="M17" i="4" a="1"/>
  <c r="M17" i="4" s="1"/>
  <c r="Q15" i="4" a="1"/>
  <c r="Q15" i="4" s="1"/>
  <c r="L17" i="4" a="1"/>
  <c r="L17" i="4" s="1"/>
  <c r="J15" i="4" a="1"/>
  <c r="J15" i="4" s="1"/>
  <c r="V16" i="4" a="1"/>
  <c r="V16" i="4" s="1"/>
  <c r="AR42" i="4"/>
  <c r="C15" i="4"/>
  <c r="I15" i="4" a="1"/>
  <c r="I15" i="4" s="1"/>
  <c r="U16" i="4" a="1"/>
  <c r="U16" i="4" s="1"/>
  <c r="AQ42" i="4"/>
  <c r="B15" i="4"/>
  <c r="T16" i="4" a="1"/>
  <c r="T16" i="4" s="1"/>
  <c r="AP42" i="4"/>
  <c r="C16" i="4"/>
  <c r="BB16" i="4" a="1"/>
  <c r="BB16" i="4" s="1"/>
  <c r="P16" i="4" a="1"/>
  <c r="P16" i="4" s="1"/>
  <c r="AO42" i="4"/>
  <c r="B16" i="4"/>
  <c r="AD186" i="7"/>
  <c r="AB186" i="7"/>
  <c r="Q186" i="7" a="1"/>
  <c r="Q186" i="7" s="1"/>
  <c r="R186" i="7" s="1"/>
  <c r="AD178" i="7"/>
  <c r="AD179" i="7"/>
  <c r="AM67" i="4"/>
  <c r="G67" i="4"/>
  <c r="AL67" i="4"/>
  <c r="F67" i="4"/>
  <c r="AK67" i="4"/>
  <c r="E67" i="4"/>
  <c r="AJ67" i="4"/>
  <c r="D67" i="4"/>
  <c r="AI67" i="4"/>
  <c r="AH67" i="4"/>
  <c r="AB67" i="4"/>
  <c r="AA67" i="4"/>
  <c r="Z67" i="4"/>
  <c r="BB67" i="4"/>
  <c r="V67" i="4"/>
  <c r="AZ67" i="4"/>
  <c r="T67" i="4"/>
  <c r="AY67" i="4"/>
  <c r="S67" i="4"/>
  <c r="AX67" i="4"/>
  <c r="R67" i="4"/>
  <c r="BA67" i="4"/>
  <c r="U67" i="4"/>
  <c r="AW67" i="4"/>
  <c r="Q67" i="4"/>
  <c r="X67" i="4"/>
  <c r="W67" i="4"/>
  <c r="AV67" i="4"/>
  <c r="P67" i="4"/>
  <c r="BC67" i="4"/>
  <c r="AU67" i="4"/>
  <c r="O25" i="4"/>
  <c r="AW17" i="4" a="1"/>
  <c r="AW17" i="4" s="1"/>
  <c r="Q17" i="4" a="1"/>
  <c r="Q17" i="4" s="1"/>
  <c r="AY17" i="4" a="1"/>
  <c r="AY17" i="4" s="1"/>
  <c r="Q25" i="4"/>
  <c r="AX17" i="4" a="1"/>
  <c r="AX17" i="4" s="1"/>
  <c r="P25" i="4"/>
  <c r="V25" i="4"/>
  <c r="T25" i="4"/>
  <c r="BC17" i="4" a="1"/>
  <c r="BC17" i="4" s="1"/>
  <c r="W17" i="4" a="1"/>
  <c r="W17" i="4" s="1"/>
  <c r="S17" i="4" a="1"/>
  <c r="S17" i="4" s="1"/>
  <c r="R17" i="4" a="1"/>
  <c r="R17" i="4" s="1"/>
  <c r="N25" i="4"/>
  <c r="C29" i="4"/>
  <c r="J25" i="4"/>
  <c r="S25" i="4"/>
  <c r="R25" i="4"/>
  <c r="M25" i="4"/>
  <c r="A39" i="4"/>
  <c r="AV17" i="4" a="1"/>
  <c r="AV17" i="4" s="1"/>
  <c r="P17" i="4" a="1"/>
  <c r="P17" i="4" s="1"/>
  <c r="B29" i="4"/>
  <c r="AU17" i="4" a="1"/>
  <c r="AU17" i="4" s="1"/>
  <c r="O17" i="4" a="1"/>
  <c r="O17" i="4" s="1"/>
  <c r="A38" i="4"/>
  <c r="AT42" i="4"/>
  <c r="AT17" i="4" a="1"/>
  <c r="AT17" i="4" s="1"/>
  <c r="N17" i="4" a="1"/>
  <c r="N17" i="4" s="1"/>
  <c r="AX25" i="4"/>
  <c r="K17" i="4" a="1"/>
  <c r="K17" i="4" s="1"/>
  <c r="AW25" i="4"/>
  <c r="AP17" i="4" a="1"/>
  <c r="AP17" i="4" s="1"/>
  <c r="BA29" i="4"/>
  <c r="AO17" i="4" a="1"/>
  <c r="AO17" i="4" s="1"/>
  <c r="I17" i="4" a="1"/>
  <c r="I17" i="4" s="1"/>
  <c r="AR25" i="4"/>
  <c r="C17" i="4"/>
  <c r="AJ25" i="4"/>
  <c r="AD29" i="4"/>
  <c r="AB25" i="4"/>
  <c r="AS16" i="4" a="1"/>
  <c r="AS16" i="4" s="1"/>
  <c r="S16" i="4" a="1"/>
  <c r="S16" i="4" s="1"/>
  <c r="S29" i="4"/>
  <c r="K42" i="4"/>
  <c r="AD17" i="4" a="1"/>
  <c r="AD17" i="4" s="1"/>
  <c r="A43" i="4"/>
  <c r="AK43" i="4" s="1"/>
  <c r="AI17" i="4" a="1"/>
  <c r="AI17" i="4" s="1"/>
  <c r="AO25" i="4"/>
  <c r="AG17" i="4" a="1"/>
  <c r="AG17" i="4" s="1"/>
  <c r="B17" i="4"/>
  <c r="AN25" i="4"/>
  <c r="AN29" i="4"/>
  <c r="AF17" i="4" a="1"/>
  <c r="AF17" i="4" s="1"/>
  <c r="AE17" i="4" a="1"/>
  <c r="AE17" i="4" s="1"/>
  <c r="AA25" i="4"/>
  <c r="J42" i="4"/>
  <c r="AC17" i="4" a="1"/>
  <c r="AC17" i="4" s="1"/>
  <c r="C42" i="4"/>
  <c r="BC25" i="4"/>
  <c r="AQ17" i="4" a="1"/>
  <c r="AQ17" i="4" s="1"/>
  <c r="J17" i="4" a="1"/>
  <c r="J17" i="4" s="1"/>
  <c r="AV25" i="4"/>
  <c r="AM17" i="4" a="1"/>
  <c r="AM17" i="4" s="1"/>
  <c r="AS25" i="4"/>
  <c r="AW29" i="4"/>
  <c r="AM25" i="4"/>
  <c r="A35" i="4"/>
  <c r="Z25" i="4"/>
  <c r="AR16" i="4" a="1"/>
  <c r="AR16" i="4" s="1"/>
  <c r="R16" i="4" a="1"/>
  <c r="R16" i="4" s="1"/>
  <c r="I42" i="4"/>
  <c r="AB17" i="4" a="1"/>
  <c r="AB17" i="4" s="1"/>
  <c r="B42" i="4"/>
  <c r="AU25" i="4"/>
  <c r="AT25" i="4"/>
  <c r="G17" i="4" a="1"/>
  <c r="G17" i="4" s="1"/>
  <c r="A30" i="4"/>
  <c r="AO30" i="4" s="1"/>
  <c r="AV29" i="4"/>
  <c r="AH17" i="4" a="1"/>
  <c r="AH17" i="4" s="1"/>
  <c r="AP25" i="4"/>
  <c r="AT29" i="4"/>
  <c r="Y25" i="4"/>
  <c r="AO16" i="4" a="1"/>
  <c r="AO16" i="4" s="1"/>
  <c r="Q16" i="4" a="1"/>
  <c r="Q16" i="4" s="1"/>
  <c r="P29" i="4"/>
  <c r="AA17" i="4" a="1"/>
  <c r="AA17" i="4" s="1"/>
  <c r="Q43" i="4"/>
  <c r="AW43" i="4"/>
  <c r="R43" i="4"/>
  <c r="AX43" i="4"/>
  <c r="S43" i="4"/>
  <c r="AY43" i="4"/>
  <c r="T43" i="4"/>
  <c r="AZ43" i="4"/>
  <c r="U43" i="4"/>
  <c r="BA43" i="4"/>
  <c r="V43" i="4"/>
  <c r="BB43" i="4"/>
  <c r="W43" i="4"/>
  <c r="BC43" i="4"/>
  <c r="Y43" i="4"/>
  <c r="Z43" i="4"/>
  <c r="AA43" i="4"/>
  <c r="AE43" i="4"/>
  <c r="I43" i="4"/>
  <c r="AO43" i="4"/>
  <c r="AM43" i="4"/>
  <c r="AN43" i="4"/>
  <c r="AP43" i="4"/>
  <c r="AQ43" i="4"/>
  <c r="AR43" i="4"/>
  <c r="AS43" i="4"/>
  <c r="AT43" i="4"/>
  <c r="AV43" i="4"/>
  <c r="G43" i="4"/>
  <c r="D43" i="4"/>
  <c r="E43" i="4"/>
  <c r="J43" i="4"/>
  <c r="F43" i="4"/>
  <c r="P43" i="4"/>
  <c r="H43" i="4"/>
  <c r="K43" i="4"/>
  <c r="L43" i="4"/>
  <c r="M43" i="4"/>
  <c r="N43" i="4"/>
  <c r="O43" i="4"/>
  <c r="AF43" i="4"/>
  <c r="AG43" i="4"/>
  <c r="A23" i="4"/>
  <c r="A36" i="4"/>
  <c r="A34" i="4"/>
  <c r="A21" i="4"/>
  <c r="H30" i="4"/>
  <c r="AN30" i="4"/>
  <c r="K15" i="4" a="1"/>
  <c r="K15" i="4" s="1"/>
  <c r="AA15" i="4" a="1"/>
  <c r="AA15" i="4" s="1"/>
  <c r="AQ15" i="4" a="1"/>
  <c r="AQ15" i="4" s="1"/>
  <c r="L15" i="4" a="1"/>
  <c r="L15" i="4" s="1"/>
  <c r="AB15" i="4" a="1"/>
  <c r="AB15" i="4" s="1"/>
  <c r="AR15" i="4" a="1"/>
  <c r="AR15" i="4" s="1"/>
  <c r="M15" i="4" a="1"/>
  <c r="M15" i="4" s="1"/>
  <c r="AC15" i="4" a="1"/>
  <c r="AC15" i="4" s="1"/>
  <c r="AS15" i="4" a="1"/>
  <c r="AS15" i="4" s="1"/>
  <c r="O15" i="4" a="1"/>
  <c r="O15" i="4" s="1"/>
  <c r="AE15" i="4" a="1"/>
  <c r="AE15" i="4" s="1"/>
  <c r="AU15" i="4" a="1"/>
  <c r="AU15" i="4" s="1"/>
  <c r="AP15" i="4" a="1"/>
  <c r="AP15" i="4" s="1"/>
  <c r="T15" i="4" a="1"/>
  <c r="T15" i="4" s="1"/>
  <c r="AT15" i="4" a="1"/>
  <c r="AT15" i="4" s="1"/>
  <c r="AV15" i="4" a="1"/>
  <c r="AV15" i="4" s="1"/>
  <c r="U15" i="4" a="1"/>
  <c r="U15" i="4" s="1"/>
  <c r="AW15" i="4" a="1"/>
  <c r="AW15" i="4" s="1"/>
  <c r="V15" i="4" a="1"/>
  <c r="V15" i="4" s="1"/>
  <c r="AX15" i="4" a="1"/>
  <c r="AX15" i="4" s="1"/>
  <c r="W15" i="4" a="1"/>
  <c r="W15" i="4" s="1"/>
  <c r="AY15" i="4" a="1"/>
  <c r="AY15" i="4" s="1"/>
  <c r="X15" i="4" a="1"/>
  <c r="X15" i="4" s="1"/>
  <c r="A41" i="4"/>
  <c r="A28" i="4"/>
  <c r="Y15" i="4" a="1"/>
  <c r="Y15" i="4" s="1"/>
  <c r="AF15" i="4" a="1"/>
  <c r="AF15" i="4" s="1"/>
  <c r="BC15" i="4" a="1"/>
  <c r="BC15" i="4" s="1"/>
  <c r="P15" i="4" a="1"/>
  <c r="P15" i="4" s="1"/>
  <c r="N15" i="4" a="1"/>
  <c r="N15" i="4" s="1"/>
  <c r="AZ15" i="4" a="1"/>
  <c r="AZ15" i="4" s="1"/>
  <c r="A27" i="4"/>
  <c r="H15" i="4" a="1"/>
  <c r="H15" i="4" s="1"/>
  <c r="A37" i="4"/>
  <c r="A24" i="4"/>
  <c r="AO15" i="4" a="1"/>
  <c r="AO15" i="4" s="1"/>
  <c r="AN15" i="4" a="1"/>
  <c r="AN15" i="4" s="1"/>
  <c r="F15" i="4" a="1"/>
  <c r="F15" i="4" s="1"/>
  <c r="AG29" i="4"/>
  <c r="AH29" i="4"/>
  <c r="AI29" i="4"/>
  <c r="D29" i="4"/>
  <c r="AJ29" i="4"/>
  <c r="E29" i="4"/>
  <c r="AK29" i="4"/>
  <c r="F29" i="4"/>
  <c r="AL29" i="4"/>
  <c r="G29" i="4"/>
  <c r="AM29" i="4"/>
  <c r="AO29" i="4"/>
  <c r="O29" i="4"/>
  <c r="AU29" i="4"/>
  <c r="Y29" i="4"/>
  <c r="U29" i="4"/>
  <c r="V29" i="4"/>
  <c r="W29" i="4"/>
  <c r="X29" i="4"/>
  <c r="Z29" i="4"/>
  <c r="AA29" i="4"/>
  <c r="AB29" i="4"/>
  <c r="AC29" i="4"/>
  <c r="AE29" i="4"/>
  <c r="AS29" i="4"/>
  <c r="G15" i="4" a="1"/>
  <c r="G15" i="4" s="1"/>
  <c r="A22" i="4"/>
  <c r="BC29" i="4"/>
  <c r="A40" i="4"/>
  <c r="AM15" i="4" a="1"/>
  <c r="AM15" i="4" s="1"/>
  <c r="E15" i="4" a="1"/>
  <c r="E15" i="4" s="1"/>
  <c r="A26" i="4"/>
  <c r="AL15" i="4" a="1"/>
  <c r="AL15" i="4" s="1"/>
  <c r="D15" i="4" a="1"/>
  <c r="D15" i="4" s="1"/>
  <c r="AK15" i="4" a="1"/>
  <c r="AK15" i="4" s="1"/>
  <c r="AX29" i="4"/>
  <c r="J30" i="4"/>
  <c r="AJ15" i="4" a="1"/>
  <c r="AJ15" i="4" s="1"/>
  <c r="I30" i="4"/>
  <c r="X42" i="4"/>
  <c r="Y42" i="4"/>
  <c r="Z42" i="4"/>
  <c r="AA42" i="4"/>
  <c r="AB42" i="4"/>
  <c r="AC42" i="4"/>
  <c r="AD42" i="4"/>
  <c r="AF42" i="4"/>
  <c r="AG42" i="4"/>
  <c r="AH42" i="4"/>
  <c r="F42" i="4"/>
  <c r="AL42" i="4"/>
  <c r="P42" i="4"/>
  <c r="AV42" i="4"/>
  <c r="AM42" i="4"/>
  <c r="AK42" i="4"/>
  <c r="AC25" i="4"/>
  <c r="AD25" i="4"/>
  <c r="AE25" i="4"/>
  <c r="AF25" i="4"/>
  <c r="AG25" i="4"/>
  <c r="AH25" i="4"/>
  <c r="AI25" i="4"/>
  <c r="E25" i="4"/>
  <c r="AK25" i="4"/>
  <c r="F25" i="4"/>
  <c r="AL25" i="4"/>
  <c r="G25" i="4"/>
  <c r="K25" i="4"/>
  <c r="AQ25" i="4"/>
  <c r="U25" i="4"/>
  <c r="BA25" i="4"/>
  <c r="L25" i="4"/>
  <c r="AJ42" i="4"/>
  <c r="BB25" i="4"/>
  <c r="I25" i="4"/>
  <c r="AE42" i="4"/>
  <c r="AZ25" i="4"/>
  <c r="H25" i="4"/>
  <c r="W42" i="4"/>
  <c r="AY25" i="4"/>
  <c r="D25" i="4"/>
  <c r="V42" i="4"/>
  <c r="T42" i="4"/>
  <c r="AN17" i="4" a="1"/>
  <c r="AN17" i="4" s="1"/>
  <c r="X17" i="4" a="1"/>
  <c r="X17" i="4" s="1"/>
  <c r="H17" i="4" a="1"/>
  <c r="H17" i="4" s="1"/>
  <c r="AQ16" i="4" a="1"/>
  <c r="AQ16" i="4" s="1"/>
  <c r="AA16" i="4" a="1"/>
  <c r="AA16" i="4" s="1"/>
  <c r="K16" i="4" a="1"/>
  <c r="K16" i="4" s="1"/>
  <c r="AP16" i="4" a="1"/>
  <c r="AP16" i="4" s="1"/>
  <c r="Z16" i="4" a="1"/>
  <c r="Z16" i="4" s="1"/>
  <c r="J16" i="4" a="1"/>
  <c r="J16" i="4" s="1"/>
  <c r="BB17" i="4" a="1"/>
  <c r="BB17" i="4" s="1"/>
  <c r="AL17" i="4" a="1"/>
  <c r="AL17" i="4" s="1"/>
  <c r="V17" i="4" a="1"/>
  <c r="V17" i="4" s="1"/>
  <c r="F17" i="4" a="1"/>
  <c r="F17" i="4" s="1"/>
  <c r="BA17" i="4" a="1"/>
  <c r="BA17" i="4" s="1"/>
  <c r="AK17" i="4" a="1"/>
  <c r="AK17" i="4" s="1"/>
  <c r="U17" i="4" a="1"/>
  <c r="U17" i="4" s="1"/>
  <c r="E17" i="4" a="1"/>
  <c r="E17" i="4" s="1"/>
  <c r="AN16" i="4" a="1"/>
  <c r="AN16" i="4" s="1"/>
  <c r="X16" i="4" a="1"/>
  <c r="X16" i="4" s="1"/>
  <c r="H16" i="4" a="1"/>
  <c r="H16" i="4" s="1"/>
  <c r="AZ17" i="4" a="1"/>
  <c r="AZ17" i="4" s="1"/>
  <c r="AJ17" i="4" a="1"/>
  <c r="AJ17" i="4" s="1"/>
  <c r="T17" i="4" a="1"/>
  <c r="T17" i="4" s="1"/>
  <c r="BC16" i="4" a="1"/>
  <c r="BC16" i="4" s="1"/>
  <c r="AM16" i="4" a="1"/>
  <c r="AM16" i="4" s="1"/>
  <c r="W16" i="4" a="1"/>
  <c r="W16" i="4" s="1"/>
  <c r="G16" i="4" a="1"/>
  <c r="G16" i="4" s="1"/>
  <c r="AA124" i="7"/>
  <c r="B361" i="6"/>
  <c r="B289" i="6"/>
  <c r="B298" i="6"/>
  <c r="B325" i="6"/>
  <c r="C316" i="6"/>
  <c r="C334" i="6"/>
  <c r="C280" i="6"/>
  <c r="B343" i="6"/>
  <c r="C298" i="6"/>
  <c r="B334" i="6"/>
  <c r="C289" i="6"/>
  <c r="C370" i="6"/>
  <c r="B370" i="6"/>
  <c r="C325" i="6"/>
  <c r="B280" i="6"/>
  <c r="C361" i="6"/>
  <c r="B316" i="6"/>
  <c r="B352" i="6"/>
  <c r="C352" i="6"/>
  <c r="C307" i="6"/>
  <c r="B307" i="6"/>
  <c r="C343" i="6"/>
  <c r="AA19" i="7"/>
  <c r="Y14" i="7"/>
  <c r="C8" i="5"/>
  <c r="F8" i="5"/>
  <c r="H1" i="7"/>
  <c r="AD9" i="7"/>
  <c r="P9" i="7"/>
  <c r="AD71" i="7"/>
  <c r="P71" i="7"/>
  <c r="R71" i="7" s="1"/>
  <c r="P130" i="7"/>
  <c r="AD130" i="7"/>
  <c r="AA75" i="7"/>
  <c r="G42" i="7"/>
  <c r="AD42" i="7" s="1"/>
  <c r="Q15" i="7" a="1"/>
  <c r="Q15" i="7" s="1"/>
  <c r="AA74" i="7"/>
  <c r="Q164" i="7" a="1"/>
  <c r="Q164" i="7" s="1"/>
  <c r="Y140" i="7"/>
  <c r="AB173" i="7"/>
  <c r="Z14" i="7"/>
  <c r="AA92" i="7"/>
  <c r="G151" i="7"/>
  <c r="P151" i="7" s="1"/>
  <c r="Y231" i="7"/>
  <c r="Q215" i="7" a="1"/>
  <c r="Q215" i="7" s="1"/>
  <c r="Q20" i="7" a="1"/>
  <c r="Q20" i="7" s="1"/>
  <c r="Q78" i="7" a="1"/>
  <c r="Q78" i="7" s="1"/>
  <c r="R78" i="7" s="1"/>
  <c r="Q224" i="7" a="1"/>
  <c r="Q224" i="7" s="1"/>
  <c r="R224" i="7" s="1"/>
  <c r="AA28" i="7"/>
  <c r="Q90" i="7" a="1"/>
  <c r="Q90" i="7" s="1"/>
  <c r="V68" i="7"/>
  <c r="Z28" i="7"/>
  <c r="Y125" i="7"/>
  <c r="Q214" i="7" a="1"/>
  <c r="Q214" i="7" s="1"/>
  <c r="Q91" i="7" a="1"/>
  <c r="Q91" i="7" s="1"/>
  <c r="Q83" i="7" a="1"/>
  <c r="Q83" i="7" s="1"/>
  <c r="R83" i="7" s="1"/>
  <c r="Q119" i="7" a="1"/>
  <c r="Q119" i="7" s="1"/>
  <c r="V139" i="7"/>
  <c r="V40" i="7"/>
  <c r="Z22" i="7"/>
  <c r="AA118" i="7"/>
  <c r="AA222" i="7"/>
  <c r="V70" i="7"/>
  <c r="Q41" i="7" a="1"/>
  <c r="Q41" i="7" s="1"/>
  <c r="R41" i="7" s="1"/>
  <c r="Q13" i="7" a="1"/>
  <c r="Q13" i="7" s="1"/>
  <c r="R13" i="7" s="1"/>
  <c r="Q72" i="7" a="1"/>
  <c r="Q72" i="7" s="1"/>
  <c r="Q22" i="7" a="1"/>
  <c r="Q22" i="7" s="1"/>
  <c r="Z118" i="7"/>
  <c r="AB181" i="7"/>
  <c r="V41" i="7"/>
  <c r="V39" i="7"/>
  <c r="B340" i="6" a="1"/>
  <c r="B340" i="6" s="1"/>
  <c r="E299" i="6" a="1"/>
  <c r="E299" i="6" s="1"/>
  <c r="BM327" i="6"/>
  <c r="Q56" i="7" a="1"/>
  <c r="Q56" i="7" s="1"/>
  <c r="Q60" i="7" a="1"/>
  <c r="Q60" i="7" s="1"/>
  <c r="C315" i="6" a="1"/>
  <c r="C315" i="6" s="1"/>
  <c r="P228" i="7"/>
  <c r="R228" i="7" s="1"/>
  <c r="AD228" i="7"/>
  <c r="BM367" i="6"/>
  <c r="BL367" i="6" a="1"/>
  <c r="BL367" i="6" s="1"/>
  <c r="P148" i="7"/>
  <c r="AD148" i="7"/>
  <c r="AD111" i="7"/>
  <c r="P111" i="7"/>
  <c r="AD21" i="7"/>
  <c r="P21" i="7"/>
  <c r="P15" i="7"/>
  <c r="AD15" i="7"/>
  <c r="P47" i="7"/>
  <c r="AD47" i="7"/>
  <c r="P181" i="7"/>
  <c r="AD181" i="7"/>
  <c r="V32" i="7"/>
  <c r="Q148" i="7" a="1"/>
  <c r="Q148" i="7" s="1"/>
  <c r="Q131" i="7" a="1"/>
  <c r="Q131" i="7" s="1"/>
  <c r="Q168" i="7" a="1"/>
  <c r="Q168" i="7" s="1"/>
  <c r="F331" i="6"/>
  <c r="Y39" i="7"/>
  <c r="S196" i="7"/>
  <c r="Y98" i="7"/>
  <c r="AA212" i="7"/>
  <c r="V105" i="7"/>
  <c r="Q53" i="7" a="1"/>
  <c r="Q53" i="7" s="1"/>
  <c r="V204" i="7"/>
  <c r="Q232" i="7" a="1"/>
  <c r="Q232" i="7" s="1"/>
  <c r="R232" i="7" s="1"/>
  <c r="S32" i="7"/>
  <c r="Z69" i="7"/>
  <c r="P57" i="7"/>
  <c r="Z124" i="7"/>
  <c r="Y92" i="7"/>
  <c r="AA164" i="7"/>
  <c r="Q142" i="7" a="1"/>
  <c r="Q142" i="7" s="1"/>
  <c r="R142" i="7" s="1"/>
  <c r="AD235" i="7"/>
  <c r="V202" i="7"/>
  <c r="V29" i="7"/>
  <c r="Q108" i="7" a="1"/>
  <c r="Q108" i="7" s="1"/>
  <c r="Q172" i="7" a="1"/>
  <c r="Q172" i="7" s="1"/>
  <c r="V201" i="7"/>
  <c r="Q130" i="7" a="1"/>
  <c r="Q130" i="7" s="1"/>
  <c r="R130" i="7" s="1"/>
  <c r="R125" i="7"/>
  <c r="Q183" i="7" a="1"/>
  <c r="Q183" i="7" s="1"/>
  <c r="V192" i="7"/>
  <c r="V190" i="7"/>
  <c r="Q33" i="7" a="1"/>
  <c r="Q33" i="7" s="1"/>
  <c r="R33" i="7" s="1"/>
  <c r="V62" i="7"/>
  <c r="Y78" i="7"/>
  <c r="V189" i="7"/>
  <c r="Q17" i="7" a="1"/>
  <c r="Q17" i="7" s="1"/>
  <c r="Q11" i="7" a="1"/>
  <c r="Q11" i="7" s="1"/>
  <c r="G82" i="7"/>
  <c r="U82" i="7" s="1"/>
  <c r="P73" i="7"/>
  <c r="Q57" i="7" a="1"/>
  <c r="Q57" i="7" s="1"/>
  <c r="Q124" i="7" a="1"/>
  <c r="Q124" i="7" s="1"/>
  <c r="Q152" i="7" a="1"/>
  <c r="Q152" i="7" s="1"/>
  <c r="Y129" i="7"/>
  <c r="G215" i="7"/>
  <c r="U215" i="7" s="1"/>
  <c r="Q165" i="7" a="1"/>
  <c r="Q165" i="7" s="1"/>
  <c r="V220" i="7"/>
  <c r="F52" i="7"/>
  <c r="Q63" i="7" a="1"/>
  <c r="Q63" i="7" s="1"/>
  <c r="R63" i="7" s="1"/>
  <c r="Q211" i="7" a="1"/>
  <c r="Q211" i="7" s="1"/>
  <c r="V138" i="7"/>
  <c r="AD41" i="7"/>
  <c r="AA56" i="7"/>
  <c r="Y101" i="7"/>
  <c r="Q159" i="7" a="1"/>
  <c r="Q159" i="7" s="1"/>
  <c r="P129" i="7"/>
  <c r="R129" i="7" s="1"/>
  <c r="P170" i="7"/>
  <c r="V136" i="7"/>
  <c r="V135" i="7" s="1"/>
  <c r="Q110" i="7" a="1"/>
  <c r="Q110" i="7" s="1"/>
  <c r="V134" i="7"/>
  <c r="Q219" i="7" a="1"/>
  <c r="Q219" i="7" s="1"/>
  <c r="Q139" i="7" a="1"/>
  <c r="Q139" i="7" s="1"/>
  <c r="F146" i="7"/>
  <c r="V203" i="7"/>
  <c r="V221" i="7"/>
  <c r="Q73" i="7" a="1"/>
  <c r="Q73" i="7" s="1"/>
  <c r="P50" i="7"/>
  <c r="Q46" i="7" a="1"/>
  <c r="Q46" i="7" s="1"/>
  <c r="Y158" i="7"/>
  <c r="Q140" i="7" a="1"/>
  <c r="Q140" i="7" s="1"/>
  <c r="AA229" i="7"/>
  <c r="V132" i="7"/>
  <c r="V122" i="7"/>
  <c r="Q223" i="7" a="1"/>
  <c r="Q223" i="7" s="1"/>
  <c r="R223" i="7" s="1"/>
  <c r="Q134" i="7" a="1"/>
  <c r="Q134" i="7" s="1"/>
  <c r="R134" i="7" s="1"/>
  <c r="V108" i="7"/>
  <c r="Q31" i="7" a="1"/>
  <c r="Q31" i="7" s="1"/>
  <c r="Y20" i="7"/>
  <c r="Y81" i="7"/>
  <c r="Z45" i="7"/>
  <c r="Z122" i="7"/>
  <c r="P95" i="7"/>
  <c r="Z162" i="7"/>
  <c r="V107" i="7"/>
  <c r="Q208" i="7" a="1"/>
  <c r="Q208" i="7" s="1"/>
  <c r="R208" i="7" s="1"/>
  <c r="Q39" i="7" a="1"/>
  <c r="Q39" i="7" s="1"/>
  <c r="Z20" i="7"/>
  <c r="V106" i="7"/>
  <c r="Q233" i="7" a="1"/>
  <c r="Q233" i="7" s="1"/>
  <c r="R233" i="7" s="1"/>
  <c r="Q26" i="7" a="1"/>
  <c r="Q26" i="7" s="1"/>
  <c r="R26" i="7" s="1"/>
  <c r="Z81" i="7"/>
  <c r="AA45" i="7"/>
  <c r="Q50" i="7" a="1"/>
  <c r="Q50" i="7" s="1"/>
  <c r="Y122" i="7"/>
  <c r="Y144" i="7"/>
  <c r="Y30" i="7"/>
  <c r="P55" i="7"/>
  <c r="AD49" i="7"/>
  <c r="P45" i="7"/>
  <c r="P122" i="7"/>
  <c r="AD205" i="7"/>
  <c r="Q169" i="7" a="1"/>
  <c r="Q169" i="7" s="1"/>
  <c r="AD233" i="7"/>
  <c r="V71" i="7"/>
  <c r="F345" i="6"/>
  <c r="C354" i="6" a="1"/>
  <c r="C354" i="6" s="1"/>
  <c r="P113" i="7"/>
  <c r="B290" i="6" a="1"/>
  <c r="B290" i="6" s="1"/>
  <c r="F283" i="6"/>
  <c r="F153" i="7"/>
  <c r="BM338" i="6"/>
  <c r="AD154" i="7"/>
  <c r="C351" i="6" a="1"/>
  <c r="C351" i="6" s="1"/>
  <c r="BL290" i="6" a="1"/>
  <c r="BL290" i="6" s="1"/>
  <c r="B315" i="6" a="1"/>
  <c r="B315" i="6" s="1"/>
  <c r="C358" i="6" a="1"/>
  <c r="C358" i="6" s="1"/>
  <c r="BM358" i="6"/>
  <c r="BL358" i="6" a="1"/>
  <c r="BL358" i="6" s="1"/>
  <c r="BM331" i="6"/>
  <c r="C320" i="6" a="1"/>
  <c r="C320" i="6" s="1"/>
  <c r="BK358" i="6" a="1"/>
  <c r="BK358" i="6" s="1"/>
  <c r="E345" i="6" a="1"/>
  <c r="E345" i="6" s="1"/>
  <c r="BL282" i="6" a="1"/>
  <c r="BL282" i="6" s="1"/>
  <c r="BM340" i="6"/>
  <c r="C312" i="6" a="1"/>
  <c r="C312" i="6" s="1"/>
  <c r="AD167" i="7"/>
  <c r="F166" i="7"/>
  <c r="BK341" i="6" a="1"/>
  <c r="BK341" i="6" s="1"/>
  <c r="BL341" i="6" a="1"/>
  <c r="BL341" i="6" s="1"/>
  <c r="BK378" i="6" a="1"/>
  <c r="BK378" i="6" s="1"/>
  <c r="BM378" i="6"/>
  <c r="BL378" i="6" a="1"/>
  <c r="BL378" i="6" s="1"/>
  <c r="F287" i="6"/>
  <c r="BM287" i="6"/>
  <c r="B326" i="6" a="1"/>
  <c r="B326" i="6" s="1"/>
  <c r="BK326" i="6" a="1"/>
  <c r="BK326" i="6" s="1"/>
  <c r="BL326" i="6" a="1"/>
  <c r="BL326" i="6" s="1"/>
  <c r="BM326" i="6"/>
  <c r="E308" i="6" a="1"/>
  <c r="E308" i="6" s="1"/>
  <c r="BL281" i="6" a="1"/>
  <c r="BL281" i="6" s="1"/>
  <c r="BM351" i="6"/>
  <c r="F351" i="6"/>
  <c r="C359" i="6" a="1"/>
  <c r="C359" i="6" s="1"/>
  <c r="AD100" i="7"/>
  <c r="P100" i="7"/>
  <c r="F310" i="6"/>
  <c r="BK310" i="6" a="1"/>
  <c r="BK310" i="6" s="1"/>
  <c r="BK347" i="6" a="1"/>
  <c r="BK347" i="6" s="1"/>
  <c r="BM347" i="6"/>
  <c r="P123" i="7"/>
  <c r="AD123" i="7"/>
  <c r="AD77" i="7"/>
  <c r="P77" i="7"/>
  <c r="U56" i="7"/>
  <c r="V199" i="7"/>
  <c r="V128" i="7"/>
  <c r="V58" i="7"/>
  <c r="B346" i="6" a="1"/>
  <c r="B346" i="6" s="1"/>
  <c r="C346" i="6" a="1"/>
  <c r="C346" i="6" s="1"/>
  <c r="BL346" i="6" a="1"/>
  <c r="BL346" i="6" s="1"/>
  <c r="Q24" i="7" a="1"/>
  <c r="Q24" i="7" s="1"/>
  <c r="R24" i="7" s="1"/>
  <c r="S56" i="7"/>
  <c r="AA133" i="7"/>
  <c r="Q202" i="7" a="1"/>
  <c r="Q202" i="7" s="1"/>
  <c r="Z163" i="7"/>
  <c r="Y163" i="7"/>
  <c r="B288" i="6" a="1"/>
  <c r="B288" i="6" s="1"/>
  <c r="BM288" i="6"/>
  <c r="Z105" i="7"/>
  <c r="AA105" i="7"/>
  <c r="C311" i="6" a="1"/>
  <c r="C311" i="6" s="1"/>
  <c r="F311" i="6"/>
  <c r="BK311" i="6" a="1"/>
  <c r="BK311" i="6" s="1"/>
  <c r="Q68" i="7" a="1"/>
  <c r="Q68" i="7" s="1"/>
  <c r="V131" i="7"/>
  <c r="V60" i="7"/>
  <c r="V198" i="7"/>
  <c r="V44" i="7"/>
  <c r="Q29" i="7" a="1"/>
  <c r="Q29" i="7" s="1"/>
  <c r="R29" i="7" s="1"/>
  <c r="P119" i="7"/>
  <c r="AD119" i="7"/>
  <c r="Z133" i="7"/>
  <c r="Z206" i="7"/>
  <c r="Y232" i="7"/>
  <c r="Z232" i="7"/>
  <c r="AA232" i="7"/>
  <c r="F299" i="6"/>
  <c r="BM353" i="6"/>
  <c r="V196" i="7"/>
  <c r="V125" i="7"/>
  <c r="Q23" i="7" a="1"/>
  <c r="Q23" i="7" s="1"/>
  <c r="Q77" i="7" a="1"/>
  <c r="Q77" i="7" s="1"/>
  <c r="S113" i="7"/>
  <c r="Y206" i="7"/>
  <c r="S201" i="7"/>
  <c r="BK353" i="6" a="1"/>
  <c r="BK353" i="6" s="1"/>
  <c r="V195" i="7"/>
  <c r="V124" i="7"/>
  <c r="G182" i="7"/>
  <c r="U182" i="7" s="1"/>
  <c r="AB182" i="7"/>
  <c r="V186" i="7"/>
  <c r="F378" i="6"/>
  <c r="B378" i="6" a="1"/>
  <c r="B378" i="6" s="1"/>
  <c r="C378" i="6" a="1"/>
  <c r="C378" i="6" s="1"/>
  <c r="P8" i="7"/>
  <c r="R8" i="7" s="1"/>
  <c r="AD8" i="7"/>
  <c r="AA10" i="7"/>
  <c r="Y10" i="7"/>
  <c r="Q185" i="7" a="1"/>
  <c r="Q185" i="7" s="1"/>
  <c r="V36" i="7"/>
  <c r="T99" i="7"/>
  <c r="Q80" i="7" a="1"/>
  <c r="Q80" i="7" s="1"/>
  <c r="S138" i="7"/>
  <c r="Q132" i="7" a="1"/>
  <c r="Q132" i="7" s="1"/>
  <c r="U174" i="7"/>
  <c r="V13" i="7"/>
  <c r="V45" i="7"/>
  <c r="V77" i="7"/>
  <c r="V109" i="7"/>
  <c r="V173" i="7"/>
  <c r="V205" i="7"/>
  <c r="V237" i="7"/>
  <c r="X237" i="7" s="1"/>
  <c r="V14" i="7"/>
  <c r="V46" i="7"/>
  <c r="V78" i="7"/>
  <c r="V110" i="7"/>
  <c r="V142" i="7"/>
  <c r="V174" i="7"/>
  <c r="V206" i="7"/>
  <c r="V238" i="7"/>
  <c r="X238" i="7" s="1"/>
  <c r="V15" i="7"/>
  <c r="V47" i="7"/>
  <c r="V79" i="7"/>
  <c r="V111" i="7"/>
  <c r="V143" i="7"/>
  <c r="V207" i="7"/>
  <c r="V239" i="7"/>
  <c r="X239" i="7" s="1"/>
  <c r="V48" i="7"/>
  <c r="V80" i="7"/>
  <c r="V144" i="7"/>
  <c r="V176" i="7"/>
  <c r="V208" i="7"/>
  <c r="V240" i="7"/>
  <c r="X240" i="7" s="1"/>
  <c r="U77" i="7"/>
  <c r="V217" i="7"/>
  <c r="V49" i="7"/>
  <c r="V81" i="7"/>
  <c r="V113" i="7"/>
  <c r="V241" i="7"/>
  <c r="X241" i="7" s="1"/>
  <c r="W77" i="7"/>
  <c r="V121" i="7"/>
  <c r="V18" i="7"/>
  <c r="V50" i="7"/>
  <c r="V114" i="7"/>
  <c r="V178" i="7"/>
  <c r="V210" i="7"/>
  <c r="V242" i="7"/>
  <c r="X242" i="7" s="1"/>
  <c r="V19" i="7"/>
  <c r="V51" i="7"/>
  <c r="V83" i="7"/>
  <c r="V115" i="7"/>
  <c r="V147" i="7"/>
  <c r="V179" i="7"/>
  <c r="V211" i="7"/>
  <c r="V243" i="7"/>
  <c r="X243" i="7" s="1"/>
  <c r="V20" i="7"/>
  <c r="V84" i="7"/>
  <c r="V148" i="7"/>
  <c r="V244" i="7"/>
  <c r="X244" i="7" s="1"/>
  <c r="V89" i="7"/>
  <c r="V21" i="7"/>
  <c r="V53" i="7"/>
  <c r="V181" i="7"/>
  <c r="V213" i="7"/>
  <c r="V245" i="7"/>
  <c r="X245" i="7" s="1"/>
  <c r="V54" i="7"/>
  <c r="V150" i="7"/>
  <c r="V214" i="7"/>
  <c r="V246" i="7"/>
  <c r="X246" i="7" s="1"/>
  <c r="V23" i="7"/>
  <c r="V55" i="7"/>
  <c r="V87" i="7"/>
  <c r="V119" i="7"/>
  <c r="V247" i="7"/>
  <c r="X247" i="7" s="1"/>
  <c r="V57" i="7"/>
  <c r="V24" i="7"/>
  <c r="V56" i="7"/>
  <c r="V88" i="7"/>
  <c r="V120" i="7"/>
  <c r="V216" i="7"/>
  <c r="V248" i="7"/>
  <c r="X248" i="7" s="1"/>
  <c r="W59" i="7"/>
  <c r="V27" i="7"/>
  <c r="V59" i="7"/>
  <c r="V91" i="7"/>
  <c r="V123" i="7"/>
  <c r="V155" i="7"/>
  <c r="V219" i="7"/>
  <c r="W196" i="7"/>
  <c r="T56" i="7"/>
  <c r="V31" i="7"/>
  <c r="V63" i="7"/>
  <c r="V95" i="7"/>
  <c r="V127" i="7"/>
  <c r="V159" i="7"/>
  <c r="V191" i="7"/>
  <c r="V223" i="7"/>
  <c r="V33" i="7"/>
  <c r="V97" i="7"/>
  <c r="V129" i="7"/>
  <c r="V161" i="7"/>
  <c r="V225" i="7"/>
  <c r="V66" i="7"/>
  <c r="V65" i="7" s="1"/>
  <c r="V98" i="7"/>
  <c r="V130" i="7"/>
  <c r="V162" i="7"/>
  <c r="V194" i="7"/>
  <c r="V226" i="7"/>
  <c r="S221" i="7"/>
  <c r="V35" i="7"/>
  <c r="V6" i="7"/>
  <c r="V5" i="7" s="1"/>
  <c r="V37" i="7"/>
  <c r="V69" i="7"/>
  <c r="V101" i="7"/>
  <c r="V133" i="7"/>
  <c r="V165" i="7"/>
  <c r="V197" i="7"/>
  <c r="V229" i="7"/>
  <c r="Q221" i="7" a="1"/>
  <c r="Q221" i="7" s="1"/>
  <c r="R221" i="7" s="1"/>
  <c r="V26" i="7"/>
  <c r="V12" i="7"/>
  <c r="Q160" i="7" a="1"/>
  <c r="Q160" i="7" s="1"/>
  <c r="Q170" i="7" a="1"/>
  <c r="Q170" i="7" s="1"/>
  <c r="V233" i="7"/>
  <c r="V93" i="7"/>
  <c r="V10" i="7"/>
  <c r="F157" i="7"/>
  <c r="S114" i="7"/>
  <c r="Y139" i="7"/>
  <c r="Z139" i="7"/>
  <c r="AA139" i="7"/>
  <c r="Q138" i="7" a="1"/>
  <c r="Q138" i="7" s="1"/>
  <c r="Q187" i="7" a="1"/>
  <c r="Q187" i="7" s="1"/>
  <c r="B373" i="6" a="1"/>
  <c r="B373" i="6" s="1"/>
  <c r="E373" i="6" a="1"/>
  <c r="E373" i="6" s="1"/>
  <c r="BM373" i="6"/>
  <c r="P58" i="7"/>
  <c r="AD58" i="7"/>
  <c r="AA58" i="7"/>
  <c r="Y58" i="7"/>
  <c r="Z58" i="7"/>
  <c r="G164" i="7"/>
  <c r="W164" i="7" s="1"/>
  <c r="P204" i="7"/>
  <c r="Q181" i="7" a="1"/>
  <c r="Q181" i="7" s="1"/>
  <c r="Q235" i="7" a="1"/>
  <c r="Q235" i="7" s="1"/>
  <c r="R235" i="7" s="1"/>
  <c r="BM333" i="6"/>
  <c r="BK349" i="6" a="1"/>
  <c r="BK349" i="6" s="1"/>
  <c r="BL349" i="6" a="1"/>
  <c r="BL349" i="6" s="1"/>
  <c r="V232" i="7"/>
  <c r="V163" i="7"/>
  <c r="V92" i="7"/>
  <c r="V9" i="7"/>
  <c r="AA119" i="7"/>
  <c r="Z119" i="7"/>
  <c r="Q133" i="7" a="1"/>
  <c r="Q133" i="7" s="1"/>
  <c r="Y71" i="7"/>
  <c r="Z71" i="7"/>
  <c r="Y132" i="7"/>
  <c r="Z132" i="7"/>
  <c r="AA132" i="7"/>
  <c r="V100" i="7"/>
  <c r="V99" i="7"/>
  <c r="V167" i="7"/>
  <c r="Q49" i="7" a="1"/>
  <c r="Q49" i="7" s="1"/>
  <c r="R49" i="7" s="1"/>
  <c r="F304" i="6"/>
  <c r="BK304" i="6" a="1"/>
  <c r="BK304" i="6" s="1"/>
  <c r="V160" i="7"/>
  <c r="V90" i="7"/>
  <c r="V8" i="7"/>
  <c r="Y100" i="7"/>
  <c r="Z100" i="7"/>
  <c r="AA100" i="7"/>
  <c r="Q100" i="7" a="1"/>
  <c r="Q100" i="7" s="1"/>
  <c r="Q163" i="7" a="1"/>
  <c r="Q163" i="7" s="1"/>
  <c r="R163" i="7" s="1"/>
  <c r="Q123" i="7" a="1"/>
  <c r="Q123" i="7" s="1"/>
  <c r="U138" i="7"/>
  <c r="V102" i="7"/>
  <c r="F342" i="6"/>
  <c r="BK342" i="6" a="1"/>
  <c r="BK342" i="6" s="1"/>
  <c r="BL342" i="6" a="1"/>
  <c r="BL342" i="6" s="1"/>
  <c r="Q75" i="7" a="1"/>
  <c r="Q75" i="7" s="1"/>
  <c r="R75" i="7" s="1"/>
  <c r="Q118" i="7" a="1"/>
  <c r="Q118" i="7" s="1"/>
  <c r="V236" i="7"/>
  <c r="X236" i="7" s="1"/>
  <c r="Y235" i="7"/>
  <c r="Z235" i="7"/>
  <c r="Q58" i="7" a="1"/>
  <c r="Q58" i="7" s="1"/>
  <c r="Q54" i="7" a="1"/>
  <c r="Q54" i="7" s="1"/>
  <c r="R54" i="7" s="1"/>
  <c r="Y204" i="7"/>
  <c r="Z204" i="7"/>
  <c r="AA204" i="7"/>
  <c r="Y210" i="7"/>
  <c r="BL333" i="6" a="1"/>
  <c r="BL333" i="6" s="1"/>
  <c r="F326" i="6"/>
  <c r="Y214" i="7"/>
  <c r="Z214" i="7"/>
  <c r="AA214" i="7"/>
  <c r="BK369" i="6" a="1"/>
  <c r="BK369" i="6" s="1"/>
  <c r="BL369" i="6" a="1"/>
  <c r="BL369" i="6" s="1"/>
  <c r="Q10" i="7" a="1"/>
  <c r="Q10" i="7" s="1"/>
  <c r="AD75" i="7"/>
  <c r="P75" i="7"/>
  <c r="V170" i="7"/>
  <c r="AB187" i="7"/>
  <c r="G187" i="7"/>
  <c r="W187" i="7" s="1"/>
  <c r="F112" i="7"/>
  <c r="V168" i="7"/>
  <c r="V96" i="7"/>
  <c r="F126" i="7"/>
  <c r="Q21" i="7" a="1"/>
  <c r="Q21" i="7" s="1"/>
  <c r="Q79" i="7" a="1"/>
  <c r="Q79" i="7" s="1"/>
  <c r="R79" i="7" s="1"/>
  <c r="P91" i="7"/>
  <c r="AD91" i="7"/>
  <c r="P210" i="7"/>
  <c r="AD210" i="7"/>
  <c r="V228" i="7"/>
  <c r="V75" i="7"/>
  <c r="Q30" i="7" a="1"/>
  <c r="Q30" i="7" s="1"/>
  <c r="R30" i="7" s="1"/>
  <c r="Y123" i="7"/>
  <c r="Z123" i="7"/>
  <c r="W99" i="7"/>
  <c r="V172" i="7"/>
  <c r="V28" i="7"/>
  <c r="Q143" i="7" a="1"/>
  <c r="Q143" i="7" s="1"/>
  <c r="Y36" i="7"/>
  <c r="Z36" i="7"/>
  <c r="AA36" i="7"/>
  <c r="AD30" i="7"/>
  <c r="P69" i="7"/>
  <c r="AD69" i="7"/>
  <c r="Z53" i="7"/>
  <c r="Q204" i="7" a="1"/>
  <c r="Q204" i="7" s="1"/>
  <c r="P192" i="7"/>
  <c r="AB192" i="7" s="1"/>
  <c r="AB169" i="7"/>
  <c r="G169" i="7"/>
  <c r="W169" i="7" s="1"/>
  <c r="P214" i="7"/>
  <c r="C326" i="6" a="1"/>
  <c r="C326" i="6" s="1"/>
  <c r="V156" i="7"/>
  <c r="V74" i="7"/>
  <c r="B320" i="6" a="1"/>
  <c r="B320" i="6" s="1"/>
  <c r="BM320" i="6"/>
  <c r="V224" i="7"/>
  <c r="V154" i="7"/>
  <c r="V73" i="7"/>
  <c r="BK355" i="6" a="1"/>
  <c r="BK355" i="6" s="1"/>
  <c r="BL355" i="6" a="1"/>
  <c r="BL355" i="6" s="1"/>
  <c r="AA8" i="7"/>
  <c r="Z8" i="7"/>
  <c r="Z128" i="7"/>
  <c r="AA128" i="7"/>
  <c r="Q182" i="7" a="1"/>
  <c r="Q182" i="7" s="1"/>
  <c r="V30" i="7"/>
  <c r="V235" i="7"/>
  <c r="V234" i="7"/>
  <c r="Z10" i="7"/>
  <c r="Y53" i="7"/>
  <c r="AD163" i="7"/>
  <c r="Z40" i="7"/>
  <c r="Z30" i="7"/>
  <c r="Z15" i="7"/>
  <c r="P10" i="7"/>
  <c r="AD125" i="7"/>
  <c r="AA203" i="7"/>
  <c r="G185" i="7"/>
  <c r="W185" i="7" s="1"/>
  <c r="BK27" i="6" a="1"/>
  <c r="BK27" i="6" s="1"/>
  <c r="B27" i="6" a="1"/>
  <c r="B27" i="6" s="1"/>
  <c r="V140" i="7"/>
  <c r="V72" i="7"/>
  <c r="Q45" i="7" a="1"/>
  <c r="Q45" i="7" s="1"/>
  <c r="Q95" i="7" a="1"/>
  <c r="Q95" i="7" s="1"/>
  <c r="AB197" i="7"/>
  <c r="Q151" i="7" a="1"/>
  <c r="Q151" i="7" s="1"/>
  <c r="G184" i="7"/>
  <c r="W184" i="7" s="1"/>
  <c r="P127" i="7"/>
  <c r="Q28" i="7" a="1"/>
  <c r="Q28" i="7" s="1"/>
  <c r="Q19" i="7" a="1"/>
  <c r="Q19" i="7" s="1"/>
  <c r="R19" i="7" s="1"/>
  <c r="P177" i="7"/>
  <c r="Q88" i="7" a="1"/>
  <c r="Q88" i="7" s="1"/>
  <c r="Q184" i="7" a="1"/>
  <c r="Q184" i="7" s="1"/>
  <c r="Y22" i="7"/>
  <c r="P18" i="7"/>
  <c r="P81" i="7"/>
  <c r="R81" i="7" s="1"/>
  <c r="Y55" i="7"/>
  <c r="Q47" i="7" a="1"/>
  <c r="Q47" i="7" s="1"/>
  <c r="Q120" i="7" a="1"/>
  <c r="Q120" i="7" s="1"/>
  <c r="P156" i="7"/>
  <c r="AA144" i="7"/>
  <c r="AA134" i="7"/>
  <c r="BL285" i="6" a="1"/>
  <c r="BL285" i="6" s="1"/>
  <c r="BL321" i="6" a="1"/>
  <c r="BL321" i="6" s="1"/>
  <c r="Q158" i="7" a="1"/>
  <c r="Q158" i="7" s="1"/>
  <c r="Q37" i="7" a="1"/>
  <c r="Q37" i="7" s="1"/>
  <c r="Z134" i="7"/>
  <c r="Q127" i="7" a="1"/>
  <c r="Q127" i="7" s="1"/>
  <c r="Q229" i="7" a="1"/>
  <c r="Q229" i="7" s="1"/>
  <c r="Z46" i="7"/>
  <c r="P161" i="7"/>
  <c r="Q150" i="7" a="1"/>
  <c r="Q150" i="7" s="1"/>
  <c r="R150" i="7" s="1"/>
  <c r="Q102" i="7" a="1"/>
  <c r="Q102" i="7" s="1"/>
  <c r="Q14" i="7" a="1"/>
  <c r="Q14" i="7" s="1"/>
  <c r="Q93" i="7" a="1"/>
  <c r="Q93" i="7" s="1"/>
  <c r="AA50" i="7"/>
  <c r="Q205" i="7" a="1"/>
  <c r="Q205" i="7" s="1"/>
  <c r="R205" i="7" s="1"/>
  <c r="Y46" i="7"/>
  <c r="C321" i="6" a="1"/>
  <c r="C321" i="6" s="1"/>
  <c r="BL20" i="6" a="1"/>
  <c r="BL20" i="6" s="1"/>
  <c r="Q121" i="7" a="1"/>
  <c r="Q121" i="7" s="1"/>
  <c r="R121" i="7" s="1"/>
  <c r="Q162" i="7" a="1"/>
  <c r="Q162" i="7" s="1"/>
  <c r="Q201" i="7" a="1"/>
  <c r="Q201" i="7" s="1"/>
  <c r="Q101" i="7" a="1"/>
  <c r="Q101" i="7" s="1"/>
  <c r="Y31" i="7"/>
  <c r="P12" i="7"/>
  <c r="P96" i="7"/>
  <c r="B321" i="6" a="1"/>
  <c r="B321" i="6" s="1"/>
  <c r="F218" i="7"/>
  <c r="Q12" i="7" a="1"/>
  <c r="Q12" i="7" s="1"/>
  <c r="Q161" i="7" a="1"/>
  <c r="Q161" i="7" s="1"/>
  <c r="P193" i="7"/>
  <c r="E304" i="6" a="1"/>
  <c r="E304" i="6" s="1"/>
  <c r="BJ304" i="6"/>
  <c r="BJ346" i="6"/>
  <c r="E346" i="6" a="1"/>
  <c r="E346" i="6" s="1"/>
  <c r="G346" i="6" s="1"/>
  <c r="BJ372" i="6"/>
  <c r="E372" i="6" a="1"/>
  <c r="E372" i="6" s="1"/>
  <c r="G372" i="6" s="1"/>
  <c r="S77" i="7"/>
  <c r="W80" i="7"/>
  <c r="S99" i="7"/>
  <c r="S63" i="7"/>
  <c r="T130" i="7"/>
  <c r="U32" i="7"/>
  <c r="W72" i="7"/>
  <c r="S139" i="7"/>
  <c r="S36" i="7"/>
  <c r="W83" i="7"/>
  <c r="W19" i="7"/>
  <c r="W168" i="7"/>
  <c r="U19" i="7"/>
  <c r="S69" i="7"/>
  <c r="T50" i="7"/>
  <c r="S120" i="7"/>
  <c r="W115" i="7"/>
  <c r="S168" i="7"/>
  <c r="U220" i="7"/>
  <c r="W159" i="7"/>
  <c r="U159" i="7"/>
  <c r="T159" i="7"/>
  <c r="T39" i="7"/>
  <c r="S89" i="7"/>
  <c r="S39" i="7"/>
  <c r="S26" i="7"/>
  <c r="U18" i="7"/>
  <c r="U71" i="7"/>
  <c r="S71" i="7"/>
  <c r="E313" i="6" a="1"/>
  <c r="E313" i="6" s="1"/>
  <c r="U39" i="7"/>
  <c r="W39" i="7"/>
  <c r="T82" i="7"/>
  <c r="U30" i="7"/>
  <c r="S21" i="7"/>
  <c r="T170" i="7"/>
  <c r="U87" i="7"/>
  <c r="U89" i="7"/>
  <c r="S57" i="7"/>
  <c r="T21" i="7"/>
  <c r="W119" i="7"/>
  <c r="T119" i="7"/>
  <c r="W38" i="7"/>
  <c r="S170" i="7"/>
  <c r="W54" i="7"/>
  <c r="W18" i="7"/>
  <c r="U21" i="7"/>
  <c r="T18" i="7"/>
  <c r="S18" i="7"/>
  <c r="U38" i="7"/>
  <c r="U100" i="7"/>
  <c r="T128" i="7"/>
  <c r="W92" i="7"/>
  <c r="W109" i="7"/>
  <c r="S128" i="7"/>
  <c r="W225" i="7"/>
  <c r="W9" i="7"/>
  <c r="W30" i="7"/>
  <c r="U29" i="7"/>
  <c r="U122" i="7"/>
  <c r="T191" i="7"/>
  <c r="T41" i="7"/>
  <c r="T29" i="7"/>
  <c r="W96" i="7"/>
  <c r="S41" i="7"/>
  <c r="S29" i="7"/>
  <c r="S44" i="7"/>
  <c r="W113" i="7"/>
  <c r="T32" i="7"/>
  <c r="W56" i="7"/>
  <c r="U113" i="7"/>
  <c r="W161" i="7"/>
  <c r="W150" i="7"/>
  <c r="E292" i="6" a="1"/>
  <c r="E292" i="6" s="1"/>
  <c r="G292" i="6" s="1"/>
  <c r="R176" i="7"/>
  <c r="R109" i="7"/>
  <c r="R9" i="7"/>
  <c r="AB67" i="7"/>
  <c r="AB7" i="7"/>
  <c r="AA145" i="7"/>
  <c r="Y145" i="7"/>
  <c r="AB126" i="7"/>
  <c r="AA125" i="7"/>
  <c r="Y8" i="7"/>
  <c r="AB85" i="7"/>
  <c r="AA160" i="7"/>
  <c r="Z230" i="7"/>
  <c r="AB209" i="7"/>
  <c r="AA68" i="7"/>
  <c r="Y68" i="7"/>
  <c r="Z160" i="7"/>
  <c r="AA140" i="7"/>
  <c r="AA210" i="7"/>
  <c r="Z31" i="7"/>
  <c r="Z203" i="7"/>
  <c r="AB199" i="7"/>
  <c r="AA77" i="7"/>
  <c r="Z50" i="7"/>
  <c r="Z130" i="7"/>
  <c r="Y77" i="7"/>
  <c r="AA60" i="7"/>
  <c r="AA57" i="7"/>
  <c r="Y162" i="7"/>
  <c r="Y130" i="7"/>
  <c r="AB52" i="7"/>
  <c r="AB218" i="7"/>
  <c r="AA21" i="7"/>
  <c r="Y80" i="7"/>
  <c r="Z70" i="7"/>
  <c r="Z60" i="7"/>
  <c r="Z57" i="7"/>
  <c r="AA54" i="7"/>
  <c r="AA99" i="7"/>
  <c r="AA215" i="7"/>
  <c r="AB200" i="7"/>
  <c r="AB227" i="7"/>
  <c r="Z54" i="7"/>
  <c r="AA91" i="7"/>
  <c r="Z215" i="7"/>
  <c r="AB103" i="7"/>
  <c r="Z120" i="7"/>
  <c r="Y91" i="7"/>
  <c r="AA205" i="7"/>
  <c r="Z21" i="7"/>
  <c r="AA37" i="7"/>
  <c r="AA18" i="7"/>
  <c r="Z83" i="7"/>
  <c r="Y73" i="7"/>
  <c r="AA165" i="7"/>
  <c r="AB137" i="7"/>
  <c r="Y205" i="7"/>
  <c r="AA32" i="7"/>
  <c r="Z165" i="7"/>
  <c r="AB157" i="7"/>
  <c r="AA142" i="7"/>
  <c r="AA207" i="7"/>
  <c r="AA102" i="7"/>
  <c r="AA158" i="7"/>
  <c r="Y142" i="7"/>
  <c r="Z219" i="7"/>
  <c r="Z207" i="7"/>
  <c r="Z37" i="7"/>
  <c r="Z32" i="7"/>
  <c r="AB117" i="7"/>
  <c r="AA123" i="7"/>
  <c r="Y219" i="7"/>
  <c r="P28" i="7"/>
  <c r="AD28" i="7"/>
  <c r="P107" i="7"/>
  <c r="S107" i="7"/>
  <c r="W107" i="7"/>
  <c r="AD107" i="7"/>
  <c r="AD23" i="7"/>
  <c r="T23" i="7"/>
  <c r="W23" i="7"/>
  <c r="P23" i="7"/>
  <c r="AD97" i="7"/>
  <c r="P97" i="7"/>
  <c r="AD27" i="7"/>
  <c r="P27" i="7"/>
  <c r="AD203" i="7"/>
  <c r="S203" i="7"/>
  <c r="P203" i="7"/>
  <c r="AD70" i="7"/>
  <c r="P70" i="7"/>
  <c r="P46" i="7"/>
  <c r="AD46" i="7"/>
  <c r="P37" i="7"/>
  <c r="AD37" i="7"/>
  <c r="P105" i="7"/>
  <c r="AD105" i="7"/>
  <c r="AD74" i="7"/>
  <c r="W74" i="7"/>
  <c r="P74" i="7"/>
  <c r="R74" i="7" s="1"/>
  <c r="AD219" i="7"/>
  <c r="P219" i="7"/>
  <c r="B318" i="6" a="1"/>
  <c r="B318" i="6" s="1"/>
  <c r="C318" i="6" a="1"/>
  <c r="C318" i="6" s="1"/>
  <c r="BL318" i="6" a="1"/>
  <c r="BL318" i="6" s="1"/>
  <c r="BM318" i="6"/>
  <c r="BK318" i="6" a="1"/>
  <c r="BK318" i="6" s="1"/>
  <c r="E318" i="6" a="1"/>
  <c r="E318" i="6" s="1"/>
  <c r="F318" i="6"/>
  <c r="AB25" i="7"/>
  <c r="U92" i="7"/>
  <c r="AB191" i="7"/>
  <c r="AD225" i="7"/>
  <c r="P225" i="7"/>
  <c r="AA66" i="7"/>
  <c r="F209" i="7"/>
  <c r="G212" i="7"/>
  <c r="U212" i="7" s="1"/>
  <c r="Q35" i="7" a="1"/>
  <c r="Q35" i="7" s="1"/>
  <c r="Q122" i="7" a="1"/>
  <c r="Q122" i="7" s="1"/>
  <c r="T109" i="7"/>
  <c r="AA106" i="7"/>
  <c r="Z106" i="7"/>
  <c r="Y106" i="7"/>
  <c r="P92" i="7"/>
  <c r="P89" i="7"/>
  <c r="R89" i="7" s="1"/>
  <c r="W221" i="7"/>
  <c r="S53" i="7"/>
  <c r="S130" i="7"/>
  <c r="P206" i="7"/>
  <c r="AD206" i="7"/>
  <c r="P229" i="7"/>
  <c r="AD229" i="7"/>
  <c r="G230" i="7"/>
  <c r="V230" i="7" s="1"/>
  <c r="F227" i="7"/>
  <c r="Y82" i="7"/>
  <c r="Z82" i="7"/>
  <c r="AA82" i="7"/>
  <c r="Y138" i="7"/>
  <c r="Z138" i="7"/>
  <c r="BK22" i="6" a="1"/>
  <c r="BK22" i="6" s="1"/>
  <c r="BL22" i="6" a="1"/>
  <c r="BL22" i="6" s="1"/>
  <c r="F22" i="6"/>
  <c r="C22" i="6" a="1"/>
  <c r="C22" i="6" s="1"/>
  <c r="BM22" i="6" s="1"/>
  <c r="B22" i="6" a="1"/>
  <c r="B22" i="6" s="1"/>
  <c r="S40" i="7"/>
  <c r="Z23" i="7"/>
  <c r="Y23" i="7"/>
  <c r="AA23" i="7"/>
  <c r="U79" i="7"/>
  <c r="W58" i="7"/>
  <c r="U115" i="7"/>
  <c r="AA26" i="7"/>
  <c r="Y26" i="7"/>
  <c r="Z26" i="7"/>
  <c r="S20" i="7"/>
  <c r="Q18" i="7" a="1"/>
  <c r="Q18" i="7" s="1"/>
  <c r="T79" i="7"/>
  <c r="U58" i="7"/>
  <c r="T115" i="7"/>
  <c r="G152" i="7"/>
  <c r="W152" i="7" s="1"/>
  <c r="AB152" i="7"/>
  <c r="P144" i="7"/>
  <c r="AD144" i="7"/>
  <c r="T173" i="7"/>
  <c r="P211" i="7"/>
  <c r="AD211" i="7"/>
  <c r="T20" i="7"/>
  <c r="G11" i="7"/>
  <c r="V11" i="7" s="1"/>
  <c r="S79" i="7"/>
  <c r="S58" i="7"/>
  <c r="T46" i="7"/>
  <c r="Q92" i="7" a="1"/>
  <c r="Q92" i="7" s="1"/>
  <c r="AA152" i="7"/>
  <c r="AA148" i="7"/>
  <c r="W190" i="7"/>
  <c r="S173" i="7"/>
  <c r="T217" i="7"/>
  <c r="AA233" i="7"/>
  <c r="Y233" i="7"/>
  <c r="BJ331" i="6"/>
  <c r="E331" i="6" a="1"/>
  <c r="E331" i="6" s="1"/>
  <c r="BL21" i="6" a="1"/>
  <c r="BL21" i="6" s="1"/>
  <c r="B21" i="6" a="1"/>
  <c r="B21" i="6" s="1"/>
  <c r="F21" i="6"/>
  <c r="C21" i="6" a="1"/>
  <c r="C21" i="6" s="1"/>
  <c r="BM21" i="6" s="1"/>
  <c r="BK21" i="6" a="1"/>
  <c r="BK21" i="6" s="1"/>
  <c r="AD174" i="7"/>
  <c r="P174" i="7"/>
  <c r="R174" i="7" s="1"/>
  <c r="G141" i="7"/>
  <c r="S141" i="7" s="1"/>
  <c r="Q141" i="7" a="1"/>
  <c r="Q141" i="7" s="1"/>
  <c r="F137" i="7"/>
  <c r="P20" i="7"/>
  <c r="AD20" i="7"/>
  <c r="AA17" i="7"/>
  <c r="S81" i="7"/>
  <c r="G64" i="7"/>
  <c r="T64" i="7" s="1"/>
  <c r="AB64" i="7"/>
  <c r="AB61" i="7" s="1"/>
  <c r="AA109" i="7"/>
  <c r="Y109" i="7"/>
  <c r="Z109" i="7"/>
  <c r="Q144" i="7" a="1"/>
  <c r="Q144" i="7" s="1"/>
  <c r="U140" i="7"/>
  <c r="T133" i="7"/>
  <c r="Z12" i="7"/>
  <c r="AA12" i="7"/>
  <c r="R38" i="7"/>
  <c r="F67" i="7"/>
  <c r="T160" i="7"/>
  <c r="F34" i="7"/>
  <c r="T31" i="7"/>
  <c r="Y17" i="7"/>
  <c r="P14" i="7"/>
  <c r="U73" i="7"/>
  <c r="U101" i="7"/>
  <c r="U181" i="7"/>
  <c r="AA44" i="7"/>
  <c r="Y44" i="7"/>
  <c r="T14" i="7"/>
  <c r="T81" i="7"/>
  <c r="P53" i="7"/>
  <c r="AD53" i="7"/>
  <c r="P40" i="7"/>
  <c r="R40" i="7" s="1"/>
  <c r="AD40" i="7"/>
  <c r="Z11" i="7"/>
  <c r="Y11" i="7"/>
  <c r="AA11" i="7"/>
  <c r="W8" i="7"/>
  <c r="T73" i="7"/>
  <c r="P68" i="7"/>
  <c r="AD68" i="7"/>
  <c r="F43" i="7"/>
  <c r="S124" i="7"/>
  <c r="S105" i="7"/>
  <c r="T101" i="7"/>
  <c r="T98" i="7"/>
  <c r="Z95" i="7"/>
  <c r="Y95" i="7"/>
  <c r="AA95" i="7"/>
  <c r="AD151" i="7"/>
  <c r="P133" i="7"/>
  <c r="T224" i="7"/>
  <c r="BK23" i="6" a="1"/>
  <c r="BK23" i="6" s="1"/>
  <c r="C23" i="6" a="1"/>
  <c r="C23" i="6" s="1"/>
  <c r="BM23" i="6" s="1"/>
  <c r="BL23" i="6" a="1"/>
  <c r="BL23" i="6" s="1"/>
  <c r="F23" i="6"/>
  <c r="B23" i="6" a="1"/>
  <c r="B23" i="6" s="1"/>
  <c r="Z35" i="7"/>
  <c r="Y35" i="7"/>
  <c r="AA35" i="7"/>
  <c r="AB16" i="7"/>
  <c r="AD33" i="7"/>
  <c r="U8" i="7"/>
  <c r="S73" i="7"/>
  <c r="Q64" i="7" a="1"/>
  <c r="Q64" i="7" s="1"/>
  <c r="P101" i="7"/>
  <c r="AD101" i="7"/>
  <c r="W84" i="7"/>
  <c r="W156" i="7"/>
  <c r="U198" i="7"/>
  <c r="U194" i="7"/>
  <c r="W176" i="7"/>
  <c r="Y228" i="7"/>
  <c r="Z228" i="7"/>
  <c r="AA228" i="7"/>
  <c r="Y110" i="7"/>
  <c r="Z110" i="7"/>
  <c r="AA110" i="7"/>
  <c r="Y131" i="7"/>
  <c r="Z131" i="7"/>
  <c r="Y208" i="7"/>
  <c r="Z208" i="7"/>
  <c r="AA208" i="7"/>
  <c r="R44" i="7"/>
  <c r="Q27" i="7" a="1"/>
  <c r="Q27" i="7" s="1"/>
  <c r="P138" i="7"/>
  <c r="AD138" i="7"/>
  <c r="Z34" i="7"/>
  <c r="P31" i="7"/>
  <c r="G22" i="7"/>
  <c r="W22" i="7" s="1"/>
  <c r="F16" i="7"/>
  <c r="T8" i="7"/>
  <c r="W60" i="7"/>
  <c r="Q55" i="7" a="1"/>
  <c r="Q55" i="7" s="1"/>
  <c r="F117" i="7"/>
  <c r="G118" i="7"/>
  <c r="V118" i="7" s="1"/>
  <c r="P108" i="7"/>
  <c r="AD108" i="7"/>
  <c r="U84" i="7"/>
  <c r="T156" i="7"/>
  <c r="S198" i="7"/>
  <c r="S194" i="7"/>
  <c r="P185" i="7"/>
  <c r="T176" i="7"/>
  <c r="Z42" i="7"/>
  <c r="Y42" i="7"/>
  <c r="AA42" i="7"/>
  <c r="Z25" i="7"/>
  <c r="Z76" i="7"/>
  <c r="Q70" i="7" a="1"/>
  <c r="Q70" i="7" s="1"/>
  <c r="U60" i="7"/>
  <c r="Y108" i="7"/>
  <c r="Z108" i="7"/>
  <c r="AA108" i="7"/>
  <c r="AD88" i="7"/>
  <c r="P88" i="7"/>
  <c r="W143" i="7"/>
  <c r="AD202" i="7"/>
  <c r="P202" i="7"/>
  <c r="AA196" i="7"/>
  <c r="S33" i="7"/>
  <c r="F25" i="7"/>
  <c r="AD13" i="7"/>
  <c r="S10" i="7"/>
  <c r="S6" i="7"/>
  <c r="T208" i="7"/>
  <c r="S207" i="7"/>
  <c r="U214" i="7"/>
  <c r="T221" i="7"/>
  <c r="U226" i="7"/>
  <c r="U228" i="7"/>
  <c r="W233" i="7"/>
  <c r="U170" i="7"/>
  <c r="S172" i="7"/>
  <c r="U208" i="7"/>
  <c r="U210" i="7"/>
  <c r="S217" i="7"/>
  <c r="W224" i="7"/>
  <c r="U233" i="7"/>
  <c r="W216" i="7"/>
  <c r="S225" i="7"/>
  <c r="S234" i="7"/>
  <c r="U173" i="7"/>
  <c r="U191" i="7"/>
  <c r="T202" i="7"/>
  <c r="U125" i="7"/>
  <c r="S127" i="7"/>
  <c r="T132" i="7"/>
  <c r="W160" i="7"/>
  <c r="W90" i="7"/>
  <c r="U97" i="7"/>
  <c r="W211" i="7"/>
  <c r="T220" i="7"/>
  <c r="S229" i="7"/>
  <c r="U195" i="7"/>
  <c r="W141" i="7"/>
  <c r="U148" i="7"/>
  <c r="U155" i="7"/>
  <c r="T223" i="7"/>
  <c r="T229" i="7"/>
  <c r="W203" i="7"/>
  <c r="W130" i="7"/>
  <c r="T143" i="7"/>
  <c r="W154" i="7"/>
  <c r="W163" i="7"/>
  <c r="S210" i="7"/>
  <c r="U223" i="7"/>
  <c r="U229" i="7"/>
  <c r="S205" i="7"/>
  <c r="U143" i="7"/>
  <c r="S156" i="7"/>
  <c r="U216" i="7"/>
  <c r="T179" i="7"/>
  <c r="S181" i="7"/>
  <c r="U202" i="7"/>
  <c r="W129" i="7"/>
  <c r="S142" i="7"/>
  <c r="W162" i="7"/>
  <c r="S224" i="7"/>
  <c r="W228" i="7"/>
  <c r="W204" i="7"/>
  <c r="U131" i="7"/>
  <c r="W155" i="7"/>
  <c r="S98" i="7"/>
  <c r="T211" i="7"/>
  <c r="U224" i="7"/>
  <c r="S226" i="7"/>
  <c r="S185" i="7"/>
  <c r="S195" i="7"/>
  <c r="S133" i="7"/>
  <c r="T144" i="7"/>
  <c r="S159" i="7"/>
  <c r="T91" i="7"/>
  <c r="U98" i="7"/>
  <c r="U225" i="7"/>
  <c r="S232" i="7"/>
  <c r="W234" i="7"/>
  <c r="W181" i="7"/>
  <c r="W192" i="7"/>
  <c r="U147" i="7"/>
  <c r="S211" i="7"/>
  <c r="U213" i="7"/>
  <c r="U219" i="7"/>
  <c r="U221" i="7"/>
  <c r="T139" i="7"/>
  <c r="S143" i="7"/>
  <c r="U160" i="7"/>
  <c r="S162" i="7"/>
  <c r="T84" i="7"/>
  <c r="W97" i="7"/>
  <c r="W217" i="7"/>
  <c r="W167" i="7"/>
  <c r="S169" i="7"/>
  <c r="W173" i="7"/>
  <c r="U186" i="7"/>
  <c r="U199" i="7"/>
  <c r="W201" i="7"/>
  <c r="W125" i="7"/>
  <c r="U129" i="7"/>
  <c r="U154" i="7"/>
  <c r="U90" i="7"/>
  <c r="S92" i="7"/>
  <c r="T108" i="7"/>
  <c r="S115" i="7"/>
  <c r="U66" i="7"/>
  <c r="U65" i="7" s="1"/>
  <c r="S68" i="7"/>
  <c r="U207" i="7"/>
  <c r="W226" i="7"/>
  <c r="S233" i="7"/>
  <c r="U235" i="7"/>
  <c r="T148" i="7"/>
  <c r="W101" i="7"/>
  <c r="W122" i="7"/>
  <c r="U47" i="7"/>
  <c r="T54" i="7"/>
  <c r="U59" i="7"/>
  <c r="U211" i="7"/>
  <c r="T234" i="7"/>
  <c r="T190" i="7"/>
  <c r="W195" i="7"/>
  <c r="W197" i="7"/>
  <c r="U128" i="7"/>
  <c r="U130" i="7"/>
  <c r="W139" i="7"/>
  <c r="S148" i="7"/>
  <c r="U150" i="7"/>
  <c r="T155" i="7"/>
  <c r="S84" i="7"/>
  <c r="U96" i="7"/>
  <c r="W98" i="7"/>
  <c r="S100" i="7"/>
  <c r="S111" i="7"/>
  <c r="W120" i="7"/>
  <c r="S122" i="7"/>
  <c r="S49" i="7"/>
  <c r="T58" i="7"/>
  <c r="T71" i="7"/>
  <c r="S78" i="7"/>
  <c r="T83" i="7"/>
  <c r="U178" i="7"/>
  <c r="S204" i="7"/>
  <c r="U206" i="7"/>
  <c r="S160" i="7"/>
  <c r="T162" i="7"/>
  <c r="W100" i="7"/>
  <c r="S102" i="7"/>
  <c r="W111" i="7"/>
  <c r="T113" i="7"/>
  <c r="W49" i="7"/>
  <c r="S60" i="7"/>
  <c r="S62" i="7"/>
  <c r="W78" i="7"/>
  <c r="S13" i="7"/>
  <c r="S220" i="7"/>
  <c r="T207" i="7"/>
  <c r="S235" i="7"/>
  <c r="T174" i="7"/>
  <c r="S191" i="7"/>
  <c r="S131" i="7"/>
  <c r="U144" i="7"/>
  <c r="T87" i="7"/>
  <c r="S91" i="7"/>
  <c r="U108" i="7"/>
  <c r="U119" i="7"/>
  <c r="U46" i="7"/>
  <c r="S70" i="7"/>
  <c r="T75" i="7"/>
  <c r="U10" i="7"/>
  <c r="W207" i="7"/>
  <c r="S214" i="7"/>
  <c r="T214" i="7"/>
  <c r="T228" i="7"/>
  <c r="W235" i="7"/>
  <c r="T172" i="7"/>
  <c r="W174" i="7"/>
  <c r="T186" i="7"/>
  <c r="W191" i="7"/>
  <c r="T196" i="7"/>
  <c r="T198" i="7"/>
  <c r="W131" i="7"/>
  <c r="T138" i="7"/>
  <c r="S140" i="7"/>
  <c r="T142" i="7"/>
  <c r="T151" i="7"/>
  <c r="U156" i="7"/>
  <c r="W87" i="7"/>
  <c r="T89" i="7"/>
  <c r="W91" i="7"/>
  <c r="T93" i="7"/>
  <c r="T95" i="7"/>
  <c r="T110" i="7"/>
  <c r="S121" i="7"/>
  <c r="S48" i="7"/>
  <c r="T57" i="7"/>
  <c r="U70" i="7"/>
  <c r="W75" i="7"/>
  <c r="T77" i="7"/>
  <c r="W29" i="7"/>
  <c r="U36" i="7"/>
  <c r="W41" i="7"/>
  <c r="W214" i="7"/>
  <c r="S216" i="7"/>
  <c r="S223" i="7"/>
  <c r="U172" i="7"/>
  <c r="S179" i="7"/>
  <c r="T216" i="7"/>
  <c r="W223" i="7"/>
  <c r="W172" i="7"/>
  <c r="U179" i="7"/>
  <c r="T210" i="7"/>
  <c r="W179" i="7"/>
  <c r="T194" i="7"/>
  <c r="U127" i="7"/>
  <c r="S136" i="7"/>
  <c r="W140" i="7"/>
  <c r="T165" i="7"/>
  <c r="U99" i="7"/>
  <c r="W121" i="7"/>
  <c r="W48" i="7"/>
  <c r="S59" i="7"/>
  <c r="T6" i="7"/>
  <c r="T12" i="7"/>
  <c r="S19" i="7"/>
  <c r="T24" i="7"/>
  <c r="S31" i="7"/>
  <c r="S219" i="7"/>
  <c r="U168" i="7"/>
  <c r="W170" i="7"/>
  <c r="W189" i="7"/>
  <c r="T134" i="7"/>
  <c r="W105" i="7"/>
  <c r="U114" i="7"/>
  <c r="W50" i="7"/>
  <c r="S54" i="7"/>
  <c r="T63" i="7"/>
  <c r="W79" i="7"/>
  <c r="W219" i="7"/>
  <c r="S190" i="7"/>
  <c r="W198" i="7"/>
  <c r="T203" i="7"/>
  <c r="U133" i="7"/>
  <c r="W148" i="7"/>
  <c r="W89" i="7"/>
  <c r="S96" i="7"/>
  <c r="T105" i="7"/>
  <c r="T107" i="7"/>
  <c r="U111" i="7"/>
  <c r="W71" i="7"/>
  <c r="W73" i="7"/>
  <c r="S75" i="7"/>
  <c r="U81" i="7"/>
  <c r="S83" i="7"/>
  <c r="T10" i="7"/>
  <c r="S12" i="7"/>
  <c r="W21" i="7"/>
  <c r="W32" i="7"/>
  <c r="U41" i="7"/>
  <c r="W133" i="7"/>
  <c r="U105" i="7"/>
  <c r="S109" i="7"/>
  <c r="S50" i="7"/>
  <c r="W81" i="7"/>
  <c r="W10" i="7"/>
  <c r="T233" i="7"/>
  <c r="S176" i="7"/>
  <c r="U190" i="7"/>
  <c r="U203" i="7"/>
  <c r="S87" i="7"/>
  <c r="T96" i="7"/>
  <c r="U107" i="7"/>
  <c r="U75" i="7"/>
  <c r="U83" i="7"/>
  <c r="U12" i="7"/>
  <c r="S23" i="7"/>
  <c r="S208" i="7"/>
  <c r="U176" i="7"/>
  <c r="U196" i="7"/>
  <c r="U109" i="7"/>
  <c r="T44" i="7"/>
  <c r="S46" i="7"/>
  <c r="U48" i="7"/>
  <c r="U50" i="7"/>
  <c r="S14" i="7"/>
  <c r="U23" i="7"/>
  <c r="S27" i="7"/>
  <c r="T201" i="7"/>
  <c r="U151" i="7"/>
  <c r="T154" i="7"/>
  <c r="T124" i="7"/>
  <c r="W44" i="7"/>
  <c r="W46" i="7"/>
  <c r="U63" i="7"/>
  <c r="U14" i="7"/>
  <c r="U27" i="7"/>
  <c r="T36" i="7"/>
  <c r="S228" i="7"/>
  <c r="U201" i="7"/>
  <c r="S206" i="7"/>
  <c r="T136" i="7"/>
  <c r="T135" i="7" s="1"/>
  <c r="W151" i="7"/>
  <c r="U162" i="7"/>
  <c r="U124" i="7"/>
  <c r="W63" i="7"/>
  <c r="W14" i="7"/>
  <c r="W27" i="7"/>
  <c r="W36" i="7"/>
  <c r="S38" i="7"/>
  <c r="U185" i="7"/>
  <c r="T206" i="7"/>
  <c r="T131" i="7"/>
  <c r="U136" i="7"/>
  <c r="U135" i="7" s="1"/>
  <c r="T141" i="7"/>
  <c r="T92" i="7"/>
  <c r="S101" i="7"/>
  <c r="T122" i="7"/>
  <c r="W124" i="7"/>
  <c r="T38" i="7"/>
  <c r="T225" i="7"/>
  <c r="S174" i="7"/>
  <c r="W206" i="7"/>
  <c r="W136" i="7"/>
  <c r="W135" i="7" s="1"/>
  <c r="U217" i="7"/>
  <c r="W220" i="7"/>
  <c r="W194" i="7"/>
  <c r="S199" i="7"/>
  <c r="U204" i="7"/>
  <c r="S129" i="7"/>
  <c r="S134" i="7"/>
  <c r="U139" i="7"/>
  <c r="S90" i="7"/>
  <c r="T114" i="7"/>
  <c r="T53" i="7"/>
  <c r="U57" i="7"/>
  <c r="T68" i="7"/>
  <c r="T78" i="7"/>
  <c r="S80" i="7"/>
  <c r="U6" i="7"/>
  <c r="S9" i="7"/>
  <c r="U20" i="7"/>
  <c r="U31" i="7"/>
  <c r="T40" i="7"/>
  <c r="T55" i="7"/>
  <c r="W68" i="7"/>
  <c r="T74" i="7"/>
  <c r="U9" i="7"/>
  <c r="W40" i="7"/>
  <c r="T199" i="7"/>
  <c r="T129" i="7"/>
  <c r="U134" i="7"/>
  <c r="S165" i="7"/>
  <c r="T90" i="7"/>
  <c r="W114" i="7"/>
  <c r="U53" i="7"/>
  <c r="S55" i="7"/>
  <c r="W57" i="7"/>
  <c r="U68" i="7"/>
  <c r="S72" i="7"/>
  <c r="S74" i="7"/>
  <c r="U78" i="7"/>
  <c r="T80" i="7"/>
  <c r="W6" i="7"/>
  <c r="T9" i="7"/>
  <c r="W20" i="7"/>
  <c r="W31" i="7"/>
  <c r="U40" i="7"/>
  <c r="W134" i="7"/>
  <c r="U165" i="7"/>
  <c r="S97" i="7"/>
  <c r="T72" i="7"/>
  <c r="U234" i="7"/>
  <c r="S167" i="7"/>
  <c r="W199" i="7"/>
  <c r="W53" i="7"/>
  <c r="T70" i="7"/>
  <c r="U80" i="7"/>
  <c r="T167" i="7"/>
  <c r="S144" i="7"/>
  <c r="W165" i="7"/>
  <c r="S88" i="7"/>
  <c r="T97" i="7"/>
  <c r="S110" i="7"/>
  <c r="S51" i="7"/>
  <c r="U55" i="7"/>
  <c r="W70" i="7"/>
  <c r="U72" i="7"/>
  <c r="U74" i="7"/>
  <c r="U167" i="7"/>
  <c r="S197" i="7"/>
  <c r="T127" i="7"/>
  <c r="W144" i="7"/>
  <c r="S155" i="7"/>
  <c r="T88" i="7"/>
  <c r="S106" i="7"/>
  <c r="U110" i="7"/>
  <c r="T51" i="7"/>
  <c r="W55" i="7"/>
  <c r="T226" i="7"/>
  <c r="W229" i="7"/>
  <c r="T197" i="7"/>
  <c r="W127" i="7"/>
  <c r="S132" i="7"/>
  <c r="U88" i="7"/>
  <c r="S95" i="7"/>
  <c r="T106" i="7"/>
  <c r="W110" i="7"/>
  <c r="U51" i="7"/>
  <c r="T66" i="7"/>
  <c r="T65" i="7" s="1"/>
  <c r="W82" i="7"/>
  <c r="T26" i="7"/>
  <c r="T33" i="7"/>
  <c r="S35" i="7"/>
  <c r="T15" i="7"/>
  <c r="T178" i="7"/>
  <c r="W37" i="7"/>
  <c r="U197" i="7"/>
  <c r="U132" i="7"/>
  <c r="S163" i="7"/>
  <c r="W88" i="7"/>
  <c r="U95" i="7"/>
  <c r="U106" i="7"/>
  <c r="S108" i="7"/>
  <c r="S45" i="7"/>
  <c r="S47" i="7"/>
  <c r="T49" i="7"/>
  <c r="W51" i="7"/>
  <c r="W66" i="7"/>
  <c r="W65" i="7" s="1"/>
  <c r="T13" i="7"/>
  <c r="U22" i="7"/>
  <c r="S24" i="7"/>
  <c r="U26" i="7"/>
  <c r="U33" i="7"/>
  <c r="T35" i="7"/>
  <c r="U28" i="7"/>
  <c r="T235" i="7"/>
  <c r="U102" i="7"/>
  <c r="W28" i="7"/>
  <c r="S119" i="7"/>
  <c r="S186" i="7"/>
  <c r="W132" i="7"/>
  <c r="S147" i="7"/>
  <c r="T163" i="7"/>
  <c r="W95" i="7"/>
  <c r="W106" i="7"/>
  <c r="W108" i="7"/>
  <c r="T45" i="7"/>
  <c r="T47" i="7"/>
  <c r="U49" i="7"/>
  <c r="U13" i="7"/>
  <c r="U24" i="7"/>
  <c r="W26" i="7"/>
  <c r="W33" i="7"/>
  <c r="U35" i="7"/>
  <c r="U15" i="7"/>
  <c r="S8" i="7"/>
  <c r="W210" i="7"/>
  <c r="W186" i="7"/>
  <c r="S202" i="7"/>
  <c r="U142" i="7"/>
  <c r="T147" i="7"/>
  <c r="U163" i="7"/>
  <c r="U45" i="7"/>
  <c r="W47" i="7"/>
  <c r="T62" i="7"/>
  <c r="W13" i="7"/>
  <c r="W24" i="7"/>
  <c r="W35" i="7"/>
  <c r="U62" i="7"/>
  <c r="S28" i="7"/>
  <c r="W232" i="7"/>
  <c r="S150" i="7"/>
  <c r="W93" i="7"/>
  <c r="T19" i="7"/>
  <c r="S189" i="7"/>
  <c r="S192" i="7"/>
  <c r="W202" i="7"/>
  <c r="W142" i="7"/>
  <c r="W147" i="7"/>
  <c r="S123" i="7"/>
  <c r="W45" i="7"/>
  <c r="S37" i="7"/>
  <c r="T213" i="7"/>
  <c r="T205" i="7"/>
  <c r="T161" i="7"/>
  <c r="U121" i="7"/>
  <c r="W15" i="7"/>
  <c r="T232" i="7"/>
  <c r="T189" i="7"/>
  <c r="T192" i="7"/>
  <c r="S125" i="7"/>
  <c r="S93" i="7"/>
  <c r="T123" i="7"/>
  <c r="W62" i="7"/>
  <c r="S15" i="7"/>
  <c r="T28" i="7"/>
  <c r="T37" i="7"/>
  <c r="W123" i="7"/>
  <c r="S213" i="7"/>
  <c r="U232" i="7"/>
  <c r="S178" i="7"/>
  <c r="U189" i="7"/>
  <c r="U192" i="7"/>
  <c r="T195" i="7"/>
  <c r="T125" i="7"/>
  <c r="S161" i="7"/>
  <c r="U93" i="7"/>
  <c r="T102" i="7"/>
  <c r="T121" i="7"/>
  <c r="U123" i="7"/>
  <c r="U37" i="7"/>
  <c r="W213" i="7"/>
  <c r="W178" i="7"/>
  <c r="T181" i="7"/>
  <c r="U205" i="7"/>
  <c r="T140" i="7"/>
  <c r="T150" i="7"/>
  <c r="U161" i="7"/>
  <c r="U91" i="7"/>
  <c r="T100" i="7"/>
  <c r="W102" i="7"/>
  <c r="T60" i="7"/>
  <c r="AD48" i="7"/>
  <c r="P143" i="7"/>
  <c r="W205" i="7"/>
  <c r="AD36" i="7"/>
  <c r="U120" i="7"/>
  <c r="AD216" i="7"/>
  <c r="T120" i="7"/>
  <c r="T111" i="7"/>
  <c r="Z94" i="7"/>
  <c r="AB198" i="7"/>
  <c r="P6" i="7"/>
  <c r="AD6" i="7"/>
  <c r="T48" i="7"/>
  <c r="F94" i="7"/>
  <c r="Z52" i="7"/>
  <c r="F103" i="7"/>
  <c r="G104" i="7"/>
  <c r="V104" i="7" s="1"/>
  <c r="AA176" i="7"/>
  <c r="Z13" i="7"/>
  <c r="Y13" i="7"/>
  <c r="AA13" i="7"/>
  <c r="AD120" i="7"/>
  <c r="P120" i="7"/>
  <c r="Y104" i="7"/>
  <c r="Z104" i="7"/>
  <c r="AA104" i="7"/>
  <c r="P155" i="7"/>
  <c r="AD155" i="7"/>
  <c r="BI35" i="6" a="1"/>
  <c r="BI35" i="6" s="1"/>
  <c r="Z27" i="7"/>
  <c r="Y97" i="7"/>
  <c r="Z97" i="7"/>
  <c r="AA97" i="7"/>
  <c r="Y33" i="7"/>
  <c r="AA33" i="7"/>
  <c r="Z33" i="7"/>
  <c r="Q104" i="7" a="1"/>
  <c r="Q104" i="7" s="1"/>
  <c r="AD38" i="7"/>
  <c r="T30" i="7"/>
  <c r="T27" i="7"/>
  <c r="Y12" i="7"/>
  <c r="P80" i="7"/>
  <c r="Y72" i="7"/>
  <c r="Z72" i="7"/>
  <c r="AA72" i="7"/>
  <c r="W69" i="7"/>
  <c r="T59" i="7"/>
  <c r="U54" i="7"/>
  <c r="AB43" i="7"/>
  <c r="Q107" i="7" a="1"/>
  <c r="Q107" i="7" s="1"/>
  <c r="P90" i="7"/>
  <c r="AD90" i="7"/>
  <c r="P165" i="7"/>
  <c r="AD165" i="7"/>
  <c r="S154" i="7"/>
  <c r="AA131" i="7"/>
  <c r="AA155" i="7"/>
  <c r="AA27" i="7"/>
  <c r="Y48" i="7"/>
  <c r="Z48" i="7"/>
  <c r="AA48" i="7"/>
  <c r="P72" i="7"/>
  <c r="AD72" i="7"/>
  <c r="P159" i="7"/>
  <c r="AD159" i="7"/>
  <c r="F193" i="7"/>
  <c r="Z234" i="7"/>
  <c r="Y234" i="7"/>
  <c r="AA234" i="7"/>
  <c r="Q216" i="7" a="1"/>
  <c r="Q216" i="7" s="1"/>
  <c r="R216" i="7" s="1"/>
  <c r="Y51" i="7"/>
  <c r="Z51" i="7"/>
  <c r="AA51" i="7"/>
  <c r="Q48" i="7" a="1"/>
  <c r="Q48" i="7" s="1"/>
  <c r="R48" i="7" s="1"/>
  <c r="P87" i="7"/>
  <c r="R87" i="7" s="1"/>
  <c r="AD87" i="7"/>
  <c r="AA201" i="7"/>
  <c r="Y201" i="7"/>
  <c r="Q36" i="7" a="1"/>
  <c r="Q36" i="7" s="1"/>
  <c r="R36" i="7" s="1"/>
  <c r="S30" i="7"/>
  <c r="W12" i="7"/>
  <c r="AB76" i="7"/>
  <c r="U69" i="7"/>
  <c r="Q51" i="7" a="1"/>
  <c r="Q51" i="7" s="1"/>
  <c r="Z44" i="7"/>
  <c r="Z87" i="7"/>
  <c r="AA87" i="7"/>
  <c r="T204" i="7"/>
  <c r="W208" i="7"/>
  <c r="AA216" i="7"/>
  <c r="Z216" i="7"/>
  <c r="P51" i="7"/>
  <c r="AD51" i="7"/>
  <c r="AD35" i="7"/>
  <c r="T69" i="7"/>
  <c r="S66" i="7"/>
  <c r="U44" i="7"/>
  <c r="AB94" i="7"/>
  <c r="AA138" i="7"/>
  <c r="P131" i="7"/>
  <c r="AD131" i="7"/>
  <c r="W128" i="7"/>
  <c r="T219" i="7"/>
  <c r="AD39" i="7"/>
  <c r="P39" i="7"/>
  <c r="AB34" i="7"/>
  <c r="AA15" i="7"/>
  <c r="AD62" i="7"/>
  <c r="P62" i="7"/>
  <c r="G149" i="7"/>
  <c r="W149" i="7" s="1"/>
  <c r="AB149" i="7"/>
  <c r="W138" i="7"/>
  <c r="AA183" i="7"/>
  <c r="Z233" i="7"/>
  <c r="G222" i="7"/>
  <c r="S222" i="7" s="1"/>
  <c r="Q222" i="7" a="1"/>
  <c r="Q222" i="7" s="1"/>
  <c r="AD142" i="7"/>
  <c r="P128" i="7"/>
  <c r="R128" i="7" s="1"/>
  <c r="BL26" i="6" a="1"/>
  <c r="BL26" i="6" s="1"/>
  <c r="B26" i="6" a="1"/>
  <c r="B26" i="6" s="1"/>
  <c r="BK26" i="6" a="1"/>
  <c r="BK26" i="6" s="1"/>
  <c r="F26" i="6"/>
  <c r="C26" i="6" a="1"/>
  <c r="C26" i="6" s="1"/>
  <c r="BM26" i="6" s="1"/>
  <c r="AA86" i="7"/>
  <c r="AD226" i="7"/>
  <c r="P173" i="7"/>
  <c r="AD173" i="7"/>
  <c r="AD56" i="7"/>
  <c r="P56" i="7"/>
  <c r="P60" i="7"/>
  <c r="Y86" i="7"/>
  <c r="AA163" i="7"/>
  <c r="P140" i="7"/>
  <c r="B25" i="6" a="1"/>
  <c r="B25" i="6" s="1"/>
  <c r="C25" i="6" a="1"/>
  <c r="C25" i="6" s="1"/>
  <c r="BM25" i="6" s="1"/>
  <c r="F25" i="6"/>
  <c r="BK25" i="6" a="1"/>
  <c r="BK25" i="6" s="1"/>
  <c r="BL25" i="6" a="1"/>
  <c r="BL25" i="6" s="1"/>
  <c r="Q156" i="7" a="1"/>
  <c r="Q156" i="7" s="1"/>
  <c r="Q203" i="7" a="1"/>
  <c r="Q203" i="7" s="1"/>
  <c r="F76" i="7"/>
  <c r="BI233" i="6" a="1"/>
  <c r="BI233" i="6" s="1"/>
  <c r="Q69" i="7" a="1"/>
  <c r="Q69" i="7" s="1"/>
  <c r="P102" i="7"/>
  <c r="Z200" i="7"/>
  <c r="P115" i="7"/>
  <c r="AD115" i="7"/>
  <c r="AA9" i="7"/>
  <c r="P93" i="7"/>
  <c r="AD93" i="7"/>
  <c r="AA150" i="7"/>
  <c r="F200" i="7"/>
  <c r="AA195" i="7"/>
  <c r="AD172" i="7"/>
  <c r="F7" i="7"/>
  <c r="Z89" i="7"/>
  <c r="Y89" i="7"/>
  <c r="G17" i="7"/>
  <c r="S17" i="7" s="1"/>
  <c r="Z9" i="7"/>
  <c r="AA80" i="7"/>
  <c r="AA70" i="7"/>
  <c r="AA55" i="7"/>
  <c r="F188" i="7"/>
  <c r="AA181" i="7"/>
  <c r="AB172" i="7"/>
  <c r="AD223" i="7"/>
  <c r="P147" i="7"/>
  <c r="AD147" i="7"/>
  <c r="Q207" i="7" a="1"/>
  <c r="Q207" i="7" s="1"/>
  <c r="R207" i="7" s="1"/>
  <c r="AD194" i="7"/>
  <c r="Z218" i="7"/>
  <c r="AA64" i="7"/>
  <c r="F61" i="7"/>
  <c r="F85" i="7"/>
  <c r="G86" i="7"/>
  <c r="W86" i="7" s="1"/>
  <c r="AA147" i="7"/>
  <c r="P132" i="7"/>
  <c r="AA186" i="7"/>
  <c r="BI101" i="6" a="1"/>
  <c r="BI101" i="6" s="1"/>
  <c r="AA38" i="7"/>
  <c r="AA29" i="7"/>
  <c r="Z18" i="7"/>
  <c r="Y59" i="7"/>
  <c r="P110" i="7"/>
  <c r="P106" i="7"/>
  <c r="R106" i="7" s="1"/>
  <c r="Z99" i="7"/>
  <c r="G158" i="7"/>
  <c r="T158" i="7" s="1"/>
  <c r="G183" i="7"/>
  <c r="V183" i="7" s="1"/>
  <c r="Z223" i="7"/>
  <c r="Y223" i="7"/>
  <c r="Y29" i="7"/>
  <c r="P66" i="7"/>
  <c r="AD66" i="7"/>
  <c r="Q62" i="7" a="1"/>
  <c r="Q62" i="7" s="1"/>
  <c r="Q86" i="7" a="1"/>
  <c r="Q86" i="7" s="1"/>
  <c r="AA191" i="7"/>
  <c r="Q212" i="7" a="1"/>
  <c r="Q212" i="7" s="1"/>
  <c r="U116" i="7"/>
  <c r="AD99" i="7"/>
  <c r="P99" i="7"/>
  <c r="R99" i="7" s="1"/>
  <c r="Q97" i="7" a="1"/>
  <c r="Q97" i="7" s="1"/>
  <c r="AD160" i="7"/>
  <c r="P160" i="7"/>
  <c r="AD139" i="7"/>
  <c r="P139" i="7"/>
  <c r="Q234" i="7" a="1"/>
  <c r="Q234" i="7" s="1"/>
  <c r="G231" i="7"/>
  <c r="T231" i="7" s="1"/>
  <c r="Q231" i="7" a="1"/>
  <c r="Q231" i="7" s="1"/>
  <c r="Y222" i="7"/>
  <c r="AD217" i="7"/>
  <c r="P217" i="7"/>
  <c r="R217" i="7" s="1"/>
  <c r="AA90" i="7"/>
  <c r="Y90" i="7"/>
  <c r="Q149" i="7" a="1"/>
  <c r="Q149" i="7" s="1"/>
  <c r="F180" i="7"/>
  <c r="BI257" i="6" a="1"/>
  <c r="BI257" i="6" s="1"/>
  <c r="BI241" i="6" a="1"/>
  <c r="BI241" i="6" s="1"/>
  <c r="BI248" i="6" a="1"/>
  <c r="BI248" i="6" s="1"/>
  <c r="BI263" i="6" a="1"/>
  <c r="BI263" i="6" s="1"/>
  <c r="BI234" i="6" a="1"/>
  <c r="BI234" i="6" s="1"/>
  <c r="BI265" i="6" a="1"/>
  <c r="BI265" i="6" s="1"/>
  <c r="BI237" i="6" a="1"/>
  <c r="BI237" i="6" s="1"/>
  <c r="BI170" i="6" a="1"/>
  <c r="BI170" i="6" s="1"/>
  <c r="BI216" i="6" a="1"/>
  <c r="BI216" i="6" s="1"/>
  <c r="BI211" i="6" a="1"/>
  <c r="BI211" i="6" s="1"/>
  <c r="BI266" i="6" a="1"/>
  <c r="BI266" i="6" s="1"/>
  <c r="BI205" i="6" a="1"/>
  <c r="BI205" i="6" s="1"/>
  <c r="BI228" i="6" a="1"/>
  <c r="BI228" i="6" s="1"/>
  <c r="BI182" i="6" a="1"/>
  <c r="BI182" i="6" s="1"/>
  <c r="BI230" i="6" a="1"/>
  <c r="BI230" i="6" s="1"/>
  <c r="BI200" i="6" a="1"/>
  <c r="BI200" i="6" s="1"/>
  <c r="BI213" i="6" a="1"/>
  <c r="BI213" i="6" s="1"/>
  <c r="BI143" i="6" a="1"/>
  <c r="BI143" i="6" s="1"/>
  <c r="BI146" i="6" a="1"/>
  <c r="BI146" i="6" s="1"/>
  <c r="BI148" i="6" a="1"/>
  <c r="BI148" i="6" s="1"/>
  <c r="BI255" i="6" a="1"/>
  <c r="BI255" i="6" s="1"/>
  <c r="BI129" i="6" a="1"/>
  <c r="BI129" i="6" s="1"/>
  <c r="BI119" i="6" a="1"/>
  <c r="BI119" i="6" s="1"/>
  <c r="BI201" i="6" a="1"/>
  <c r="BI201" i="6" s="1"/>
  <c r="BI171" i="6" a="1"/>
  <c r="BI171" i="6" s="1"/>
  <c r="BI260" i="6" a="1"/>
  <c r="BI260" i="6" s="1"/>
  <c r="BI169" i="6" a="1"/>
  <c r="BI169" i="6" s="1"/>
  <c r="BI193" i="6" a="1"/>
  <c r="BI193" i="6" s="1"/>
  <c r="BI202" i="6" a="1"/>
  <c r="BI202" i="6" s="1"/>
  <c r="BI94" i="6" a="1"/>
  <c r="BI94" i="6" s="1"/>
  <c r="BI258" i="6" a="1"/>
  <c r="BI258" i="6" s="1"/>
  <c r="BI150" i="6" a="1"/>
  <c r="BI150" i="6" s="1"/>
  <c r="BI215" i="6" a="1"/>
  <c r="BI215" i="6" s="1"/>
  <c r="BI259" i="6" a="1"/>
  <c r="BI259" i="6" s="1"/>
  <c r="BI251" i="6" a="1"/>
  <c r="BI251" i="6" s="1"/>
  <c r="BI105" i="6" a="1"/>
  <c r="BI105" i="6" s="1"/>
  <c r="BI207" i="6" a="1"/>
  <c r="BI207" i="6" s="1"/>
  <c r="BI196" i="6" a="1"/>
  <c r="BI196" i="6" s="1"/>
  <c r="BI227" i="6" a="1"/>
  <c r="BI227" i="6" s="1"/>
  <c r="BI243" i="6" a="1"/>
  <c r="BI243" i="6" s="1"/>
  <c r="BI93" i="6" a="1"/>
  <c r="BI93" i="6" s="1"/>
  <c r="BI192" i="6" a="1"/>
  <c r="BI192" i="6" s="1"/>
  <c r="BI197" i="6" a="1"/>
  <c r="BI197" i="6" s="1"/>
  <c r="BI142" i="6" a="1"/>
  <c r="BI142" i="6" s="1"/>
  <c r="BI97" i="6" a="1"/>
  <c r="BI97" i="6" s="1"/>
  <c r="BI121" i="6" a="1"/>
  <c r="BI121" i="6" s="1"/>
  <c r="BI123" i="6" a="1"/>
  <c r="BI123" i="6" s="1"/>
  <c r="BI214" i="6" a="1"/>
  <c r="BI214" i="6" s="1"/>
  <c r="BI175" i="6" a="1"/>
  <c r="BI175" i="6" s="1"/>
  <c r="BI156" i="6" a="1"/>
  <c r="BI156" i="6" s="1"/>
  <c r="BI167" i="6" a="1"/>
  <c r="BI167" i="6" s="1"/>
  <c r="BI139" i="6" a="1"/>
  <c r="BI139" i="6" s="1"/>
  <c r="BI232" i="6" a="1"/>
  <c r="BI232" i="6" s="1"/>
  <c r="BI137" i="6" a="1"/>
  <c r="BI137" i="6" s="1"/>
  <c r="BI194" i="6" a="1"/>
  <c r="BI194" i="6" s="1"/>
  <c r="BI178" i="6" a="1"/>
  <c r="BI178" i="6" s="1"/>
  <c r="BI203" i="6" a="1"/>
  <c r="BI203" i="6" s="1"/>
  <c r="BI168" i="6" a="1"/>
  <c r="BI168" i="6" s="1"/>
  <c r="BI186" i="6" a="1"/>
  <c r="BI186" i="6" s="1"/>
  <c r="BI72" i="6" a="1"/>
  <c r="BI72" i="6" s="1"/>
  <c r="BI58" i="6" a="1"/>
  <c r="BI58" i="6" s="1"/>
  <c r="BI124" i="6" a="1"/>
  <c r="BI124" i="6" s="1"/>
  <c r="BI88" i="6" a="1"/>
  <c r="BI88" i="6" s="1"/>
  <c r="BI128" i="6" a="1"/>
  <c r="BI128" i="6" s="1"/>
  <c r="BI103" i="6" a="1"/>
  <c r="BI103" i="6" s="1"/>
  <c r="BI70" i="6" a="1"/>
  <c r="BI70" i="6" s="1"/>
  <c r="BI90" i="6" a="1"/>
  <c r="BI90" i="6" s="1"/>
  <c r="BI174" i="6" a="1"/>
  <c r="BI174" i="6" s="1"/>
  <c r="BI159" i="6" a="1"/>
  <c r="BI159" i="6" s="1"/>
  <c r="BI187" i="6" a="1"/>
  <c r="BI187" i="6" s="1"/>
  <c r="BI98" i="6" a="1"/>
  <c r="BI98" i="6" s="1"/>
  <c r="BI115" i="6" a="1"/>
  <c r="BI115" i="6" s="1"/>
  <c r="BI34" i="6" a="1"/>
  <c r="BI34" i="6" s="1"/>
  <c r="BI131" i="6" a="1"/>
  <c r="BI131" i="6" s="1"/>
  <c r="BI140" i="6" a="1"/>
  <c r="BI140" i="6" s="1"/>
  <c r="BI83" i="6" a="1"/>
  <c r="BI83" i="6" s="1"/>
  <c r="BI229" i="6" a="1"/>
  <c r="BI229" i="6" s="1"/>
  <c r="BI106" i="6" a="1"/>
  <c r="BI106" i="6" s="1"/>
  <c r="BI76" i="6" a="1"/>
  <c r="BI76" i="6" s="1"/>
  <c r="BI246" i="6" a="1"/>
  <c r="BI246" i="6" s="1"/>
  <c r="BI188" i="6" a="1"/>
  <c r="BI188" i="6" s="1"/>
  <c r="BI138" i="6" a="1"/>
  <c r="BI138" i="6" s="1"/>
  <c r="BI160" i="6" a="1"/>
  <c r="BI160" i="6" s="1"/>
  <c r="BI104" i="6" a="1"/>
  <c r="BI104" i="6" s="1"/>
  <c r="BI74" i="6" a="1"/>
  <c r="BI74" i="6" s="1"/>
  <c r="BI87" i="6" a="1"/>
  <c r="BI87" i="6" s="1"/>
  <c r="BI132" i="6" a="1"/>
  <c r="BI132" i="6" s="1"/>
  <c r="BI71" i="6" a="1"/>
  <c r="BI71" i="6" s="1"/>
  <c r="BI59" i="6" a="1"/>
  <c r="BI59" i="6" s="1"/>
  <c r="BI102" i="6" a="1"/>
  <c r="BI102" i="6" s="1"/>
  <c r="BI89" i="6" a="1"/>
  <c r="BI89" i="6" s="1"/>
  <c r="BI29" i="6" a="1"/>
  <c r="BI29" i="6" s="1"/>
  <c r="BI189" i="6" a="1"/>
  <c r="BI189" i="6" s="1"/>
  <c r="BI61" i="6" a="1"/>
  <c r="BI61" i="6" s="1"/>
  <c r="BI31" i="6" a="1"/>
  <c r="BI31" i="6" s="1"/>
  <c r="BI69" i="6" a="1"/>
  <c r="BI69" i="6" s="1"/>
  <c r="BI92" i="6" a="1"/>
  <c r="BI92" i="6" s="1"/>
  <c r="BI147" i="6" a="1"/>
  <c r="BI147" i="6" s="1"/>
  <c r="BI120" i="6" a="1"/>
  <c r="BI120" i="6" s="1"/>
  <c r="BI141" i="6" a="1"/>
  <c r="BI141" i="6" s="1"/>
  <c r="BI161" i="6" a="1"/>
  <c r="BI161" i="6" s="1"/>
  <c r="BI110" i="6" a="1"/>
  <c r="BI110" i="6" s="1"/>
  <c r="BI85" i="6" a="1"/>
  <c r="BI85" i="6" s="1"/>
  <c r="BI66" i="6" a="1"/>
  <c r="BI66" i="6" s="1"/>
  <c r="BI162" i="6" a="1"/>
  <c r="BI162" i="6" s="1"/>
  <c r="BI130" i="6" a="1"/>
  <c r="BI130" i="6" s="1"/>
  <c r="BI38" i="6" a="1"/>
  <c r="BI38" i="6" s="1"/>
  <c r="BI54" i="6" a="1"/>
  <c r="BI54" i="6" s="1"/>
  <c r="BI86" i="6" a="1"/>
  <c r="BI86" i="6" s="1"/>
  <c r="BI112" i="6" a="1"/>
  <c r="BI112" i="6" s="1"/>
  <c r="BI158" i="6" a="1"/>
  <c r="BI158" i="6" s="1"/>
  <c r="BI41" i="6" a="1"/>
  <c r="BI41" i="6" s="1"/>
  <c r="BI84" i="6" a="1"/>
  <c r="BI84" i="6" s="1"/>
  <c r="BI60" i="6" a="1"/>
  <c r="BI60" i="6" s="1"/>
  <c r="BI52" i="6" a="1"/>
  <c r="BI52" i="6" s="1"/>
  <c r="BI30" i="6" a="1"/>
  <c r="BI30" i="6" s="1"/>
  <c r="BI133" i="6" a="1"/>
  <c r="BI133" i="6" s="1"/>
  <c r="BI44" i="6" a="1"/>
  <c r="BI44" i="6" s="1"/>
  <c r="BI179" i="6" a="1"/>
  <c r="BI179" i="6" s="1"/>
  <c r="BI65" i="6" a="1"/>
  <c r="BI65" i="6" s="1"/>
  <c r="BI95" i="6" a="1"/>
  <c r="BI95" i="6" s="1"/>
  <c r="BI49" i="6" a="1"/>
  <c r="BI49" i="6" s="1"/>
  <c r="BI68" i="6" a="1"/>
  <c r="BI68" i="6" s="1"/>
  <c r="BI75" i="6" a="1"/>
  <c r="BI75" i="6" s="1"/>
  <c r="BI45" i="6" a="1"/>
  <c r="BI45" i="6" s="1"/>
  <c r="BI81" i="6" a="1"/>
  <c r="BI81" i="6" s="1"/>
  <c r="BI185" i="6" a="1"/>
  <c r="BI185" i="6" s="1"/>
  <c r="BI155" i="6" a="1"/>
  <c r="BI155" i="6" s="1"/>
  <c r="BI47" i="6" a="1"/>
  <c r="BI47" i="6" s="1"/>
  <c r="BI114" i="6" a="1"/>
  <c r="BI114" i="6" s="1"/>
  <c r="BI32" i="6" a="1"/>
  <c r="BI32" i="6" s="1"/>
  <c r="BI39" i="6" a="1"/>
  <c r="BI39" i="6" s="1"/>
  <c r="BP20" i="6" a="1"/>
  <c r="BP20" i="6" s="1"/>
  <c r="BI42" i="6" a="1"/>
  <c r="BI42" i="6" s="1"/>
  <c r="BI63" i="6" a="1"/>
  <c r="BI63" i="6" s="1"/>
  <c r="BI36" i="6" a="1"/>
  <c r="BI36" i="6" s="1"/>
  <c r="BI33" i="6" a="1"/>
  <c r="BI33" i="6" s="1"/>
  <c r="BI77" i="6" a="1"/>
  <c r="BI77" i="6" s="1"/>
  <c r="BI107" i="6" a="1"/>
  <c r="BI107" i="6" s="1"/>
  <c r="BI43" i="6" a="1"/>
  <c r="BI43" i="6" s="1"/>
  <c r="AA83" i="7"/>
  <c r="Y217" i="7"/>
  <c r="Z217" i="7"/>
  <c r="BI57" i="6" a="1"/>
  <c r="BI57" i="6" s="1"/>
  <c r="Y75" i="7"/>
  <c r="Z73" i="7"/>
  <c r="AD162" i="7"/>
  <c r="P162" i="7"/>
  <c r="Y225" i="7"/>
  <c r="AA225" i="7"/>
  <c r="AD84" i="7"/>
  <c r="AD201" i="7"/>
  <c r="P201" i="7"/>
  <c r="E27" i="6" a="1"/>
  <c r="E27" i="6" s="1"/>
  <c r="G27" i="6" s="1"/>
  <c r="C27" i="6" a="1"/>
  <c r="C27" i="6" s="1"/>
  <c r="BM27" i="6" s="1"/>
  <c r="BL27" i="6" a="1"/>
  <c r="BL27" i="6" s="1"/>
  <c r="BI56" i="6" a="1"/>
  <c r="BI56" i="6" s="1"/>
  <c r="AA89" i="7"/>
  <c r="Y56" i="7"/>
  <c r="AA113" i="7"/>
  <c r="AA98" i="7"/>
  <c r="AA151" i="7"/>
  <c r="AA179" i="7"/>
  <c r="F171" i="7"/>
  <c r="AD224" i="7"/>
  <c r="Q96" i="7" a="1"/>
  <c r="Q96" i="7" s="1"/>
  <c r="R96" i="7" s="1"/>
  <c r="Q145" i="7" a="1"/>
  <c r="Q145" i="7" s="1"/>
  <c r="G145" i="7"/>
  <c r="V145" i="7" s="1"/>
  <c r="AB175" i="7"/>
  <c r="G175" i="7"/>
  <c r="U175" i="7" s="1"/>
  <c r="Q226" i="7" a="1"/>
  <c r="Q226" i="7" s="1"/>
  <c r="R226" i="7" s="1"/>
  <c r="Q210" i="7" a="1"/>
  <c r="Q210" i="7" s="1"/>
  <c r="AA182" i="7"/>
  <c r="Y221" i="7"/>
  <c r="Z221" i="7"/>
  <c r="Q105" i="7" a="1"/>
  <c r="Q105" i="7" s="1"/>
  <c r="AA120" i="7"/>
  <c r="Y202" i="7"/>
  <c r="AA202" i="7"/>
  <c r="Q230" i="7" a="1"/>
  <c r="Q230" i="7" s="1"/>
  <c r="Q225" i="7" a="1"/>
  <c r="Q225" i="7" s="1"/>
  <c r="BL24" i="6" a="1"/>
  <c r="BL24" i="6" s="1"/>
  <c r="C24" i="6" a="1"/>
  <c r="C24" i="6" s="1"/>
  <c r="BM24" i="6" s="1"/>
  <c r="BK24" i="6" a="1"/>
  <c r="BK24" i="6" s="1"/>
  <c r="B24" i="6" a="1"/>
  <c r="B24" i="6" s="1"/>
  <c r="AD208" i="7"/>
  <c r="F24" i="6"/>
  <c r="Q206" i="7" a="1"/>
  <c r="Q206" i="7" s="1"/>
  <c r="Y96" i="7"/>
  <c r="AA96" i="7"/>
  <c r="Q220" i="7" a="1"/>
  <c r="Q220" i="7" s="1"/>
  <c r="R220" i="7" s="1"/>
  <c r="Z141" i="7"/>
  <c r="AA141" i="7"/>
  <c r="C20" i="6" a="1"/>
  <c r="C20" i="6" s="1"/>
  <c r="F20" i="6"/>
  <c r="BK20" i="6" a="1"/>
  <c r="BK20" i="6" s="1"/>
  <c r="Q213" i="7" a="1"/>
  <c r="Q213" i="7" s="1"/>
  <c r="R213" i="7" s="1"/>
  <c r="BK357" i="6" a="1"/>
  <c r="BK357" i="6" s="1"/>
  <c r="BL357" i="6" a="1"/>
  <c r="BL357" i="6" s="1"/>
  <c r="B357" i="6" a="1"/>
  <c r="B357" i="6" s="1"/>
  <c r="C357" i="6" a="1"/>
  <c r="C357" i="6" s="1"/>
  <c r="E357" i="6" a="1"/>
  <c r="E357" i="6" s="1"/>
  <c r="F357" i="6"/>
  <c r="BM357" i="6"/>
  <c r="C375" i="6" a="1"/>
  <c r="C375" i="6" s="1"/>
  <c r="E375" i="6" a="1"/>
  <c r="E375" i="6" s="1"/>
  <c r="F375" i="6"/>
  <c r="BK375" i="6" a="1"/>
  <c r="BK375" i="6" s="1"/>
  <c r="BL375" i="6" a="1"/>
  <c r="BL375" i="6" s="1"/>
  <c r="BM375" i="6"/>
  <c r="B375" i="6" a="1"/>
  <c r="B375" i="6" s="1"/>
  <c r="BJ340" i="6"/>
  <c r="E340" i="6" a="1"/>
  <c r="E340" i="6" s="1"/>
  <c r="BJ320" i="6"/>
  <c r="E320" i="6" a="1"/>
  <c r="E320" i="6" s="1"/>
  <c r="BK366" i="6" a="1"/>
  <c r="BK366" i="6" s="1"/>
  <c r="BL366" i="6" a="1"/>
  <c r="BL366" i="6" s="1"/>
  <c r="BM366" i="6"/>
  <c r="B366" i="6" a="1"/>
  <c r="B366" i="6" s="1"/>
  <c r="E366" i="6" a="1"/>
  <c r="E366" i="6" s="1"/>
  <c r="F366" i="6"/>
  <c r="C366" i="6" a="1"/>
  <c r="C366" i="6" s="1"/>
  <c r="BJ293" i="6"/>
  <c r="E293" i="6" a="1"/>
  <c r="E293" i="6" s="1"/>
  <c r="F301" i="6"/>
  <c r="E301" i="6" a="1"/>
  <c r="E301" i="6" s="1"/>
  <c r="BK301" i="6" a="1"/>
  <c r="BK301" i="6" s="1"/>
  <c r="BL301" i="6" a="1"/>
  <c r="BL301" i="6" s="1"/>
  <c r="C301" i="6" a="1"/>
  <c r="C301" i="6" s="1"/>
  <c r="BM301" i="6"/>
  <c r="B301" i="6" a="1"/>
  <c r="B301" i="6" s="1"/>
  <c r="E328" i="6" a="1"/>
  <c r="E328" i="6" s="1"/>
  <c r="F328" i="6"/>
  <c r="C328" i="6" a="1"/>
  <c r="C328" i="6" s="1"/>
  <c r="BK328" i="6" a="1"/>
  <c r="BK328" i="6" s="1"/>
  <c r="BM328" i="6"/>
  <c r="B328" i="6" a="1"/>
  <c r="B328" i="6" s="1"/>
  <c r="BL328" i="6" a="1"/>
  <c r="BL328" i="6" s="1"/>
  <c r="BJ349" i="6"/>
  <c r="E349" i="6" a="1"/>
  <c r="E349" i="6" s="1"/>
  <c r="B297" i="6" a="1"/>
  <c r="B297" i="6" s="1"/>
  <c r="C297" i="6" a="1"/>
  <c r="C297" i="6" s="1"/>
  <c r="E297" i="6" a="1"/>
  <c r="E297" i="6" s="1"/>
  <c r="BK297" i="6" a="1"/>
  <c r="BK297" i="6" s="1"/>
  <c r="BL297" i="6" a="1"/>
  <c r="BL297" i="6" s="1"/>
  <c r="BM297" i="6"/>
  <c r="F297" i="6"/>
  <c r="C303" i="6" a="1"/>
  <c r="C303" i="6" s="1"/>
  <c r="E303" i="6" a="1"/>
  <c r="E303" i="6" s="1"/>
  <c r="B303" i="6" a="1"/>
  <c r="B303" i="6" s="1"/>
  <c r="BK303" i="6" a="1"/>
  <c r="BK303" i="6" s="1"/>
  <c r="BL303" i="6" a="1"/>
  <c r="BL303" i="6" s="1"/>
  <c r="BM303" i="6"/>
  <c r="E339" i="6" a="1"/>
  <c r="E339" i="6" s="1"/>
  <c r="F339" i="6"/>
  <c r="C339" i="6" a="1"/>
  <c r="C339" i="6" s="1"/>
  <c r="BK339" i="6" a="1"/>
  <c r="BK339" i="6" s="1"/>
  <c r="BL339" i="6" a="1"/>
  <c r="BL339" i="6" s="1"/>
  <c r="BM339" i="6"/>
  <c r="BL377" i="6" a="1"/>
  <c r="BL377" i="6" s="1"/>
  <c r="BM377" i="6"/>
  <c r="B377" i="6" a="1"/>
  <c r="B377" i="6" s="1"/>
  <c r="C377" i="6" a="1"/>
  <c r="C377" i="6" s="1"/>
  <c r="E377" i="6" a="1"/>
  <c r="E377" i="6" s="1"/>
  <c r="F377" i="6"/>
  <c r="BK283" i="6" a="1"/>
  <c r="BK283" i="6" s="1"/>
  <c r="BL283" i="6" a="1"/>
  <c r="BL283" i="6" s="1"/>
  <c r="BM283" i="6"/>
  <c r="C283" i="6" a="1"/>
  <c r="C283" i="6" s="1"/>
  <c r="E283" i="6" a="1"/>
  <c r="E283" i="6" s="1"/>
  <c r="BK332" i="6" a="1"/>
  <c r="BK332" i="6" s="1"/>
  <c r="C332" i="6" a="1"/>
  <c r="C332" i="6" s="1"/>
  <c r="E332" i="6" a="1"/>
  <c r="E332" i="6" s="1"/>
  <c r="F332" i="6"/>
  <c r="BL332" i="6" a="1"/>
  <c r="BL332" i="6" s="1"/>
  <c r="BM332" i="6"/>
  <c r="F303" i="6"/>
  <c r="E296" i="6" a="1"/>
  <c r="E296" i="6" s="1"/>
  <c r="F296" i="6"/>
  <c r="BK296" i="6" a="1"/>
  <c r="BK296" i="6" s="1"/>
  <c r="BL296" i="6" a="1"/>
  <c r="BL296" i="6" s="1"/>
  <c r="BM296" i="6"/>
  <c r="B296" i="6" a="1"/>
  <c r="B296" i="6" s="1"/>
  <c r="C296" i="6" a="1"/>
  <c r="C296" i="6" s="1"/>
  <c r="C309" i="6" a="1"/>
  <c r="C309" i="6" s="1"/>
  <c r="E309" i="6" a="1"/>
  <c r="E309" i="6" s="1"/>
  <c r="B309" i="6" a="1"/>
  <c r="B309" i="6" s="1"/>
  <c r="BK309" i="6" a="1"/>
  <c r="BK309" i="6" s="1"/>
  <c r="BL309" i="6" a="1"/>
  <c r="BL309" i="6" s="1"/>
  <c r="BM309" i="6"/>
  <c r="F309" i="6"/>
  <c r="E295" i="6" a="1"/>
  <c r="E295" i="6" s="1"/>
  <c r="F295" i="6"/>
  <c r="C295" i="6" a="1"/>
  <c r="C295" i="6" s="1"/>
  <c r="BK295" i="6" a="1"/>
  <c r="BK295" i="6" s="1"/>
  <c r="BL295" i="6" a="1"/>
  <c r="BL295" i="6" s="1"/>
  <c r="BM295" i="6"/>
  <c r="B337" i="6" a="1"/>
  <c r="B337" i="6" s="1"/>
  <c r="C337" i="6" a="1"/>
  <c r="C337" i="6" s="1"/>
  <c r="BK337" i="6" a="1"/>
  <c r="BK337" i="6" s="1"/>
  <c r="BL337" i="6" a="1"/>
  <c r="BL337" i="6" s="1"/>
  <c r="F337" i="6"/>
  <c r="C376" i="6" a="1"/>
  <c r="C376" i="6" s="1"/>
  <c r="E376" i="6" a="1"/>
  <c r="E376" i="6" s="1"/>
  <c r="F376" i="6"/>
  <c r="BL376" i="6" a="1"/>
  <c r="BL376" i="6" s="1"/>
  <c r="BM376" i="6"/>
  <c r="B376" i="6" a="1"/>
  <c r="B376" i="6" s="1"/>
  <c r="BK376" i="6" a="1"/>
  <c r="BK376" i="6" s="1"/>
  <c r="E337" i="6" a="1"/>
  <c r="E337" i="6" s="1"/>
  <c r="BK294" i="6" a="1"/>
  <c r="BK294" i="6" s="1"/>
  <c r="BL294" i="6" a="1"/>
  <c r="BL294" i="6" s="1"/>
  <c r="C294" i="6" a="1"/>
  <c r="C294" i="6" s="1"/>
  <c r="E294" i="6" a="1"/>
  <c r="E294" i="6" s="1"/>
  <c r="F294" i="6"/>
  <c r="B294" i="6" a="1"/>
  <c r="B294" i="6" s="1"/>
  <c r="BK319" i="6" a="1"/>
  <c r="BK319" i="6" s="1"/>
  <c r="BL319" i="6" a="1"/>
  <c r="BL319" i="6" s="1"/>
  <c r="BM319" i="6"/>
  <c r="B319" i="6" a="1"/>
  <c r="B319" i="6" s="1"/>
  <c r="C319" i="6" a="1"/>
  <c r="C319" i="6" s="1"/>
  <c r="E319" i="6" a="1"/>
  <c r="E319" i="6" s="1"/>
  <c r="F319" i="6"/>
  <c r="B350" i="6" a="1"/>
  <c r="B350" i="6" s="1"/>
  <c r="C350" i="6" a="1"/>
  <c r="C350" i="6" s="1"/>
  <c r="BK350" i="6" a="1"/>
  <c r="BK350" i="6" s="1"/>
  <c r="BL350" i="6" a="1"/>
  <c r="BL350" i="6" s="1"/>
  <c r="BM350" i="6"/>
  <c r="E350" i="6" a="1"/>
  <c r="E350" i="6" s="1"/>
  <c r="BM286" i="6"/>
  <c r="C286" i="6" a="1"/>
  <c r="C286" i="6" s="1"/>
  <c r="B286" i="6" a="1"/>
  <c r="B286" i="6" s="1"/>
  <c r="E286" i="6" a="1"/>
  <c r="E286" i="6" s="1"/>
  <c r="F286" i="6"/>
  <c r="BL286" i="6" a="1"/>
  <c r="BL286" i="6" s="1"/>
  <c r="F350" i="6"/>
  <c r="BL324" i="6" a="1"/>
  <c r="BL324" i="6" s="1"/>
  <c r="BM324" i="6"/>
  <c r="B324" i="6" a="1"/>
  <c r="B324" i="6" s="1"/>
  <c r="C324" i="6" a="1"/>
  <c r="C324" i="6" s="1"/>
  <c r="E324" i="6" a="1"/>
  <c r="E324" i="6" s="1"/>
  <c r="F324" i="6"/>
  <c r="B362" i="6" a="1"/>
  <c r="B362" i="6" s="1"/>
  <c r="C362" i="6" a="1"/>
  <c r="C362" i="6" s="1"/>
  <c r="BK362" i="6" a="1"/>
  <c r="BK362" i="6" s="1"/>
  <c r="BL362" i="6" a="1"/>
  <c r="BL362" i="6" s="1"/>
  <c r="BM362" i="6"/>
  <c r="E362" i="6" a="1"/>
  <c r="E362" i="6" s="1"/>
  <c r="F362" i="6"/>
  <c r="B293" i="6" a="1"/>
  <c r="B293" i="6" s="1"/>
  <c r="C293" i="6" a="1"/>
  <c r="C293" i="6" s="1"/>
  <c r="BK293" i="6" a="1"/>
  <c r="BK293" i="6" s="1"/>
  <c r="BL293" i="6" a="1"/>
  <c r="BL293" i="6" s="1"/>
  <c r="BM293" i="6"/>
  <c r="F293" i="6"/>
  <c r="F313" i="6"/>
  <c r="BK313" i="6" a="1"/>
  <c r="BK313" i="6" s="1"/>
  <c r="BL313" i="6" a="1"/>
  <c r="BL313" i="6" s="1"/>
  <c r="BM313" i="6"/>
  <c r="C313" i="6" a="1"/>
  <c r="C313" i="6" s="1"/>
  <c r="BK300" i="6" a="1"/>
  <c r="BK300" i="6" s="1"/>
  <c r="BL300" i="6" a="1"/>
  <c r="BL300" i="6" s="1"/>
  <c r="BM300" i="6"/>
  <c r="C300" i="6" a="1"/>
  <c r="C300" i="6" s="1"/>
  <c r="E300" i="6" a="1"/>
  <c r="E300" i="6" s="1"/>
  <c r="F300" i="6"/>
  <c r="B300" i="6" a="1"/>
  <c r="B300" i="6" s="1"/>
  <c r="C329" i="6" a="1"/>
  <c r="C329" i="6" s="1"/>
  <c r="E329" i="6" a="1"/>
  <c r="E329" i="6" s="1"/>
  <c r="BM329" i="6"/>
  <c r="BK329" i="6" a="1"/>
  <c r="BK329" i="6" s="1"/>
  <c r="BL329" i="6" a="1"/>
  <c r="BL329" i="6" s="1"/>
  <c r="B329" i="6" a="1"/>
  <c r="B329" i="6" s="1"/>
  <c r="F329" i="6"/>
  <c r="F306" i="6"/>
  <c r="BK306" i="6" a="1"/>
  <c r="BK306" i="6" s="1"/>
  <c r="C306" i="6" a="1"/>
  <c r="C306" i="6" s="1"/>
  <c r="E306" i="6" a="1"/>
  <c r="E306" i="6" s="1"/>
  <c r="BL306" i="6" a="1"/>
  <c r="BL306" i="6" s="1"/>
  <c r="B306" i="6" a="1"/>
  <c r="B306" i="6" s="1"/>
  <c r="BM306" i="6"/>
  <c r="E355" i="6" a="1"/>
  <c r="E355" i="6" s="1"/>
  <c r="C323" i="6" a="1"/>
  <c r="C323" i="6" s="1"/>
  <c r="E323" i="6" a="1"/>
  <c r="E323" i="6" s="1"/>
  <c r="BL323" i="6" a="1"/>
  <c r="BL323" i="6" s="1"/>
  <c r="BM323" i="6"/>
  <c r="F323" i="6"/>
  <c r="BK323" i="6" a="1"/>
  <c r="BK323" i="6" s="1"/>
  <c r="C322" i="6" a="1"/>
  <c r="C322" i="6" s="1"/>
  <c r="E322" i="6" a="1"/>
  <c r="E322" i="6" s="1"/>
  <c r="BK322" i="6" a="1"/>
  <c r="BK322" i="6" s="1"/>
  <c r="BL322" i="6" a="1"/>
  <c r="BL322" i="6" s="1"/>
  <c r="BM322" i="6"/>
  <c r="F322" i="6"/>
  <c r="E359" i="6" a="1"/>
  <c r="E359" i="6" s="1"/>
  <c r="F359" i="6"/>
  <c r="BK359" i="6" a="1"/>
  <c r="BK359" i="6" s="1"/>
  <c r="BL359" i="6" a="1"/>
  <c r="BL359" i="6" s="1"/>
  <c r="BM359" i="6"/>
  <c r="BJ378" i="6"/>
  <c r="E378" i="6" a="1"/>
  <c r="E378" i="6" s="1"/>
  <c r="E354" i="6" a="1"/>
  <c r="E354" i="6" s="1"/>
  <c r="F354" i="6"/>
  <c r="BK354" i="6" a="1"/>
  <c r="BK354" i="6" s="1"/>
  <c r="BL354" i="6" a="1"/>
  <c r="BL354" i="6" s="1"/>
  <c r="BM354" i="6"/>
  <c r="E291" i="6" a="1"/>
  <c r="E291" i="6" s="1"/>
  <c r="F291" i="6"/>
  <c r="BK291" i="6" a="1"/>
  <c r="BK291" i="6" s="1"/>
  <c r="BL291" i="6" a="1"/>
  <c r="BL291" i="6" s="1"/>
  <c r="BM291" i="6"/>
  <c r="B291" i="6" a="1"/>
  <c r="B291" i="6" s="1"/>
  <c r="C291" i="6" a="1"/>
  <c r="C291" i="6" s="1"/>
  <c r="BM281" i="6"/>
  <c r="B281" i="6" a="1"/>
  <c r="B281" i="6" s="1"/>
  <c r="E281" i="6" a="1"/>
  <c r="E281" i="6" s="1"/>
  <c r="F281" i="6"/>
  <c r="BK281" i="6" a="1"/>
  <c r="BK281" i="6" s="1"/>
  <c r="BM292" i="6"/>
  <c r="B292" i="6" a="1"/>
  <c r="B292" i="6" s="1"/>
  <c r="C292" i="6" a="1"/>
  <c r="C292" i="6" s="1"/>
  <c r="BK292" i="6" a="1"/>
  <c r="BK292" i="6" s="1"/>
  <c r="BL292" i="6" a="1"/>
  <c r="BL292" i="6" s="1"/>
  <c r="E285" i="6" a="1"/>
  <c r="E285" i="6" s="1"/>
  <c r="F285" i="6"/>
  <c r="BM285" i="6"/>
  <c r="B285" i="6" a="1"/>
  <c r="B285" i="6" s="1"/>
  <c r="C285" i="6" a="1"/>
  <c r="C285" i="6" s="1"/>
  <c r="BM336" i="6"/>
  <c r="B336" i="6" a="1"/>
  <c r="B336" i="6" s="1"/>
  <c r="C336" i="6" a="1"/>
  <c r="C336" i="6" s="1"/>
  <c r="BK336" i="6" a="1"/>
  <c r="BK336" i="6" s="1"/>
  <c r="BL336" i="6" a="1"/>
  <c r="BL336" i="6" s="1"/>
  <c r="F327" i="6"/>
  <c r="BK327" i="6" a="1"/>
  <c r="BK327" i="6" s="1"/>
  <c r="C327" i="6" a="1"/>
  <c r="C327" i="6" s="1"/>
  <c r="E327" i="6" a="1"/>
  <c r="E327" i="6" s="1"/>
  <c r="BL327" i="6" a="1"/>
  <c r="BL327" i="6" s="1"/>
  <c r="C369" i="6" a="1"/>
  <c r="C369" i="6" s="1"/>
  <c r="E369" i="6" a="1"/>
  <c r="E369" i="6" s="1"/>
  <c r="F369" i="6"/>
  <c r="B369" i="6" a="1"/>
  <c r="B369" i="6" s="1"/>
  <c r="BM369" i="6"/>
  <c r="C317" i="6" a="1"/>
  <c r="C317" i="6" s="1"/>
  <c r="E317" i="6" a="1"/>
  <c r="E317" i="6" s="1"/>
  <c r="B317" i="6" a="1"/>
  <c r="B317" i="6" s="1"/>
  <c r="BK317" i="6" a="1"/>
  <c r="BK317" i="6" s="1"/>
  <c r="BL317" i="6" a="1"/>
  <c r="BL317" i="6" s="1"/>
  <c r="BM317" i="6"/>
  <c r="E336" i="6" a="1"/>
  <c r="E336" i="6" s="1"/>
  <c r="G336" i="6" s="1"/>
  <c r="B356" i="6" a="1"/>
  <c r="B356" i="6" s="1"/>
  <c r="C356" i="6" a="1"/>
  <c r="C356" i="6" s="1"/>
  <c r="BK356" i="6" a="1"/>
  <c r="BK356" i="6" s="1"/>
  <c r="BL356" i="6" a="1"/>
  <c r="BL356" i="6" s="1"/>
  <c r="BM356" i="6"/>
  <c r="E356" i="6" a="1"/>
  <c r="E356" i="6" s="1"/>
  <c r="BK302" i="6" a="1"/>
  <c r="BK302" i="6" s="1"/>
  <c r="BL330" i="6" a="1"/>
  <c r="BL330" i="6" s="1"/>
  <c r="BM330" i="6"/>
  <c r="B330" i="6" a="1"/>
  <c r="B330" i="6" s="1"/>
  <c r="C330" i="6" a="1"/>
  <c r="C330" i="6" s="1"/>
  <c r="BK330" i="6" a="1"/>
  <c r="BK330" i="6" s="1"/>
  <c r="F317" i="6"/>
  <c r="B360" i="6" a="1"/>
  <c r="B360" i="6" s="1"/>
  <c r="C360" i="6" a="1"/>
  <c r="C360" i="6" s="1"/>
  <c r="BK360" i="6" a="1"/>
  <c r="BK360" i="6" s="1"/>
  <c r="BL360" i="6" a="1"/>
  <c r="BL360" i="6" s="1"/>
  <c r="BM360" i="6"/>
  <c r="E290" i="6" a="1"/>
  <c r="E290" i="6" s="1"/>
  <c r="F290" i="6"/>
  <c r="BK290" i="6" a="1"/>
  <c r="BK290" i="6" s="1"/>
  <c r="BM290" i="6"/>
  <c r="F308" i="6"/>
  <c r="BK308" i="6" a="1"/>
  <c r="BK308" i="6" s="1"/>
  <c r="BL308" i="6" a="1"/>
  <c r="BL308" i="6" s="1"/>
  <c r="BM308" i="6"/>
  <c r="B308" i="6" a="1"/>
  <c r="B308" i="6" s="1"/>
  <c r="C308" i="6" a="1"/>
  <c r="C308" i="6" s="1"/>
  <c r="F356" i="6"/>
  <c r="E348" i="6" a="1"/>
  <c r="E348" i="6" s="1"/>
  <c r="F348" i="6"/>
  <c r="BM348" i="6"/>
  <c r="C348" i="6" a="1"/>
  <c r="C348" i="6" s="1"/>
  <c r="BK348" i="6" a="1"/>
  <c r="BK348" i="6" s="1"/>
  <c r="BL348" i="6" a="1"/>
  <c r="BL348" i="6" s="1"/>
  <c r="F374" i="6"/>
  <c r="BL374" i="6" a="1"/>
  <c r="BL374" i="6" s="1"/>
  <c r="B374" i="6" a="1"/>
  <c r="B374" i="6" s="1"/>
  <c r="C374" i="6" a="1"/>
  <c r="C374" i="6" s="1"/>
  <c r="E374" i="6" a="1"/>
  <c r="E374" i="6" s="1"/>
  <c r="BK374" i="6" a="1"/>
  <c r="BK374" i="6" s="1"/>
  <c r="F284" i="6"/>
  <c r="B284" i="6" a="1"/>
  <c r="B284" i="6" s="1"/>
  <c r="C284" i="6" a="1"/>
  <c r="C284" i="6" s="1"/>
  <c r="BL284" i="6" a="1"/>
  <c r="BL284" i="6" s="1"/>
  <c r="BM284" i="6"/>
  <c r="F330" i="6"/>
  <c r="F360" i="6"/>
  <c r="B312" i="6" a="1"/>
  <c r="B312" i="6" s="1"/>
  <c r="BK312" i="6" a="1"/>
  <c r="BK312" i="6" s="1"/>
  <c r="E312" i="6" a="1"/>
  <c r="E312" i="6" s="1"/>
  <c r="F312" i="6"/>
  <c r="BL312" i="6" a="1"/>
  <c r="BL312" i="6" s="1"/>
  <c r="E284" i="6" a="1"/>
  <c r="E284" i="6" s="1"/>
  <c r="E330" i="6" a="1"/>
  <c r="E330" i="6" s="1"/>
  <c r="BJ326" i="6"/>
  <c r="E326" i="6" a="1"/>
  <c r="E326" i="6" s="1"/>
  <c r="E360" i="6" a="1"/>
  <c r="E360" i="6" s="1"/>
  <c r="E368" i="6" a="1"/>
  <c r="E368" i="6" s="1"/>
  <c r="F368" i="6"/>
  <c r="BK368" i="6" a="1"/>
  <c r="BK368" i="6" s="1"/>
  <c r="BL368" i="6" a="1"/>
  <c r="BL368" i="6" s="1"/>
  <c r="BM368" i="6"/>
  <c r="B368" i="6" a="1"/>
  <c r="B368" i="6" s="1"/>
  <c r="C368" i="6" a="1"/>
  <c r="C368" i="6" s="1"/>
  <c r="E302" i="6" a="1"/>
  <c r="E302" i="6" s="1"/>
  <c r="F302" i="6"/>
  <c r="BL302" i="6" a="1"/>
  <c r="BL302" i="6" s="1"/>
  <c r="BM302" i="6"/>
  <c r="C302" i="6" a="1"/>
  <c r="C302" i="6" s="1"/>
  <c r="E347" i="6" a="1"/>
  <c r="E347" i="6" s="1"/>
  <c r="F347" i="6"/>
  <c r="B347" i="6" a="1"/>
  <c r="B347" i="6" s="1"/>
  <c r="C347" i="6" a="1"/>
  <c r="C347" i="6" s="1"/>
  <c r="BL347" i="6" a="1"/>
  <c r="BL347" i="6" s="1"/>
  <c r="BK288" i="6" a="1"/>
  <c r="BK288" i="6" s="1"/>
  <c r="BL288" i="6" a="1"/>
  <c r="BL288" i="6" s="1"/>
  <c r="C288" i="6" a="1"/>
  <c r="C288" i="6" s="1"/>
  <c r="E288" i="6" a="1"/>
  <c r="E288" i="6" s="1"/>
  <c r="F288" i="6"/>
  <c r="BJ351" i="6"/>
  <c r="E351" i="6" a="1"/>
  <c r="E351" i="6" s="1"/>
  <c r="B287" i="6" a="1"/>
  <c r="B287" i="6" s="1"/>
  <c r="C287" i="6" a="1"/>
  <c r="C287" i="6" s="1"/>
  <c r="BL287" i="6" a="1"/>
  <c r="BL287" i="6" s="1"/>
  <c r="E287" i="6" a="1"/>
  <c r="E287" i="6" s="1"/>
  <c r="BK287" i="6" a="1"/>
  <c r="BK287" i="6" s="1"/>
  <c r="E335" i="6" a="1"/>
  <c r="E335" i="6" s="1"/>
  <c r="F335" i="6"/>
  <c r="BM335" i="6"/>
  <c r="BK335" i="6" a="1"/>
  <c r="BK335" i="6" s="1"/>
  <c r="BL335" i="6" a="1"/>
  <c r="BL335" i="6" s="1"/>
  <c r="B335" i="6" a="1"/>
  <c r="B335" i="6" s="1"/>
  <c r="BJ367" i="6"/>
  <c r="E367" i="6" a="1"/>
  <c r="E367" i="6" s="1"/>
  <c r="BK305" i="6" a="1"/>
  <c r="BK305" i="6" s="1"/>
  <c r="BL305" i="6" a="1"/>
  <c r="BL305" i="6" s="1"/>
  <c r="BM305" i="6"/>
  <c r="B305" i="6" a="1"/>
  <c r="B305" i="6" s="1"/>
  <c r="C305" i="6" a="1"/>
  <c r="C305" i="6" s="1"/>
  <c r="E305" i="6" a="1"/>
  <c r="E305" i="6" s="1"/>
  <c r="F305" i="6"/>
  <c r="BK372" i="6" a="1"/>
  <c r="BK372" i="6" s="1"/>
  <c r="BL372" i="6" a="1"/>
  <c r="BL372" i="6" s="1"/>
  <c r="BM372" i="6"/>
  <c r="B372" i="6" a="1"/>
  <c r="B372" i="6" s="1"/>
  <c r="C372" i="6" a="1"/>
  <c r="C372" i="6" s="1"/>
  <c r="E333" i="6" a="1"/>
  <c r="E333" i="6" s="1"/>
  <c r="F333" i="6"/>
  <c r="C333" i="6" a="1"/>
  <c r="C333" i="6" s="1"/>
  <c r="BK333" i="6" a="1"/>
  <c r="BK333" i="6" s="1"/>
  <c r="E341" i="6" a="1"/>
  <c r="E341" i="6" s="1"/>
  <c r="F341" i="6"/>
  <c r="BM341" i="6"/>
  <c r="B341" i="6" a="1"/>
  <c r="B341" i="6" s="1"/>
  <c r="C341" i="6" a="1"/>
  <c r="C341" i="6" s="1"/>
  <c r="E314" i="6" a="1"/>
  <c r="E314" i="6" s="1"/>
  <c r="F314" i="6"/>
  <c r="B314" i="6" a="1"/>
  <c r="B314" i="6" s="1"/>
  <c r="C314" i="6" a="1"/>
  <c r="C314" i="6" s="1"/>
  <c r="BK314" i="6" a="1"/>
  <c r="BK314" i="6" s="1"/>
  <c r="BL314" i="6" a="1"/>
  <c r="BL314" i="6" s="1"/>
  <c r="BM314" i="6"/>
  <c r="F364" i="6"/>
  <c r="B364" i="6" a="1"/>
  <c r="B364" i="6" s="1"/>
  <c r="C364" i="6" a="1"/>
  <c r="C364" i="6" s="1"/>
  <c r="E364" i="6" a="1"/>
  <c r="E364" i="6" s="1"/>
  <c r="BK364" i="6" a="1"/>
  <c r="BK364" i="6" s="1"/>
  <c r="BM364" i="6"/>
  <c r="B371" i="6" a="1"/>
  <c r="B371" i="6" s="1"/>
  <c r="C371" i="6" a="1"/>
  <c r="C371" i="6" s="1"/>
  <c r="F371" i="6"/>
  <c r="BL371" i="6" a="1"/>
  <c r="BL371" i="6" s="1"/>
  <c r="BM371" i="6"/>
  <c r="E371" i="6" a="1"/>
  <c r="E371" i="6" s="1"/>
  <c r="B365" i="6" a="1"/>
  <c r="B365" i="6" s="1"/>
  <c r="C365" i="6" a="1"/>
  <c r="C365" i="6" s="1"/>
  <c r="E365" i="6" a="1"/>
  <c r="E365" i="6" s="1"/>
  <c r="BK365" i="6" a="1"/>
  <c r="BK365" i="6" s="1"/>
  <c r="BL365" i="6" a="1"/>
  <c r="BL365" i="6" s="1"/>
  <c r="BM365" i="6"/>
  <c r="F365" i="6"/>
  <c r="BK363" i="6" a="1"/>
  <c r="BK363" i="6" s="1"/>
  <c r="BL363" i="6" a="1"/>
  <c r="BL363" i="6" s="1"/>
  <c r="BM363" i="6"/>
  <c r="B363" i="6" a="1"/>
  <c r="B363" i="6" s="1"/>
  <c r="C363" i="6" a="1"/>
  <c r="C363" i="6" s="1"/>
  <c r="E363" i="6" a="1"/>
  <c r="E363" i="6" s="1"/>
  <c r="G363" i="6" s="1"/>
  <c r="BK338" i="6" a="1"/>
  <c r="BK338" i="6" s="1"/>
  <c r="BL338" i="6" a="1"/>
  <c r="BL338" i="6" s="1"/>
  <c r="C338" i="6" a="1"/>
  <c r="C338" i="6" s="1"/>
  <c r="E338" i="6" a="1"/>
  <c r="E338" i="6" s="1"/>
  <c r="F338" i="6"/>
  <c r="B304" i="6" a="1"/>
  <c r="B304" i="6" s="1"/>
  <c r="C304" i="6" a="1"/>
  <c r="C304" i="6" s="1"/>
  <c r="BL304" i="6" a="1"/>
  <c r="BL304" i="6" s="1"/>
  <c r="BM304" i="6"/>
  <c r="B299" i="6" a="1"/>
  <c r="B299" i="6" s="1"/>
  <c r="C299" i="6" a="1"/>
  <c r="C299" i="6" s="1"/>
  <c r="BK299" i="6" a="1"/>
  <c r="BK299" i="6" s="1"/>
  <c r="BL299" i="6" a="1"/>
  <c r="BL299" i="6" s="1"/>
  <c r="BM299" i="6"/>
  <c r="C310" i="6" a="1"/>
  <c r="C310" i="6" s="1"/>
  <c r="E310" i="6" a="1"/>
  <c r="E310" i="6" s="1"/>
  <c r="BL310" i="6" a="1"/>
  <c r="BL310" i="6" s="1"/>
  <c r="BM310" i="6"/>
  <c r="E315" i="6" a="1"/>
  <c r="E315" i="6" s="1"/>
  <c r="F315" i="6"/>
  <c r="B345" i="6" a="1"/>
  <c r="B345" i="6" s="1"/>
  <c r="BK345" i="6" a="1"/>
  <c r="BK345" i="6" s="1"/>
  <c r="BL345" i="6" a="1"/>
  <c r="BL345" i="6" s="1"/>
  <c r="BL344" i="6" a="1"/>
  <c r="BL344" i="6" s="1"/>
  <c r="BM344" i="6"/>
  <c r="B344" i="6" a="1"/>
  <c r="B344" i="6" s="1"/>
  <c r="C344" i="6" a="1"/>
  <c r="C344" i="6" s="1"/>
  <c r="B310" i="6" a="1"/>
  <c r="B310" i="6" s="1"/>
  <c r="E353" i="6" a="1"/>
  <c r="E353" i="6" s="1"/>
  <c r="F353" i="6"/>
  <c r="B331" i="6" a="1"/>
  <c r="B331" i="6" s="1"/>
  <c r="BK331" i="6" a="1"/>
  <c r="BK331" i="6" s="1"/>
  <c r="BL331" i="6" a="1"/>
  <c r="BL331" i="6" s="1"/>
  <c r="B282" i="6" a="1"/>
  <c r="B282" i="6" s="1"/>
  <c r="C282" i="6" a="1"/>
  <c r="C282" i="6" s="1"/>
  <c r="BK282" i="6" a="1"/>
  <c r="BK282" i="6" s="1"/>
  <c r="BM355" i="6"/>
  <c r="B355" i="6" a="1"/>
  <c r="B355" i="6" s="1"/>
  <c r="C355" i="6" a="1"/>
  <c r="C355" i="6" s="1"/>
  <c r="BM349" i="6"/>
  <c r="B349" i="6" a="1"/>
  <c r="B349" i="6" s="1"/>
  <c r="C349" i="6" a="1"/>
  <c r="C349" i="6" s="1"/>
  <c r="F344" i="6"/>
  <c r="C353" i="6" a="1"/>
  <c r="C353" i="6" s="1"/>
  <c r="F282" i="6"/>
  <c r="E344" i="6" a="1"/>
  <c r="E344" i="6" s="1"/>
  <c r="F355" i="6"/>
  <c r="B353" i="6" a="1"/>
  <c r="B353" i="6" s="1"/>
  <c r="F349" i="6"/>
  <c r="B367" i="6" a="1"/>
  <c r="B367" i="6" s="1"/>
  <c r="F367" i="6"/>
  <c r="BK367" i="6" a="1"/>
  <c r="BK367" i="6" s="1"/>
  <c r="E282" i="6" a="1"/>
  <c r="E282" i="6" s="1"/>
  <c r="F320" i="6"/>
  <c r="BK320" i="6" a="1"/>
  <c r="BK320" i="6" s="1"/>
  <c r="E358" i="6" a="1"/>
  <c r="E358" i="6" s="1"/>
  <c r="F358" i="6"/>
  <c r="BL311" i="6" a="1"/>
  <c r="BL311" i="6" s="1"/>
  <c r="BM311" i="6"/>
  <c r="B311" i="6" a="1"/>
  <c r="B311" i="6" s="1"/>
  <c r="BM321" i="6"/>
  <c r="C342" i="6" a="1"/>
  <c r="C342" i="6" s="1"/>
  <c r="E342" i="6" a="1"/>
  <c r="E342" i="6" s="1"/>
  <c r="BM342" i="6"/>
  <c r="F340" i="6"/>
  <c r="BK340" i="6" a="1"/>
  <c r="BK340" i="6" s="1"/>
  <c r="BL340" i="6" a="1"/>
  <c r="BL340" i="6" s="1"/>
  <c r="BM315" i="6"/>
  <c r="C373" i="6" a="1"/>
  <c r="C373" i="6" s="1"/>
  <c r="F373" i="6"/>
  <c r="BK373" i="6" a="1"/>
  <c r="BK373" i="6" s="1"/>
  <c r="BL373" i="6" a="1"/>
  <c r="BL373" i="6" s="1"/>
  <c r="E311" i="6" a="1"/>
  <c r="E311" i="6" s="1"/>
  <c r="BK321" i="6" a="1"/>
  <c r="BK321" i="6" s="1"/>
  <c r="BK346" i="6" a="1"/>
  <c r="BK346" i="6" s="1"/>
  <c r="BM346" i="6"/>
  <c r="E321" i="6" a="1"/>
  <c r="E321" i="6" s="1"/>
  <c r="G321" i="6" s="1"/>
  <c r="BK315" i="6" a="1"/>
  <c r="BK315" i="6" s="1"/>
  <c r="BM345" i="6"/>
  <c r="B342" i="6" a="1"/>
  <c r="B342" i="6" s="1"/>
  <c r="BK351" i="6" a="1"/>
  <c r="BK351" i="6" s="1"/>
  <c r="BL351" i="6" a="1"/>
  <c r="BL351" i="6" s="1"/>
  <c r="B67" i="4" l="1"/>
  <c r="S182" i="7"/>
  <c r="X71" i="7"/>
  <c r="N29" i="4"/>
  <c r="L29" i="4"/>
  <c r="H29" i="4"/>
  <c r="AD168" i="7"/>
  <c r="P168" i="7"/>
  <c r="R168" i="7" s="1"/>
  <c r="T182" i="7"/>
  <c r="X105" i="7"/>
  <c r="R29" i="4"/>
  <c r="R156" i="7"/>
  <c r="T42" i="7"/>
  <c r="S42" i="7"/>
  <c r="X42" i="7" s="1"/>
  <c r="Q171" i="7"/>
  <c r="T29" i="4"/>
  <c r="BB29" i="4"/>
  <c r="X125" i="7"/>
  <c r="R45" i="7"/>
  <c r="Q29" i="4"/>
  <c r="R234" i="7"/>
  <c r="S22" i="7"/>
  <c r="V42" i="7"/>
  <c r="M30" i="4"/>
  <c r="AQ29" i="4"/>
  <c r="P42" i="7"/>
  <c r="R42" i="7" s="1"/>
  <c r="K29" i="4"/>
  <c r="AR29" i="4"/>
  <c r="T168" i="7"/>
  <c r="AP29" i="4"/>
  <c r="U42" i="7"/>
  <c r="AD185" i="7"/>
  <c r="P82" i="7"/>
  <c r="R82" i="7" s="1"/>
  <c r="J29" i="4"/>
  <c r="U141" i="7"/>
  <c r="R124" i="7"/>
  <c r="AF29" i="4"/>
  <c r="AY29" i="4"/>
  <c r="X202" i="7"/>
  <c r="R111" i="7"/>
  <c r="I29" i="4"/>
  <c r="M29" i="4"/>
  <c r="Y30" i="4"/>
  <c r="N30" i="4"/>
  <c r="Q30" i="4"/>
  <c r="AU30" i="4"/>
  <c r="AS30" i="4"/>
  <c r="AX30" i="4"/>
  <c r="R30" i="4"/>
  <c r="R181" i="7"/>
  <c r="V185" i="7"/>
  <c r="C67" i="4"/>
  <c r="B25" i="4"/>
  <c r="BA30" i="4"/>
  <c r="AG30" i="4"/>
  <c r="G30" i="4"/>
  <c r="AV30" i="4"/>
  <c r="AT30" i="4"/>
  <c r="C28" i="4"/>
  <c r="B28" i="4"/>
  <c r="AQ30" i="4"/>
  <c r="K30" i="4"/>
  <c r="AR30" i="4"/>
  <c r="L30" i="4"/>
  <c r="B41" i="4"/>
  <c r="C41" i="4"/>
  <c r="AP30" i="4"/>
  <c r="BB30" i="4"/>
  <c r="AW30" i="4"/>
  <c r="AY30" i="4"/>
  <c r="AZ30" i="4"/>
  <c r="BC30" i="4"/>
  <c r="E30" i="4"/>
  <c r="B30" i="4"/>
  <c r="C30" i="4"/>
  <c r="AM30" i="4"/>
  <c r="AL30" i="4"/>
  <c r="AK30" i="4"/>
  <c r="AJ30" i="4"/>
  <c r="P30" i="4"/>
  <c r="D30" i="4"/>
  <c r="AI30" i="4"/>
  <c r="AH30" i="4"/>
  <c r="O30" i="4"/>
  <c r="T30" i="4"/>
  <c r="AE30" i="4"/>
  <c r="AB30" i="4"/>
  <c r="Z30" i="4"/>
  <c r="AF30" i="4"/>
  <c r="U30" i="4"/>
  <c r="C25" i="4"/>
  <c r="V30" i="4"/>
  <c r="AC30" i="4"/>
  <c r="AL43" i="4"/>
  <c r="AD30" i="4"/>
  <c r="AA30" i="4"/>
  <c r="F30" i="4"/>
  <c r="W30" i="4"/>
  <c r="S30" i="4"/>
  <c r="X30" i="4"/>
  <c r="B43" i="4"/>
  <c r="AH43" i="4"/>
  <c r="C43" i="4"/>
  <c r="AI43" i="4"/>
  <c r="AJ43" i="4"/>
  <c r="AU43" i="4"/>
  <c r="AB43" i="4"/>
  <c r="AC43" i="4"/>
  <c r="AD43" i="4"/>
  <c r="X43" i="4"/>
  <c r="AE41" i="4"/>
  <c r="AF41" i="4"/>
  <c r="AG41" i="4"/>
  <c r="AH41" i="4"/>
  <c r="AI41" i="4"/>
  <c r="D41" i="4"/>
  <c r="AJ41" i="4"/>
  <c r="E41" i="4"/>
  <c r="AK41" i="4"/>
  <c r="G41" i="4"/>
  <c r="AM41" i="4"/>
  <c r="H41" i="4"/>
  <c r="AN41" i="4"/>
  <c r="I41" i="4"/>
  <c r="AO41" i="4"/>
  <c r="M41" i="4"/>
  <c r="AS41" i="4"/>
  <c r="W41" i="4"/>
  <c r="BC41" i="4"/>
  <c r="AR41" i="4"/>
  <c r="AT41" i="4"/>
  <c r="AU41" i="4"/>
  <c r="AV41" i="4"/>
  <c r="AW41" i="4"/>
  <c r="AX41" i="4"/>
  <c r="AY41" i="4"/>
  <c r="AZ41" i="4"/>
  <c r="BA41" i="4"/>
  <c r="J41" i="4"/>
  <c r="O41" i="4"/>
  <c r="T41" i="4"/>
  <c r="U41" i="4"/>
  <c r="V41" i="4"/>
  <c r="X41" i="4"/>
  <c r="Y41" i="4"/>
  <c r="BB41" i="4"/>
  <c r="Z41" i="4"/>
  <c r="AA41" i="4"/>
  <c r="AB41" i="4"/>
  <c r="AD41" i="4"/>
  <c r="AC41" i="4"/>
  <c r="AL41" i="4"/>
  <c r="AP41" i="4"/>
  <c r="AQ41" i="4"/>
  <c r="F41" i="4"/>
  <c r="N41" i="4"/>
  <c r="P41" i="4"/>
  <c r="L41" i="4"/>
  <c r="K41" i="4"/>
  <c r="R41" i="4"/>
  <c r="S41" i="4"/>
  <c r="Q41" i="4"/>
  <c r="K23" i="4"/>
  <c r="AQ23" i="4"/>
  <c r="L23" i="4"/>
  <c r="AR23" i="4"/>
  <c r="M23" i="4"/>
  <c r="AS23" i="4"/>
  <c r="N23" i="4"/>
  <c r="AT23" i="4"/>
  <c r="O23" i="4"/>
  <c r="AU23" i="4"/>
  <c r="P23" i="4"/>
  <c r="AV23" i="4"/>
  <c r="Q23" i="4"/>
  <c r="AW23" i="4"/>
  <c r="S23" i="4"/>
  <c r="AY23" i="4"/>
  <c r="T23" i="4"/>
  <c r="AZ23" i="4"/>
  <c r="E23" i="4"/>
  <c r="BC23" i="4"/>
  <c r="G23" i="4"/>
  <c r="H23" i="4"/>
  <c r="I23" i="4"/>
  <c r="J23" i="4"/>
  <c r="R23" i="4"/>
  <c r="U23" i="4"/>
  <c r="V23" i="4"/>
  <c r="X23" i="4"/>
  <c r="AB23" i="4"/>
  <c r="BB23" i="4"/>
  <c r="AE23" i="4"/>
  <c r="AA23" i="4"/>
  <c r="AG23" i="4"/>
  <c r="D23" i="4"/>
  <c r="W23" i="4"/>
  <c r="F23" i="4"/>
  <c r="Y23" i="4"/>
  <c r="AF23" i="4"/>
  <c r="Z23" i="4"/>
  <c r="AC23" i="4"/>
  <c r="AD23" i="4"/>
  <c r="AK23" i="4"/>
  <c r="AH23" i="4"/>
  <c r="AI23" i="4"/>
  <c r="AP23" i="4"/>
  <c r="AO23" i="4"/>
  <c r="AJ23" i="4"/>
  <c r="AL23" i="4"/>
  <c r="AN23" i="4"/>
  <c r="BA23" i="4"/>
  <c r="AM23" i="4"/>
  <c r="AX23" i="4"/>
  <c r="O27" i="4"/>
  <c r="AU27" i="4"/>
  <c r="P27" i="4"/>
  <c r="AV27" i="4"/>
  <c r="Q27" i="4"/>
  <c r="AW27" i="4"/>
  <c r="R27" i="4"/>
  <c r="AX27" i="4"/>
  <c r="S27" i="4"/>
  <c r="AY27" i="4"/>
  <c r="T27" i="4"/>
  <c r="AZ27" i="4"/>
  <c r="U27" i="4"/>
  <c r="BA27" i="4"/>
  <c r="W27" i="4"/>
  <c r="BC27" i="4"/>
  <c r="X27" i="4"/>
  <c r="Y27" i="4"/>
  <c r="AC27" i="4"/>
  <c r="G27" i="4"/>
  <c r="AM27" i="4"/>
  <c r="AB27" i="4"/>
  <c r="AD27" i="4"/>
  <c r="AE27" i="4"/>
  <c r="AF27" i="4"/>
  <c r="AG27" i="4"/>
  <c r="AH27" i="4"/>
  <c r="AI27" i="4"/>
  <c r="AJ27" i="4"/>
  <c r="AK27" i="4"/>
  <c r="AN27" i="4"/>
  <c r="AR27" i="4"/>
  <c r="D27" i="4"/>
  <c r="Z27" i="4"/>
  <c r="E27" i="4"/>
  <c r="V27" i="4"/>
  <c r="F27" i="4"/>
  <c r="H27" i="4"/>
  <c r="I27" i="4"/>
  <c r="J27" i="4"/>
  <c r="K27" i="4"/>
  <c r="L27" i="4"/>
  <c r="M27" i="4"/>
  <c r="N27" i="4"/>
  <c r="AP27" i="4"/>
  <c r="AA27" i="4"/>
  <c r="AL27" i="4"/>
  <c r="AO27" i="4"/>
  <c r="AQ27" i="4"/>
  <c r="AS27" i="4"/>
  <c r="AT27" i="4"/>
  <c r="BB27" i="4"/>
  <c r="Y21" i="4"/>
  <c r="Z21" i="4"/>
  <c r="AA21" i="4"/>
  <c r="AB21" i="4"/>
  <c r="AD21" i="4"/>
  <c r="AE21" i="4"/>
  <c r="AG21" i="4"/>
  <c r="AH21" i="4"/>
  <c r="I21" i="4"/>
  <c r="AW21" i="4"/>
  <c r="K21" i="4"/>
  <c r="AY21" i="4"/>
  <c r="L21" i="4"/>
  <c r="AZ21" i="4"/>
  <c r="M21" i="4"/>
  <c r="BA21" i="4"/>
  <c r="O21" i="4"/>
  <c r="BC21" i="4"/>
  <c r="P21" i="4"/>
  <c r="Q21" i="4"/>
  <c r="S21" i="4"/>
  <c r="W21" i="4"/>
  <c r="AS21" i="4"/>
  <c r="AT21" i="4"/>
  <c r="AU21" i="4"/>
  <c r="AV21" i="4"/>
  <c r="AX21" i="4"/>
  <c r="BB21" i="4"/>
  <c r="D21" i="4"/>
  <c r="J21" i="4"/>
  <c r="R21" i="4"/>
  <c r="X21" i="4"/>
  <c r="E21" i="4"/>
  <c r="F21" i="4"/>
  <c r="H21" i="4"/>
  <c r="V21" i="4"/>
  <c r="G21" i="4"/>
  <c r="N21" i="4"/>
  <c r="T21" i="4"/>
  <c r="U21" i="4"/>
  <c r="AM21" i="4"/>
  <c r="AC21" i="4"/>
  <c r="AL21" i="4"/>
  <c r="AO21" i="4"/>
  <c r="AF21" i="4"/>
  <c r="AQ21" i="4"/>
  <c r="AI21" i="4"/>
  <c r="AJ21" i="4"/>
  <c r="AK21" i="4"/>
  <c r="AR21" i="4"/>
  <c r="AN21" i="4"/>
  <c r="AP21" i="4"/>
  <c r="R22" i="4"/>
  <c r="AX22" i="4"/>
  <c r="S22" i="4"/>
  <c r="AY22" i="4"/>
  <c r="T22" i="4"/>
  <c r="AZ22" i="4"/>
  <c r="U22" i="4"/>
  <c r="BA22" i="4"/>
  <c r="W22" i="4"/>
  <c r="BC22" i="4"/>
  <c r="X22" i="4"/>
  <c r="Z22" i="4"/>
  <c r="AA22" i="4"/>
  <c r="J22" i="4"/>
  <c r="BB22" i="4"/>
  <c r="L22" i="4"/>
  <c r="M22" i="4"/>
  <c r="N22" i="4"/>
  <c r="P22" i="4"/>
  <c r="Q22" i="4"/>
  <c r="V22" i="4"/>
  <c r="AB22" i="4"/>
  <c r="AF22" i="4"/>
  <c r="AG22" i="4"/>
  <c r="AH22" i="4"/>
  <c r="AI22" i="4"/>
  <c r="AJ22" i="4"/>
  <c r="AK22" i="4"/>
  <c r="AL22" i="4"/>
  <c r="AM22" i="4"/>
  <c r="AN22" i="4"/>
  <c r="AP22" i="4"/>
  <c r="AV22" i="4"/>
  <c r="AO22" i="4"/>
  <c r="AQ22" i="4"/>
  <c r="AS22" i="4"/>
  <c r="AR22" i="4"/>
  <c r="AT22" i="4"/>
  <c r="AU22" i="4"/>
  <c r="AW22" i="4"/>
  <c r="K22" i="4"/>
  <c r="D22" i="4"/>
  <c r="I22" i="4"/>
  <c r="E22" i="4"/>
  <c r="F22" i="4"/>
  <c r="H22" i="4"/>
  <c r="O22" i="4"/>
  <c r="G22" i="4"/>
  <c r="Y22" i="4"/>
  <c r="AC22" i="4"/>
  <c r="AD22" i="4"/>
  <c r="AE22" i="4"/>
  <c r="V26" i="4"/>
  <c r="BB26" i="4"/>
  <c r="W26" i="4"/>
  <c r="BC26" i="4"/>
  <c r="X26" i="4"/>
  <c r="Y26" i="4"/>
  <c r="Z26" i="4"/>
  <c r="AA26" i="4"/>
  <c r="AB26" i="4"/>
  <c r="AD26" i="4"/>
  <c r="AE26" i="4"/>
  <c r="AF26" i="4"/>
  <c r="D26" i="4"/>
  <c r="AJ26" i="4"/>
  <c r="N26" i="4"/>
  <c r="AT26" i="4"/>
  <c r="L26" i="4"/>
  <c r="M26" i="4"/>
  <c r="O26" i="4"/>
  <c r="P26" i="4"/>
  <c r="Q26" i="4"/>
  <c r="R26" i="4"/>
  <c r="S26" i="4"/>
  <c r="T26" i="4"/>
  <c r="U26" i="4"/>
  <c r="AG26" i="4"/>
  <c r="AL26" i="4"/>
  <c r="E26" i="4"/>
  <c r="F26" i="4"/>
  <c r="G26" i="4"/>
  <c r="H26" i="4"/>
  <c r="I26" i="4"/>
  <c r="J26" i="4"/>
  <c r="K26" i="4"/>
  <c r="AK26" i="4"/>
  <c r="AC26" i="4"/>
  <c r="AH26" i="4"/>
  <c r="AI26" i="4"/>
  <c r="AR26" i="4"/>
  <c r="AM26" i="4"/>
  <c r="AN26" i="4"/>
  <c r="AO26" i="4"/>
  <c r="AP26" i="4"/>
  <c r="AQ26" i="4"/>
  <c r="AX26" i="4"/>
  <c r="AS26" i="4"/>
  <c r="AZ26" i="4"/>
  <c r="AU26" i="4"/>
  <c r="AV26" i="4"/>
  <c r="AW26" i="4"/>
  <c r="AY26" i="4"/>
  <c r="BA26" i="4"/>
  <c r="D24" i="4"/>
  <c r="AJ24" i="4"/>
  <c r="E24" i="4"/>
  <c r="AK24" i="4"/>
  <c r="F24" i="4"/>
  <c r="AL24" i="4"/>
  <c r="G24" i="4"/>
  <c r="AM24" i="4"/>
  <c r="I24" i="4"/>
  <c r="AO24" i="4"/>
  <c r="J24" i="4"/>
  <c r="AP24" i="4"/>
  <c r="L24" i="4"/>
  <c r="AR24" i="4"/>
  <c r="M24" i="4"/>
  <c r="AS24" i="4"/>
  <c r="AW24" i="4"/>
  <c r="AY24" i="4"/>
  <c r="H24" i="4"/>
  <c r="AZ24" i="4"/>
  <c r="K24" i="4"/>
  <c r="BA24" i="4"/>
  <c r="N24" i="4"/>
  <c r="BB24" i="4"/>
  <c r="O24" i="4"/>
  <c r="BC24" i="4"/>
  <c r="P24" i="4"/>
  <c r="Q24" i="4"/>
  <c r="S24" i="4"/>
  <c r="W24" i="4"/>
  <c r="U24" i="4"/>
  <c r="V24" i="4"/>
  <c r="X24" i="4"/>
  <c r="Y24" i="4"/>
  <c r="Z24" i="4"/>
  <c r="AA24" i="4"/>
  <c r="AB24" i="4"/>
  <c r="AC24" i="4"/>
  <c r="AE24" i="4"/>
  <c r="AX24" i="4"/>
  <c r="AD24" i="4"/>
  <c r="AI24" i="4"/>
  <c r="AV24" i="4"/>
  <c r="AF24" i="4"/>
  <c r="AH24" i="4"/>
  <c r="AG24" i="4"/>
  <c r="AN24" i="4"/>
  <c r="AQ24" i="4"/>
  <c r="AT24" i="4"/>
  <c r="AU24" i="4"/>
  <c r="R24" i="4"/>
  <c r="T24" i="4"/>
  <c r="H28" i="4"/>
  <c r="AN28" i="4"/>
  <c r="I28" i="4"/>
  <c r="AO28" i="4"/>
  <c r="J28" i="4"/>
  <c r="AP28" i="4"/>
  <c r="K28" i="4"/>
  <c r="AQ28" i="4"/>
  <c r="L28" i="4"/>
  <c r="AR28" i="4"/>
  <c r="M28" i="4"/>
  <c r="AS28" i="4"/>
  <c r="N28" i="4"/>
  <c r="AT28" i="4"/>
  <c r="P28" i="4"/>
  <c r="AV28" i="4"/>
  <c r="Q28" i="4"/>
  <c r="AW28" i="4"/>
  <c r="R28" i="4"/>
  <c r="AX28" i="4"/>
  <c r="V28" i="4"/>
  <c r="BB28" i="4"/>
  <c r="AF28" i="4"/>
  <c r="AI28" i="4"/>
  <c r="AJ28" i="4"/>
  <c r="AK28" i="4"/>
  <c r="AL28" i="4"/>
  <c r="AM28" i="4"/>
  <c r="AU28" i="4"/>
  <c r="AY28" i="4"/>
  <c r="AZ28" i="4"/>
  <c r="BA28" i="4"/>
  <c r="E28" i="4"/>
  <c r="AG28" i="4"/>
  <c r="AH28" i="4"/>
  <c r="BC28" i="4"/>
  <c r="S28" i="4"/>
  <c r="O28" i="4"/>
  <c r="D28" i="4"/>
  <c r="F28" i="4"/>
  <c r="G28" i="4"/>
  <c r="X28" i="4"/>
  <c r="Z28" i="4"/>
  <c r="AA28" i="4"/>
  <c r="AB28" i="4"/>
  <c r="AC28" i="4"/>
  <c r="AD28" i="4"/>
  <c r="AE28" i="4"/>
  <c r="W28" i="4"/>
  <c r="T28" i="4"/>
  <c r="Y28" i="4"/>
  <c r="U28" i="4"/>
  <c r="R90" i="7"/>
  <c r="F19" i="6"/>
  <c r="BM20" i="6"/>
  <c r="C19" i="6"/>
  <c r="E325" i="6"/>
  <c r="G325" i="6" s="1"/>
  <c r="E343" i="6"/>
  <c r="G343" i="6" s="1"/>
  <c r="F343" i="6"/>
  <c r="E280" i="6"/>
  <c r="G280" i="6" s="1"/>
  <c r="E334" i="6"/>
  <c r="G334" i="6" s="1"/>
  <c r="F289" i="6"/>
  <c r="F325" i="6"/>
  <c r="F298" i="6"/>
  <c r="F307" i="6"/>
  <c r="F361" i="6"/>
  <c r="F352" i="6"/>
  <c r="F316" i="6"/>
  <c r="E316" i="6"/>
  <c r="G316" i="6" s="1"/>
  <c r="E370" i="6"/>
  <c r="G370" i="6" s="1"/>
  <c r="F280" i="6"/>
  <c r="F334" i="6"/>
  <c r="E298" i="6"/>
  <c r="G298" i="6" s="1"/>
  <c r="E307" i="6"/>
  <c r="G307" i="6" s="1"/>
  <c r="E289" i="6"/>
  <c r="G289" i="6" s="1"/>
  <c r="E352" i="6"/>
  <c r="G352" i="6" s="1"/>
  <c r="F370" i="6"/>
  <c r="E361" i="6"/>
  <c r="G361" i="6" s="1"/>
  <c r="R72" i="7"/>
  <c r="R15" i="7"/>
  <c r="R119" i="7"/>
  <c r="R12" i="7"/>
  <c r="R170" i="7"/>
  <c r="U17" i="7"/>
  <c r="R20" i="7"/>
  <c r="R91" i="7"/>
  <c r="R21" i="7"/>
  <c r="X235" i="7"/>
  <c r="X170" i="7"/>
  <c r="X144" i="7"/>
  <c r="S230" i="7"/>
  <c r="R18" i="7"/>
  <c r="R123" i="7"/>
  <c r="X119" i="7"/>
  <c r="R95" i="7"/>
  <c r="R148" i="7"/>
  <c r="X213" i="7"/>
  <c r="S151" i="7"/>
  <c r="X151" i="7" s="1"/>
  <c r="R214" i="7"/>
  <c r="T17" i="7"/>
  <c r="R77" i="7"/>
  <c r="V82" i="7"/>
  <c r="W42" i="7"/>
  <c r="V151" i="7"/>
  <c r="U231" i="7"/>
  <c r="V231" i="7"/>
  <c r="G283" i="6"/>
  <c r="R60" i="7"/>
  <c r="R56" i="7"/>
  <c r="G299" i="6"/>
  <c r="R110" i="7"/>
  <c r="R50" i="7"/>
  <c r="G301" i="6"/>
  <c r="G326" i="6"/>
  <c r="R131" i="7"/>
  <c r="G378" i="6"/>
  <c r="R39" i="7"/>
  <c r="G342" i="6"/>
  <c r="R172" i="7"/>
  <c r="R57" i="7"/>
  <c r="R31" i="7"/>
  <c r="R159" i="7"/>
  <c r="X173" i="7"/>
  <c r="X172" i="7"/>
  <c r="R108" i="7"/>
  <c r="R139" i="7"/>
  <c r="R73" i="7"/>
  <c r="R211" i="7"/>
  <c r="T164" i="7"/>
  <c r="T215" i="7"/>
  <c r="P188" i="7"/>
  <c r="X69" i="7"/>
  <c r="BI269" i="6" a="1"/>
  <c r="BI269" i="6" s="1"/>
  <c r="BL269" i="6" s="1" a="1"/>
  <c r="BL269" i="6" s="1"/>
  <c r="X15" i="7"/>
  <c r="BI270" i="6" a="1"/>
  <c r="BI270" i="6" s="1"/>
  <c r="C270" i="6" s="1" a="1"/>
  <c r="C270" i="6" s="1"/>
  <c r="BM270" i="6" s="1"/>
  <c r="X226" i="7"/>
  <c r="X32" i="7"/>
  <c r="BI254" i="6" a="1"/>
  <c r="BI254" i="6" s="1"/>
  <c r="B254" i="6" s="1" a="1"/>
  <c r="B254" i="6" s="1"/>
  <c r="B253" i="6" s="1"/>
  <c r="X148" i="7"/>
  <c r="X98" i="7"/>
  <c r="V67" i="7"/>
  <c r="R100" i="7"/>
  <c r="BI240" i="6" a="1"/>
  <c r="BI240" i="6" s="1"/>
  <c r="C240" i="6" s="1" a="1"/>
  <c r="C240" i="6" s="1"/>
  <c r="BM240" i="6" s="1"/>
  <c r="W215" i="7"/>
  <c r="W118" i="7"/>
  <c r="W117" i="7" s="1"/>
  <c r="V222" i="7"/>
  <c r="V218" i="7" s="1"/>
  <c r="V215" i="7"/>
  <c r="X215" i="7" s="1"/>
  <c r="BI225" i="6" a="1"/>
  <c r="BI225" i="6" s="1"/>
  <c r="C225" i="6" s="1" a="1"/>
  <c r="C225" i="6" s="1"/>
  <c r="BM225" i="6" s="1"/>
  <c r="X206" i="7"/>
  <c r="X196" i="7"/>
  <c r="Y196" i="7" s="1"/>
  <c r="X108" i="7"/>
  <c r="X129" i="7"/>
  <c r="X87" i="7"/>
  <c r="S187" i="7"/>
  <c r="U145" i="7"/>
  <c r="BI238" i="6" a="1"/>
  <c r="BI238" i="6" s="1"/>
  <c r="BK238" i="6" s="1" a="1"/>
  <c r="BK238" i="6" s="1"/>
  <c r="R69" i="7"/>
  <c r="T185" i="7"/>
  <c r="X185" i="7" s="1"/>
  <c r="AD82" i="7"/>
  <c r="V200" i="7"/>
  <c r="V103" i="7"/>
  <c r="X72" i="7"/>
  <c r="BI165" i="6" a="1"/>
  <c r="BI165" i="6" s="1"/>
  <c r="BK165" i="6" s="1" a="1"/>
  <c r="BK165" i="6" s="1"/>
  <c r="BI219" i="6" a="1"/>
  <c r="BI219" i="6" s="1"/>
  <c r="F219" i="6" s="1"/>
  <c r="U222" i="7"/>
  <c r="U218" i="7" s="1"/>
  <c r="T187" i="7"/>
  <c r="V141" i="7"/>
  <c r="X141" i="7" s="1"/>
  <c r="P215" i="7"/>
  <c r="R215" i="7" s="1"/>
  <c r="AD215" i="7"/>
  <c r="BI80" i="6" a="1"/>
  <c r="BI80" i="6" s="1"/>
  <c r="F80" i="6" s="1"/>
  <c r="T169" i="7"/>
  <c r="T166" i="7" s="1"/>
  <c r="X176" i="7"/>
  <c r="X160" i="7"/>
  <c r="V182" i="7"/>
  <c r="BI153" i="6" a="1"/>
  <c r="BI153" i="6" s="1"/>
  <c r="BK153" i="6" s="1" a="1"/>
  <c r="BK153" i="6" s="1"/>
  <c r="BI252" i="6" a="1"/>
  <c r="BI252" i="6" s="1"/>
  <c r="BL252" i="6" s="1" a="1"/>
  <c r="BL252" i="6" s="1"/>
  <c r="W182" i="7"/>
  <c r="V188" i="7"/>
  <c r="G345" i="6"/>
  <c r="BI108" i="6" a="1"/>
  <c r="BI108" i="6" s="1"/>
  <c r="C108" i="6" s="1" a="1"/>
  <c r="C108" i="6" s="1"/>
  <c r="BM108" i="6" s="1"/>
  <c r="BI117" i="6" a="1"/>
  <c r="BI117" i="6" s="1"/>
  <c r="BK117" i="6" s="1" a="1"/>
  <c r="BK117" i="6" s="1"/>
  <c r="BI261" i="6" a="1"/>
  <c r="BI261" i="6" s="1"/>
  <c r="C261" i="6" s="1" a="1"/>
  <c r="C261" i="6" s="1"/>
  <c r="BM261" i="6" s="1"/>
  <c r="BI250" i="6" a="1"/>
  <c r="BI250" i="6" s="1"/>
  <c r="B250" i="6" s="1" a="1"/>
  <c r="B250" i="6" s="1"/>
  <c r="R46" i="7"/>
  <c r="R161" i="7"/>
  <c r="W76" i="7"/>
  <c r="BI166" i="6" a="1"/>
  <c r="BI166" i="6" s="1"/>
  <c r="B166" i="6" s="1" a="1"/>
  <c r="B166" i="6" s="1"/>
  <c r="BI111" i="6" a="1"/>
  <c r="BI111" i="6" s="1"/>
  <c r="B111" i="6" s="1" a="1"/>
  <c r="B111" i="6" s="1"/>
  <c r="BI164" i="6" a="1"/>
  <c r="BI164" i="6" s="1"/>
  <c r="B164" i="6" s="1" a="1"/>
  <c r="B164" i="6" s="1"/>
  <c r="B163" i="6" s="1"/>
  <c r="BI125" i="6" a="1"/>
  <c r="BI125" i="6" s="1"/>
  <c r="B125" i="6" s="1" a="1"/>
  <c r="B125" i="6" s="1"/>
  <c r="BI231" i="6" a="1"/>
  <c r="BI231" i="6" s="1"/>
  <c r="B231" i="6" s="1" a="1"/>
  <c r="B231" i="6" s="1"/>
  <c r="S215" i="7"/>
  <c r="W183" i="7"/>
  <c r="W180" i="7" s="1"/>
  <c r="R47" i="7"/>
  <c r="V17" i="7"/>
  <c r="X17" i="7" s="1"/>
  <c r="X6" i="7"/>
  <c r="X5" i="7" s="1"/>
  <c r="R165" i="7"/>
  <c r="BI96" i="6" a="1"/>
  <c r="BI96" i="6" s="1"/>
  <c r="B96" i="6" s="1" a="1"/>
  <c r="B96" i="6" s="1"/>
  <c r="BI78" i="6" a="1"/>
  <c r="BI78" i="6" s="1"/>
  <c r="F78" i="6" s="1"/>
  <c r="BI151" i="6" a="1"/>
  <c r="BI151" i="6" s="1"/>
  <c r="BL151" i="6" s="1" a="1"/>
  <c r="BL151" i="6" s="1"/>
  <c r="BI242" i="6" a="1"/>
  <c r="BI242" i="6" s="1"/>
  <c r="BL242" i="6" s="1" a="1"/>
  <c r="BL242" i="6" s="1"/>
  <c r="V94" i="7"/>
  <c r="X56" i="7"/>
  <c r="BI157" i="6" a="1"/>
  <c r="BI157" i="6" s="1"/>
  <c r="C157" i="6" s="1" a="1"/>
  <c r="C157" i="6" s="1"/>
  <c r="BM157" i="6" s="1"/>
  <c r="BI50" i="6" a="1"/>
  <c r="BI50" i="6" s="1"/>
  <c r="B50" i="6" s="1" a="1"/>
  <c r="B50" i="6" s="1"/>
  <c r="BI177" i="6" a="1"/>
  <c r="BI177" i="6" s="1"/>
  <c r="C177" i="6" s="1" a="1"/>
  <c r="C177" i="6" s="1"/>
  <c r="BM177" i="6" s="1"/>
  <c r="BI149" i="6" a="1"/>
  <c r="BI149" i="6" s="1"/>
  <c r="B149" i="6" s="1" a="1"/>
  <c r="B149" i="6" s="1"/>
  <c r="BI247" i="6" a="1"/>
  <c r="BI247" i="6" s="1"/>
  <c r="BL247" i="6" s="1" a="1"/>
  <c r="BL247" i="6" s="1"/>
  <c r="X51" i="7"/>
  <c r="X109" i="7"/>
  <c r="W231" i="7"/>
  <c r="BI116" i="6" a="1"/>
  <c r="BI116" i="6" s="1"/>
  <c r="BK116" i="6" s="1" a="1"/>
  <c r="BK116" i="6" s="1"/>
  <c r="BI122" i="6" a="1"/>
  <c r="BI122" i="6" s="1"/>
  <c r="BL122" i="6" s="1" a="1"/>
  <c r="BL122" i="6" s="1"/>
  <c r="BI180" i="6" a="1"/>
  <c r="BI180" i="6" s="1"/>
  <c r="E180" i="6" s="1" a="1"/>
  <c r="E180" i="6" s="1"/>
  <c r="BI221" i="6" a="1"/>
  <c r="BI221" i="6" s="1"/>
  <c r="BK221" i="6" s="1" a="1"/>
  <c r="BK221" i="6" s="1"/>
  <c r="BI239" i="6" a="1"/>
  <c r="BI239" i="6" s="1"/>
  <c r="BL239" i="6" s="1" a="1"/>
  <c r="BL239" i="6" s="1"/>
  <c r="X110" i="7"/>
  <c r="S82" i="7"/>
  <c r="R58" i="7"/>
  <c r="BI135" i="6" a="1"/>
  <c r="BI135" i="6" s="1"/>
  <c r="C135" i="6" s="1" a="1"/>
  <c r="C135" i="6" s="1"/>
  <c r="BM135" i="6" s="1"/>
  <c r="BI113" i="6" a="1"/>
  <c r="BI113" i="6" s="1"/>
  <c r="B113" i="6" s="1" a="1"/>
  <c r="B113" i="6" s="1"/>
  <c r="BI206" i="6" a="1"/>
  <c r="BI206" i="6" s="1"/>
  <c r="BL206" i="6" s="1" a="1"/>
  <c r="BL206" i="6" s="1"/>
  <c r="BI224" i="6" a="1"/>
  <c r="BI224" i="6" s="1"/>
  <c r="BL224" i="6" s="1" a="1"/>
  <c r="BL224" i="6" s="1"/>
  <c r="BI267" i="6" a="1"/>
  <c r="BI267" i="6" s="1"/>
  <c r="B267" i="6" s="1" a="1"/>
  <c r="B267" i="6" s="1"/>
  <c r="G331" i="6"/>
  <c r="BI126" i="6" a="1"/>
  <c r="BI126" i="6" s="1"/>
  <c r="E126" i="6" s="1" a="1"/>
  <c r="E126" i="6" s="1"/>
  <c r="BI48" i="6" a="1"/>
  <c r="BI48" i="6" s="1"/>
  <c r="F48" i="6" s="1"/>
  <c r="BI152" i="6" a="1"/>
  <c r="BI152" i="6" s="1"/>
  <c r="BL152" i="6" s="1" a="1"/>
  <c r="BL152" i="6" s="1"/>
  <c r="BI183" i="6" a="1"/>
  <c r="BI183" i="6" s="1"/>
  <c r="BK183" i="6" s="1" a="1"/>
  <c r="BK183" i="6" s="1"/>
  <c r="BI220" i="6" a="1"/>
  <c r="BI220" i="6" s="1"/>
  <c r="BL220" i="6" s="1" a="1"/>
  <c r="BL220" i="6" s="1"/>
  <c r="R140" i="7"/>
  <c r="T175" i="7"/>
  <c r="T171" i="7" s="1"/>
  <c r="X114" i="7"/>
  <c r="Y114" i="7" s="1"/>
  <c r="X113" i="7"/>
  <c r="Y113" i="7" s="1"/>
  <c r="G287" i="6"/>
  <c r="R143" i="7"/>
  <c r="G340" i="6"/>
  <c r="R204" i="7"/>
  <c r="G304" i="6"/>
  <c r="G364" i="6"/>
  <c r="R127" i="7"/>
  <c r="G312" i="6"/>
  <c r="G290" i="6"/>
  <c r="G327" i="6"/>
  <c r="V153" i="7"/>
  <c r="G351" i="6"/>
  <c r="G308" i="6"/>
  <c r="G373" i="6"/>
  <c r="G344" i="6"/>
  <c r="G311" i="6"/>
  <c r="T177" i="7"/>
  <c r="V177" i="7"/>
  <c r="G313" i="6"/>
  <c r="Q126" i="7"/>
  <c r="R120" i="7"/>
  <c r="G305" i="6"/>
  <c r="G288" i="6"/>
  <c r="R37" i="7"/>
  <c r="G360" i="6"/>
  <c r="G285" i="6"/>
  <c r="G310" i="6"/>
  <c r="G329" i="6"/>
  <c r="G297" i="6"/>
  <c r="G303" i="6"/>
  <c r="R102" i="7"/>
  <c r="R160" i="7"/>
  <c r="R80" i="7"/>
  <c r="R70" i="7"/>
  <c r="R10" i="7"/>
  <c r="Q7" i="7"/>
  <c r="AB180" i="7"/>
  <c r="Q25" i="7"/>
  <c r="Q157" i="7"/>
  <c r="Q76" i="7"/>
  <c r="Q117" i="7"/>
  <c r="R162" i="7"/>
  <c r="Q180" i="7"/>
  <c r="R185" i="7"/>
  <c r="X220" i="7"/>
  <c r="X199" i="7"/>
  <c r="X194" i="7"/>
  <c r="Q16" i="7"/>
  <c r="X55" i="7"/>
  <c r="X228" i="7"/>
  <c r="X190" i="7"/>
  <c r="X140" i="7"/>
  <c r="X13" i="7"/>
  <c r="X198" i="7"/>
  <c r="S11" i="7"/>
  <c r="S7" i="7" s="1"/>
  <c r="V164" i="7"/>
  <c r="V126" i="7"/>
  <c r="X201" i="7"/>
  <c r="X62" i="7"/>
  <c r="X57" i="7"/>
  <c r="V117" i="7"/>
  <c r="U86" i="7"/>
  <c r="U85" i="7" s="1"/>
  <c r="T22" i="7"/>
  <c r="X165" i="7"/>
  <c r="W212" i="7"/>
  <c r="W209" i="7" s="1"/>
  <c r="X60" i="7"/>
  <c r="X40" i="7"/>
  <c r="V86" i="7"/>
  <c r="V85" i="7" s="1"/>
  <c r="P184" i="7"/>
  <c r="R184" i="7" s="1"/>
  <c r="AD184" i="7"/>
  <c r="U187" i="7"/>
  <c r="U11" i="7"/>
  <c r="U7" i="7" s="1"/>
  <c r="X88" i="7"/>
  <c r="X54" i="7"/>
  <c r="U184" i="7"/>
  <c r="X207" i="7"/>
  <c r="X36" i="7"/>
  <c r="X124" i="7"/>
  <c r="G350" i="6"/>
  <c r="X93" i="7"/>
  <c r="X179" i="7"/>
  <c r="S164" i="7"/>
  <c r="R101" i="7"/>
  <c r="X44" i="7"/>
  <c r="X139" i="7"/>
  <c r="V25" i="7"/>
  <c r="V22" i="7"/>
  <c r="G375" i="6"/>
  <c r="X154" i="7"/>
  <c r="X174" i="7"/>
  <c r="Y174" i="7" s="1"/>
  <c r="X162" i="7"/>
  <c r="T184" i="7"/>
  <c r="X203" i="7"/>
  <c r="X29" i="7"/>
  <c r="X21" i="7"/>
  <c r="V187" i="7"/>
  <c r="Q43" i="7"/>
  <c r="U169" i="7"/>
  <c r="U166" i="7" s="1"/>
  <c r="X50" i="7"/>
  <c r="X223" i="7"/>
  <c r="X102" i="7"/>
  <c r="X224" i="7"/>
  <c r="S175" i="7"/>
  <c r="S171" i="7" s="1"/>
  <c r="X10" i="7"/>
  <c r="Q52" i="7"/>
  <c r="X41" i="7"/>
  <c r="X30" i="7"/>
  <c r="X8" i="7"/>
  <c r="X101" i="7"/>
  <c r="T212" i="7"/>
  <c r="X63" i="7"/>
  <c r="Z63" i="7" s="1"/>
  <c r="BI184" i="6" a="1"/>
  <c r="BI184" i="6" s="1"/>
  <c r="BK184" i="6" s="1" a="1"/>
  <c r="BK184" i="6" s="1"/>
  <c r="BI256" i="6" a="1"/>
  <c r="BI256" i="6" s="1"/>
  <c r="BL256" i="6" s="1" a="1"/>
  <c r="BL256" i="6" s="1"/>
  <c r="S116" i="7"/>
  <c r="S112" i="7" s="1"/>
  <c r="X132" i="7"/>
  <c r="T222" i="7"/>
  <c r="T218" i="7" s="1"/>
  <c r="X214" i="7"/>
  <c r="X204" i="7"/>
  <c r="R202" i="7"/>
  <c r="R23" i="7"/>
  <c r="X99" i="7"/>
  <c r="W11" i="7"/>
  <c r="W7" i="7" s="1"/>
  <c r="X167" i="7"/>
  <c r="X27" i="7"/>
  <c r="X219" i="7"/>
  <c r="S212" i="7"/>
  <c r="X181" i="7"/>
  <c r="W64" i="7"/>
  <c r="W61" i="7" s="1"/>
  <c r="V64" i="7"/>
  <c r="V61" i="7" s="1"/>
  <c r="V7" i="7"/>
  <c r="X138" i="7"/>
  <c r="BI249" i="6" a="1"/>
  <c r="BI249" i="6" s="1"/>
  <c r="C249" i="6" s="1" a="1"/>
  <c r="C249" i="6" s="1"/>
  <c r="BM249" i="6" s="1"/>
  <c r="X31" i="7"/>
  <c r="W17" i="7"/>
  <c r="W16" i="7" s="1"/>
  <c r="X211" i="7"/>
  <c r="X81" i="7"/>
  <c r="X77" i="7"/>
  <c r="V212" i="7"/>
  <c r="X37" i="7"/>
  <c r="X14" i="7"/>
  <c r="X12" i="7"/>
  <c r="W222" i="7"/>
  <c r="W175" i="7"/>
  <c r="W171" i="7" s="1"/>
  <c r="X127" i="7"/>
  <c r="R88" i="7"/>
  <c r="V34" i="7"/>
  <c r="V184" i="7"/>
  <c r="X229" i="7"/>
  <c r="V76" i="7"/>
  <c r="X97" i="7"/>
  <c r="X9" i="7"/>
  <c r="X19" i="7"/>
  <c r="X233" i="7"/>
  <c r="AD187" i="7"/>
  <c r="X26" i="7"/>
  <c r="X221" i="7"/>
  <c r="V152" i="7"/>
  <c r="V116" i="7"/>
  <c r="V112" i="7" s="1"/>
  <c r="V43" i="7"/>
  <c r="G365" i="6"/>
  <c r="X35" i="7"/>
  <c r="X123" i="7"/>
  <c r="X47" i="7"/>
  <c r="X83" i="7"/>
  <c r="X78" i="7"/>
  <c r="P187" i="7"/>
  <c r="R187" i="7" s="1"/>
  <c r="X128" i="7"/>
  <c r="X39" i="7"/>
  <c r="X143" i="7"/>
  <c r="X79" i="7"/>
  <c r="V149" i="7"/>
  <c r="X45" i="7"/>
  <c r="X80" i="7"/>
  <c r="X38" i="7"/>
  <c r="X46" i="7"/>
  <c r="X70" i="7"/>
  <c r="X156" i="7"/>
  <c r="X107" i="7"/>
  <c r="X89" i="7"/>
  <c r="V193" i="7"/>
  <c r="X216" i="7"/>
  <c r="X58" i="7"/>
  <c r="P169" i="7"/>
  <c r="AD169" i="7"/>
  <c r="G317" i="6"/>
  <c r="X75" i="7"/>
  <c r="X59" i="7"/>
  <c r="X68" i="7"/>
  <c r="X232" i="7"/>
  <c r="V158" i="7"/>
  <c r="X106" i="7"/>
  <c r="X48" i="7"/>
  <c r="X49" i="7"/>
  <c r="X205" i="7"/>
  <c r="X192" i="7"/>
  <c r="S104" i="7"/>
  <c r="S103" i="7" s="1"/>
  <c r="X121" i="7"/>
  <c r="X122" i="7"/>
  <c r="X115" i="7"/>
  <c r="S184" i="7"/>
  <c r="X234" i="7"/>
  <c r="R28" i="7"/>
  <c r="V175" i="7"/>
  <c r="V171" i="7" s="1"/>
  <c r="X186" i="7"/>
  <c r="Z186" i="7" s="1"/>
  <c r="V227" i="7"/>
  <c r="X142" i="7"/>
  <c r="G367" i="6"/>
  <c r="G330" i="6"/>
  <c r="BI67" i="6" a="1"/>
  <c r="BI67" i="6" s="1"/>
  <c r="F67" i="6" s="1"/>
  <c r="BI79" i="6" a="1"/>
  <c r="BI79" i="6" s="1"/>
  <c r="B79" i="6" s="1" a="1"/>
  <c r="B79" i="6" s="1"/>
  <c r="BI144" i="6" a="1"/>
  <c r="BI144" i="6" s="1"/>
  <c r="E144" i="6" s="1" a="1"/>
  <c r="E144" i="6" s="1"/>
  <c r="BI268" i="6" a="1"/>
  <c r="BI268" i="6" s="1"/>
  <c r="B268" i="6" s="1" a="1"/>
  <c r="B268" i="6" s="1"/>
  <c r="X161" i="7"/>
  <c r="X189" i="7"/>
  <c r="X91" i="7"/>
  <c r="X225" i="7"/>
  <c r="X130" i="7"/>
  <c r="X24" i="7"/>
  <c r="U164" i="7"/>
  <c r="V52" i="7"/>
  <c r="BI204" i="6" a="1"/>
  <c r="BI204" i="6" s="1"/>
  <c r="C204" i="6" s="1" a="1"/>
  <c r="C204" i="6" s="1"/>
  <c r="BM204" i="6" s="1"/>
  <c r="BI198" i="6" a="1"/>
  <c r="BI198" i="6" s="1"/>
  <c r="C198" i="6" s="1" a="1"/>
  <c r="C198" i="6" s="1"/>
  <c r="BM198" i="6" s="1"/>
  <c r="BI51" i="6" a="1"/>
  <c r="BI51" i="6" s="1"/>
  <c r="BL51" i="6" s="1" a="1"/>
  <c r="BL51" i="6" s="1"/>
  <c r="S86" i="7"/>
  <c r="U158" i="7"/>
  <c r="T116" i="7"/>
  <c r="T112" i="7" s="1"/>
  <c r="X111" i="7"/>
  <c r="X92" i="7"/>
  <c r="X53" i="7"/>
  <c r="X18" i="7"/>
  <c r="V169" i="7"/>
  <c r="V166" i="7" s="1"/>
  <c r="G322" i="6"/>
  <c r="AD164" i="7"/>
  <c r="P164" i="7"/>
  <c r="R164" i="7" s="1"/>
  <c r="BI176" i="6" a="1"/>
  <c r="BI176" i="6" s="1"/>
  <c r="F176" i="6" s="1"/>
  <c r="BI212" i="6" a="1"/>
  <c r="BI212" i="6" s="1"/>
  <c r="F212" i="6" s="1"/>
  <c r="BI236" i="6" a="1"/>
  <c r="BI236" i="6" s="1"/>
  <c r="B236" i="6" s="1" a="1"/>
  <c r="B236" i="6" s="1"/>
  <c r="B235" i="6" s="1"/>
  <c r="X66" i="7"/>
  <c r="X65" i="7" s="1"/>
  <c r="X163" i="7"/>
  <c r="X155" i="7"/>
  <c r="W5" i="7"/>
  <c r="X208" i="7"/>
  <c r="X100" i="7"/>
  <c r="X159" i="7"/>
  <c r="X20" i="7"/>
  <c r="X73" i="7"/>
  <c r="BI264" i="6" a="1"/>
  <c r="BI264" i="6" s="1"/>
  <c r="F264" i="6" s="1"/>
  <c r="X150" i="7"/>
  <c r="Y150" i="7" s="1"/>
  <c r="T86" i="7"/>
  <c r="T85" i="7" s="1"/>
  <c r="X90" i="7"/>
  <c r="X23" i="7"/>
  <c r="X96" i="7"/>
  <c r="X136" i="7"/>
  <c r="X135" i="7" s="1"/>
  <c r="X131" i="7"/>
  <c r="X210" i="7"/>
  <c r="R133" i="7"/>
  <c r="R14" i="7"/>
  <c r="X168" i="7"/>
  <c r="Y168" i="7" s="1"/>
  <c r="X95" i="7"/>
  <c r="X33" i="7"/>
  <c r="BI223" i="6" a="1"/>
  <c r="BI223" i="6" s="1"/>
  <c r="BL223" i="6" s="1" a="1"/>
  <c r="BL223" i="6" s="1"/>
  <c r="BI134" i="6" a="1"/>
  <c r="BI134" i="6" s="1"/>
  <c r="B134" i="6" s="1" a="1"/>
  <c r="B134" i="6" s="1"/>
  <c r="BI195" i="6" a="1"/>
  <c r="BI195" i="6" s="1"/>
  <c r="BL195" i="6" s="1" a="1"/>
  <c r="BL195" i="6" s="1"/>
  <c r="BI209" i="6" a="1"/>
  <c r="BI209" i="6" s="1"/>
  <c r="BK209" i="6" s="1" a="1"/>
  <c r="BK209" i="6" s="1"/>
  <c r="R132" i="7"/>
  <c r="X191" i="7"/>
  <c r="Z191" i="7" s="1"/>
  <c r="X133" i="7"/>
  <c r="X217" i="7"/>
  <c r="R151" i="7"/>
  <c r="AD114" i="7"/>
  <c r="P114" i="7"/>
  <c r="BI245" i="6" a="1"/>
  <c r="BI245" i="6" s="1"/>
  <c r="B245" i="6" s="1" a="1"/>
  <c r="B245" i="6" s="1"/>
  <c r="B244" i="6" s="1"/>
  <c r="R93" i="7"/>
  <c r="X178" i="7"/>
  <c r="X28" i="7"/>
  <c r="X147" i="7"/>
  <c r="X197" i="7"/>
  <c r="X74" i="7"/>
  <c r="X134" i="7"/>
  <c r="X84" i="7"/>
  <c r="X195" i="7"/>
  <c r="X120" i="7"/>
  <c r="AD182" i="7"/>
  <c r="P182" i="7"/>
  <c r="R182" i="7" s="1"/>
  <c r="R203" i="7"/>
  <c r="T76" i="7"/>
  <c r="U5" i="7"/>
  <c r="U76" i="7"/>
  <c r="T5" i="7"/>
  <c r="R55" i="7"/>
  <c r="Q137" i="7"/>
  <c r="Q94" i="7"/>
  <c r="R51" i="7"/>
  <c r="Q103" i="7"/>
  <c r="R206" i="7"/>
  <c r="Q218" i="7"/>
  <c r="R122" i="7"/>
  <c r="Q227" i="7"/>
  <c r="Q85" i="7"/>
  <c r="Q61" i="7"/>
  <c r="Q200" i="7"/>
  <c r="T43" i="7"/>
  <c r="W94" i="7"/>
  <c r="AB171" i="7"/>
  <c r="U188" i="7"/>
  <c r="T193" i="7"/>
  <c r="P43" i="7"/>
  <c r="T94" i="7"/>
  <c r="W34" i="7"/>
  <c r="T157" i="7"/>
  <c r="T61" i="7"/>
  <c r="U112" i="7"/>
  <c r="U137" i="7"/>
  <c r="P94" i="7"/>
  <c r="U177" i="7"/>
  <c r="W85" i="7"/>
  <c r="W177" i="7"/>
  <c r="Z196" i="7"/>
  <c r="S16" i="7"/>
  <c r="BL94" i="6" a="1"/>
  <c r="BL94" i="6" s="1"/>
  <c r="B94" i="6" a="1"/>
  <c r="B94" i="6" s="1"/>
  <c r="C94" i="6" a="1"/>
  <c r="C94" i="6" s="1"/>
  <c r="BM94" i="6" s="1"/>
  <c r="BK94" i="6" a="1"/>
  <c r="BK94" i="6" s="1"/>
  <c r="F94" i="6"/>
  <c r="BL32" i="6" a="1"/>
  <c r="BL32" i="6" s="1"/>
  <c r="B32" i="6" a="1"/>
  <c r="B32" i="6" s="1"/>
  <c r="C32" i="6" a="1"/>
  <c r="C32" i="6" s="1"/>
  <c r="BM32" i="6" s="1"/>
  <c r="BK32" i="6" a="1"/>
  <c r="BK32" i="6" s="1"/>
  <c r="F32" i="6"/>
  <c r="P230" i="7"/>
  <c r="R230" i="7" s="1"/>
  <c r="AD230" i="7"/>
  <c r="F45" i="6"/>
  <c r="BK45" i="6" a="1"/>
  <c r="BK45" i="6" s="1"/>
  <c r="B45" i="6" a="1"/>
  <c r="B45" i="6" s="1"/>
  <c r="BL45" i="6" a="1"/>
  <c r="BL45" i="6" s="1"/>
  <c r="C45" i="6" a="1"/>
  <c r="C45" i="6" s="1"/>
  <c r="BM45" i="6" s="1"/>
  <c r="E45" i="6" a="1"/>
  <c r="E45" i="6" s="1"/>
  <c r="G293" i="6"/>
  <c r="F63" i="6"/>
  <c r="B63" i="6" a="1"/>
  <c r="B63" i="6" s="1"/>
  <c r="BK63" i="6" a="1"/>
  <c r="BK63" i="6" s="1"/>
  <c r="C63" i="6" a="1"/>
  <c r="C63" i="6" s="1"/>
  <c r="BM63" i="6" s="1"/>
  <c r="E63" i="6" a="1"/>
  <c r="E63" i="6" s="1"/>
  <c r="BL63" i="6" a="1"/>
  <c r="BL63" i="6" s="1"/>
  <c r="BL39" i="6" a="1"/>
  <c r="BL39" i="6" s="1"/>
  <c r="BK39" i="6" a="1"/>
  <c r="BK39" i="6" s="1"/>
  <c r="C39" i="6" a="1"/>
  <c r="C39" i="6" s="1"/>
  <c r="BM39" i="6" s="1"/>
  <c r="B39" i="6" a="1"/>
  <c r="B39" i="6" s="1"/>
  <c r="F39" i="6"/>
  <c r="B167" i="6" a="1"/>
  <c r="B167" i="6" s="1"/>
  <c r="BK167" i="6" a="1"/>
  <c r="BK167" i="6" s="1"/>
  <c r="F167" i="6"/>
  <c r="BL167" i="6" a="1"/>
  <c r="BL167" i="6" s="1"/>
  <c r="C167" i="6" a="1"/>
  <c r="C167" i="6" s="1"/>
  <c r="BM167" i="6" s="1"/>
  <c r="AD149" i="7"/>
  <c r="P149" i="7"/>
  <c r="R149" i="7" s="1"/>
  <c r="B141" i="6" a="1"/>
  <c r="B141" i="6" s="1"/>
  <c r="F141" i="6"/>
  <c r="BK141" i="6" a="1"/>
  <c r="BK141" i="6" s="1"/>
  <c r="C141" i="6" a="1"/>
  <c r="C141" i="6" s="1"/>
  <c r="BM141" i="6" s="1"/>
  <c r="BL141" i="6" a="1"/>
  <c r="BL141" i="6" s="1"/>
  <c r="B92" i="6" a="1"/>
  <c r="B92" i="6" s="1"/>
  <c r="B91" i="6" s="1"/>
  <c r="F92" i="6"/>
  <c r="C92" i="6" a="1"/>
  <c r="C92" i="6" s="1"/>
  <c r="BK92" i="6" a="1"/>
  <c r="BK92" i="6" s="1"/>
  <c r="BL92" i="6" a="1"/>
  <c r="BL92" i="6" s="1"/>
  <c r="R173" i="7"/>
  <c r="T188" i="7"/>
  <c r="S135" i="7"/>
  <c r="S158" i="7"/>
  <c r="S126" i="7"/>
  <c r="AD118" i="7"/>
  <c r="P118" i="7"/>
  <c r="P104" i="7"/>
  <c r="AD104" i="7"/>
  <c r="F68" i="6"/>
  <c r="BK68" i="6" a="1"/>
  <c r="BK68" i="6" s="1"/>
  <c r="BL68" i="6" a="1"/>
  <c r="BL68" i="6" s="1"/>
  <c r="C68" i="6" a="1"/>
  <c r="C68" i="6" s="1"/>
  <c r="BM68" i="6" s="1"/>
  <c r="B68" i="6" a="1"/>
  <c r="B68" i="6" s="1"/>
  <c r="C95" i="6" a="1"/>
  <c r="C95" i="6" s="1"/>
  <c r="BM95" i="6" s="1"/>
  <c r="BK95" i="6" a="1"/>
  <c r="BK95" i="6" s="1"/>
  <c r="BL95" i="6" a="1"/>
  <c r="BL95" i="6" s="1"/>
  <c r="B95" i="6" a="1"/>
  <c r="B95" i="6" s="1"/>
  <c r="F95" i="6"/>
  <c r="F214" i="6"/>
  <c r="BK214" i="6" a="1"/>
  <c r="BK214" i="6" s="1"/>
  <c r="BL214" i="6" a="1"/>
  <c r="BL214" i="6" s="1"/>
  <c r="B214" i="6" a="1"/>
  <c r="B214" i="6" s="1"/>
  <c r="C214" i="6" a="1"/>
  <c r="C214" i="6" s="1"/>
  <c r="BM214" i="6" s="1"/>
  <c r="U64" i="7"/>
  <c r="U61" i="7" s="1"/>
  <c r="U126" i="7"/>
  <c r="U193" i="7"/>
  <c r="R219" i="7"/>
  <c r="R27" i="7"/>
  <c r="BL182" i="6" a="1"/>
  <c r="BL182" i="6" s="1"/>
  <c r="C182" i="6" a="1"/>
  <c r="C182" i="6" s="1"/>
  <c r="B182" i="6" a="1"/>
  <c r="B182" i="6" s="1"/>
  <c r="B181" i="6" s="1"/>
  <c r="F182" i="6"/>
  <c r="BK182" i="6" a="1"/>
  <c r="BK182" i="6" s="1"/>
  <c r="BL114" i="6" a="1"/>
  <c r="BL114" i="6" s="1"/>
  <c r="B114" i="6" a="1"/>
  <c r="B114" i="6" s="1"/>
  <c r="C114" i="6" a="1"/>
  <c r="C114" i="6" s="1"/>
  <c r="BM114" i="6" s="1"/>
  <c r="BK114" i="6" a="1"/>
  <c r="BK114" i="6" s="1"/>
  <c r="F114" i="6"/>
  <c r="B140" i="6" a="1"/>
  <c r="B140" i="6" s="1"/>
  <c r="C140" i="6" a="1"/>
  <c r="C140" i="6" s="1"/>
  <c r="BM140" i="6" s="1"/>
  <c r="F140" i="6"/>
  <c r="BK140" i="6" a="1"/>
  <c r="BK140" i="6" s="1"/>
  <c r="BL140" i="6" a="1"/>
  <c r="BL140" i="6" s="1"/>
  <c r="C98" i="6" a="1"/>
  <c r="C98" i="6" s="1"/>
  <c r="BM98" i="6" s="1"/>
  <c r="BK98" i="6" a="1"/>
  <c r="BK98" i="6" s="1"/>
  <c r="BL98" i="6" a="1"/>
  <c r="BL98" i="6" s="1"/>
  <c r="B98" i="6" a="1"/>
  <c r="B98" i="6" s="1"/>
  <c r="F98" i="6"/>
  <c r="F187" i="6"/>
  <c r="BK187" i="6" a="1"/>
  <c r="BK187" i="6" s="1"/>
  <c r="BL187" i="6" a="1"/>
  <c r="BL187" i="6" s="1"/>
  <c r="B187" i="6" a="1"/>
  <c r="B187" i="6" s="1"/>
  <c r="C187" i="6" a="1"/>
  <c r="C187" i="6" s="1"/>
  <c r="BM187" i="6" s="1"/>
  <c r="G284" i="6"/>
  <c r="G369" i="6"/>
  <c r="G306" i="6"/>
  <c r="BK189" i="6" a="1"/>
  <c r="BK189" i="6" s="1"/>
  <c r="C189" i="6" a="1"/>
  <c r="C189" i="6" s="1"/>
  <c r="BM189" i="6" s="1"/>
  <c r="F189" i="6"/>
  <c r="BL189" i="6" a="1"/>
  <c r="BL189" i="6" s="1"/>
  <c r="B189" i="6" a="1"/>
  <c r="B189" i="6" s="1"/>
  <c r="E189" i="6" a="1"/>
  <c r="E189" i="6" s="1"/>
  <c r="W230" i="7"/>
  <c r="C35" i="6" a="1"/>
  <c r="C35" i="6" s="1"/>
  <c r="BM35" i="6" s="1"/>
  <c r="B35" i="6" a="1"/>
  <c r="B35" i="6" s="1"/>
  <c r="BL35" i="6" a="1"/>
  <c r="BL35" i="6" s="1"/>
  <c r="BK35" i="6" a="1"/>
  <c r="BK35" i="6" s="1"/>
  <c r="F35" i="6"/>
  <c r="U52" i="7"/>
  <c r="F83" i="6"/>
  <c r="B83" i="6" a="1"/>
  <c r="B83" i="6" s="1"/>
  <c r="B82" i="6" s="1"/>
  <c r="BL83" i="6" a="1"/>
  <c r="BL83" i="6" s="1"/>
  <c r="C83" i="6" a="1"/>
  <c r="C83" i="6" s="1"/>
  <c r="BK83" i="6" a="1"/>
  <c r="BK83" i="6" s="1"/>
  <c r="R53" i="7"/>
  <c r="P52" i="7"/>
  <c r="F241" i="6"/>
  <c r="BK241" i="6" a="1"/>
  <c r="BK241" i="6" s="1"/>
  <c r="BL241" i="6" a="1"/>
  <c r="BL241" i="6" s="1"/>
  <c r="B241" i="6" a="1"/>
  <c r="B241" i="6" s="1"/>
  <c r="C241" i="6" a="1"/>
  <c r="C241" i="6" s="1"/>
  <c r="BM241" i="6" s="1"/>
  <c r="T126" i="7"/>
  <c r="BK185" i="6" a="1"/>
  <c r="BK185" i="6" s="1"/>
  <c r="BL185" i="6" a="1"/>
  <c r="BL185" i="6" s="1"/>
  <c r="B185" i="6" a="1"/>
  <c r="B185" i="6" s="1"/>
  <c r="C185" i="6" a="1"/>
  <c r="C185" i="6" s="1"/>
  <c r="BM185" i="6" s="1"/>
  <c r="F185" i="6"/>
  <c r="P183" i="7"/>
  <c r="AD183" i="7"/>
  <c r="C69" i="6" a="1"/>
  <c r="C69" i="6" s="1"/>
  <c r="BM69" i="6" s="1"/>
  <c r="F69" i="6"/>
  <c r="BL69" i="6" a="1"/>
  <c r="BL69" i="6" s="1"/>
  <c r="B69" i="6" a="1"/>
  <c r="B69" i="6" s="1"/>
  <c r="BK69" i="6" a="1"/>
  <c r="BK69" i="6" s="1"/>
  <c r="S52" i="7"/>
  <c r="R201" i="7"/>
  <c r="P200" i="7"/>
  <c r="B61" i="6" a="1"/>
  <c r="B61" i="6" s="1"/>
  <c r="F61" i="6"/>
  <c r="BK61" i="6" a="1"/>
  <c r="BK61" i="6" s="1"/>
  <c r="C61" i="6" a="1"/>
  <c r="C61" i="6" s="1"/>
  <c r="BM61" i="6" s="1"/>
  <c r="BL61" i="6" a="1"/>
  <c r="BL61" i="6" s="1"/>
  <c r="B65" i="6" a="1"/>
  <c r="B65" i="6" s="1"/>
  <c r="B64" i="6" s="1"/>
  <c r="C65" i="6" a="1"/>
  <c r="C65" i="6" s="1"/>
  <c r="F65" i="6"/>
  <c r="BK65" i="6" a="1"/>
  <c r="BK65" i="6" s="1"/>
  <c r="BL65" i="6" a="1"/>
  <c r="BL65" i="6" s="1"/>
  <c r="G314" i="6"/>
  <c r="G291" i="6"/>
  <c r="G294" i="6"/>
  <c r="G366" i="6"/>
  <c r="BL179" i="6" a="1"/>
  <c r="BL179" i="6" s="1"/>
  <c r="B179" i="6" a="1"/>
  <c r="B179" i="6" s="1"/>
  <c r="C179" i="6" a="1"/>
  <c r="C179" i="6" s="1"/>
  <c r="BM179" i="6" s="1"/>
  <c r="F179" i="6"/>
  <c r="BK179" i="6" a="1"/>
  <c r="BK179" i="6" s="1"/>
  <c r="F29" i="6"/>
  <c r="BK29" i="6" a="1"/>
  <c r="BK29" i="6" s="1"/>
  <c r="BL29" i="6" a="1"/>
  <c r="BL29" i="6" s="1"/>
  <c r="B29" i="6" a="1"/>
  <c r="B29" i="6" s="1"/>
  <c r="B28" i="6" s="1"/>
  <c r="C29" i="6" a="1"/>
  <c r="C29" i="6" s="1"/>
  <c r="BL159" i="6" a="1"/>
  <c r="BL159" i="6" s="1"/>
  <c r="F159" i="6"/>
  <c r="C159" i="6" a="1"/>
  <c r="C159" i="6" s="1"/>
  <c r="BM159" i="6" s="1"/>
  <c r="BK159" i="6" a="1"/>
  <c r="BK159" i="6" s="1"/>
  <c r="B159" i="6" a="1"/>
  <c r="B159" i="6" s="1"/>
  <c r="F123" i="6"/>
  <c r="BL123" i="6" a="1"/>
  <c r="BL123" i="6" s="1"/>
  <c r="BK123" i="6" a="1"/>
  <c r="BK123" i="6" s="1"/>
  <c r="B123" i="6" a="1"/>
  <c r="B123" i="6" s="1"/>
  <c r="C123" i="6" a="1"/>
  <c r="C123" i="6" s="1"/>
  <c r="BM123" i="6" s="1"/>
  <c r="BK233" i="6" a="1"/>
  <c r="BK233" i="6" s="1"/>
  <c r="B233" i="6" a="1"/>
  <c r="B233" i="6" s="1"/>
  <c r="C233" i="6" a="1"/>
  <c r="C233" i="6" s="1"/>
  <c r="BM233" i="6" s="1"/>
  <c r="BL233" i="6" a="1"/>
  <c r="BL233" i="6" s="1"/>
  <c r="F233" i="6"/>
  <c r="T34" i="7"/>
  <c r="U200" i="7"/>
  <c r="U153" i="7"/>
  <c r="U118" i="7"/>
  <c r="U117" i="7" s="1"/>
  <c r="R97" i="7"/>
  <c r="R225" i="7"/>
  <c r="G377" i="6"/>
  <c r="G357" i="6"/>
  <c r="BL211" i="6" a="1"/>
  <c r="BL211" i="6" s="1"/>
  <c r="F211" i="6"/>
  <c r="BK211" i="6" a="1"/>
  <c r="BK211" i="6" s="1"/>
  <c r="B211" i="6" a="1"/>
  <c r="B211" i="6" s="1"/>
  <c r="C211" i="6" a="1"/>
  <c r="C211" i="6" s="1"/>
  <c r="BM211" i="6" s="1"/>
  <c r="T52" i="7"/>
  <c r="G318" i="6"/>
  <c r="F31" i="6"/>
  <c r="C31" i="6" a="1"/>
  <c r="C31" i="6" s="1"/>
  <c r="BM31" i="6" s="1"/>
  <c r="BK31" i="6" a="1"/>
  <c r="BK31" i="6" s="1"/>
  <c r="BL31" i="6" a="1"/>
  <c r="BL31" i="6" s="1"/>
  <c r="B31" i="6" a="1"/>
  <c r="B31" i="6" s="1"/>
  <c r="F44" i="6"/>
  <c r="B44" i="6" a="1"/>
  <c r="B44" i="6" s="1"/>
  <c r="C44" i="6" a="1"/>
  <c r="C44" i="6" s="1"/>
  <c r="BM44" i="6" s="1"/>
  <c r="BK44" i="6" a="1"/>
  <c r="BK44" i="6" s="1"/>
  <c r="BL44" i="6" a="1"/>
  <c r="BL44" i="6" s="1"/>
  <c r="BL89" i="6" a="1"/>
  <c r="BL89" i="6" s="1"/>
  <c r="B89" i="6" a="1"/>
  <c r="B89" i="6" s="1"/>
  <c r="C89" i="6" a="1"/>
  <c r="C89" i="6" s="1"/>
  <c r="BM89" i="6" s="1"/>
  <c r="F89" i="6"/>
  <c r="BK89" i="6" a="1"/>
  <c r="BK89" i="6" s="1"/>
  <c r="F174" i="6"/>
  <c r="BK174" i="6" a="1"/>
  <c r="BK174" i="6" s="1"/>
  <c r="B174" i="6" a="1"/>
  <c r="B174" i="6" s="1"/>
  <c r="C174" i="6" a="1"/>
  <c r="C174" i="6" s="1"/>
  <c r="BM174" i="6" s="1"/>
  <c r="BL174" i="6" a="1"/>
  <c r="BL174" i="6" s="1"/>
  <c r="F121" i="6"/>
  <c r="BL121" i="6" a="1"/>
  <c r="BL121" i="6" s="1"/>
  <c r="C121" i="6" a="1"/>
  <c r="C121" i="6" s="1"/>
  <c r="BM121" i="6" s="1"/>
  <c r="BK121" i="6" a="1"/>
  <c r="BK121" i="6" s="1"/>
  <c r="B121" i="6" a="1"/>
  <c r="B121" i="6" s="1"/>
  <c r="AD231" i="7"/>
  <c r="P231" i="7"/>
  <c r="R231" i="7" s="1"/>
  <c r="S231" i="7"/>
  <c r="C101" i="6" a="1"/>
  <c r="C101" i="6" s="1"/>
  <c r="F101" i="6"/>
  <c r="BK101" i="6" a="1"/>
  <c r="BK101" i="6" s="1"/>
  <c r="BL101" i="6" a="1"/>
  <c r="BL101" i="6" s="1"/>
  <c r="B101" i="6" a="1"/>
  <c r="B101" i="6" s="1"/>
  <c r="B100" i="6" s="1"/>
  <c r="BI62" i="6" a="1"/>
  <c r="BI62" i="6" s="1"/>
  <c r="BI99" i="6" a="1"/>
  <c r="BI99" i="6" s="1"/>
  <c r="BI191" i="6" a="1"/>
  <c r="BI191" i="6" s="1"/>
  <c r="BI40" i="6" a="1"/>
  <c r="BI40" i="6" s="1"/>
  <c r="P5" i="7"/>
  <c r="W193" i="7"/>
  <c r="T209" i="7"/>
  <c r="P141" i="7"/>
  <c r="R141" i="7" s="1"/>
  <c r="AD141" i="7"/>
  <c r="AD11" i="7"/>
  <c r="T11" i="7"/>
  <c r="P11" i="7"/>
  <c r="A276" i="6"/>
  <c r="BI276" i="6" s="1" a="1"/>
  <c r="BI276" i="6" s="1"/>
  <c r="A275" i="6"/>
  <c r="BI275" i="6" s="1" a="1"/>
  <c r="BI275" i="6" s="1"/>
  <c r="A279" i="6"/>
  <c r="BI279" i="6" s="1" a="1"/>
  <c r="BI279" i="6" s="1"/>
  <c r="A272" i="6"/>
  <c r="A277" i="6"/>
  <c r="BI277" i="6" s="1" a="1"/>
  <c r="BI277" i="6" s="1"/>
  <c r="A278" i="6"/>
  <c r="BI278" i="6" s="1" a="1"/>
  <c r="BI278" i="6" s="1"/>
  <c r="A274" i="6"/>
  <c r="BI274" i="6" s="1" a="1"/>
  <c r="BI274" i="6" s="1"/>
  <c r="A273" i="6"/>
  <c r="BI273" i="6" s="1" a="1"/>
  <c r="BI273" i="6" s="1"/>
  <c r="S193" i="7"/>
  <c r="C155" i="6" a="1"/>
  <c r="C155" i="6" s="1"/>
  <c r="F155" i="6"/>
  <c r="B155" i="6" a="1"/>
  <c r="B155" i="6" s="1"/>
  <c r="B154" i="6" s="1"/>
  <c r="BK155" i="6" a="1"/>
  <c r="BK155" i="6" s="1"/>
  <c r="BL155" i="6" a="1"/>
  <c r="BL155" i="6" s="1"/>
  <c r="C120" i="6" a="1"/>
  <c r="C120" i="6" s="1"/>
  <c r="BM120" i="6" s="1"/>
  <c r="BL120" i="6" a="1"/>
  <c r="BL120" i="6" s="1"/>
  <c r="B120" i="6" a="1"/>
  <c r="B120" i="6" s="1"/>
  <c r="F120" i="6"/>
  <c r="BK120" i="6" a="1"/>
  <c r="BK120" i="6" s="1"/>
  <c r="T230" i="7"/>
  <c r="T227" i="7" s="1"/>
  <c r="G368" i="6"/>
  <c r="BL115" i="6" a="1"/>
  <c r="BL115" i="6" s="1"/>
  <c r="C115" i="6" a="1"/>
  <c r="C115" i="6" s="1"/>
  <c r="BM115" i="6" s="1"/>
  <c r="BK115" i="6" a="1"/>
  <c r="BK115" i="6" s="1"/>
  <c r="B115" i="6" a="1"/>
  <c r="B115" i="6" s="1"/>
  <c r="F115" i="6"/>
  <c r="T25" i="7"/>
  <c r="BL133" i="6" a="1"/>
  <c r="BL133" i="6" s="1"/>
  <c r="BK133" i="6" a="1"/>
  <c r="BK133" i="6" s="1"/>
  <c r="B133" i="6" a="1"/>
  <c r="B133" i="6" s="1"/>
  <c r="C133" i="6" a="1"/>
  <c r="C133" i="6" s="1"/>
  <c r="BM133" i="6" s="1"/>
  <c r="F133" i="6"/>
  <c r="F102" i="6"/>
  <c r="B102" i="6" a="1"/>
  <c r="B102" i="6" s="1"/>
  <c r="C102" i="6" a="1"/>
  <c r="C102" i="6" s="1"/>
  <c r="BM102" i="6" s="1"/>
  <c r="BL102" i="6" a="1"/>
  <c r="BL102" i="6" s="1"/>
  <c r="BK102" i="6" a="1"/>
  <c r="BK102" i="6" s="1"/>
  <c r="F90" i="6"/>
  <c r="BL90" i="6" a="1"/>
  <c r="BL90" i="6" s="1"/>
  <c r="C90" i="6" a="1"/>
  <c r="C90" i="6" s="1"/>
  <c r="BM90" i="6" s="1"/>
  <c r="BK90" i="6" a="1"/>
  <c r="BK90" i="6" s="1"/>
  <c r="B90" i="6" a="1"/>
  <c r="B90" i="6" s="1"/>
  <c r="E90" i="6" a="1"/>
  <c r="E90" i="6" s="1"/>
  <c r="BL97" i="6" a="1"/>
  <c r="BL97" i="6" s="1"/>
  <c r="B97" i="6" a="1"/>
  <c r="B97" i="6" s="1"/>
  <c r="C97" i="6" a="1"/>
  <c r="C97" i="6" s="1"/>
  <c r="BM97" i="6" s="1"/>
  <c r="F97" i="6"/>
  <c r="BK97" i="6" a="1"/>
  <c r="BK97" i="6" s="1"/>
  <c r="B169" i="6" a="1"/>
  <c r="B169" i="6" s="1"/>
  <c r="F169" i="6"/>
  <c r="BL169" i="6" a="1"/>
  <c r="BL169" i="6" s="1"/>
  <c r="BK169" i="6" a="1"/>
  <c r="BK169" i="6" s="1"/>
  <c r="C169" i="6" a="1"/>
  <c r="C169" i="6" s="1"/>
  <c r="BM169" i="6" s="1"/>
  <c r="S153" i="7"/>
  <c r="U25" i="7"/>
  <c r="R92" i="7"/>
  <c r="BK234" i="6" a="1"/>
  <c r="BK234" i="6" s="1"/>
  <c r="C234" i="6" a="1"/>
  <c r="C234" i="6" s="1"/>
  <c r="BM234" i="6" s="1"/>
  <c r="F234" i="6"/>
  <c r="E234" i="6" a="1"/>
  <c r="E234" i="6" s="1"/>
  <c r="BL234" i="6" a="1"/>
  <c r="BL234" i="6" s="1"/>
  <c r="B234" i="6" a="1"/>
  <c r="B234" i="6" s="1"/>
  <c r="S5" i="7"/>
  <c r="B257" i="6" a="1"/>
  <c r="B257" i="6" s="1"/>
  <c r="C257" i="6" a="1"/>
  <c r="C257" i="6" s="1"/>
  <c r="BM257" i="6" s="1"/>
  <c r="BK257" i="6" a="1"/>
  <c r="BK257" i="6" s="1"/>
  <c r="BL257" i="6" a="1"/>
  <c r="BL257" i="6" s="1"/>
  <c r="F257" i="6"/>
  <c r="R229" i="7"/>
  <c r="C49" i="6" a="1"/>
  <c r="C49" i="6" s="1"/>
  <c r="BM49" i="6" s="1"/>
  <c r="B49" i="6" a="1"/>
  <c r="B49" i="6" s="1"/>
  <c r="BK49" i="6" a="1"/>
  <c r="BK49" i="6" s="1"/>
  <c r="F49" i="6"/>
  <c r="BL49" i="6" a="1"/>
  <c r="BL49" i="6" s="1"/>
  <c r="B59" i="6" a="1"/>
  <c r="B59" i="6" s="1"/>
  <c r="C59" i="6" a="1"/>
  <c r="C59" i="6" s="1"/>
  <c r="BM59" i="6" s="1"/>
  <c r="BK59" i="6" a="1"/>
  <c r="BK59" i="6" s="1"/>
  <c r="F59" i="6"/>
  <c r="BL59" i="6" a="1"/>
  <c r="BL59" i="6" s="1"/>
  <c r="BL70" i="6" a="1"/>
  <c r="BL70" i="6" s="1"/>
  <c r="B70" i="6" a="1"/>
  <c r="B70" i="6" s="1"/>
  <c r="F70" i="6"/>
  <c r="C70" i="6" a="1"/>
  <c r="C70" i="6" s="1"/>
  <c r="BM70" i="6" s="1"/>
  <c r="BK70" i="6" a="1"/>
  <c r="BK70" i="6" s="1"/>
  <c r="C142" i="6" a="1"/>
  <c r="C142" i="6" s="1"/>
  <c r="BM142" i="6" s="1"/>
  <c r="BK142" i="6" a="1"/>
  <c r="BK142" i="6" s="1"/>
  <c r="BL142" i="6" a="1"/>
  <c r="BL142" i="6" s="1"/>
  <c r="B142" i="6" a="1"/>
  <c r="B142" i="6" s="1"/>
  <c r="F142" i="6"/>
  <c r="BK260" i="6" a="1"/>
  <c r="BK260" i="6" s="1"/>
  <c r="BL260" i="6" a="1"/>
  <c r="BL260" i="6" s="1"/>
  <c r="B260" i="6" a="1"/>
  <c r="B260" i="6" s="1"/>
  <c r="C260" i="6" a="1"/>
  <c r="C260" i="6" s="1"/>
  <c r="BM260" i="6" s="1"/>
  <c r="F260" i="6"/>
  <c r="BI53" i="6" a="1"/>
  <c r="BI53" i="6" s="1"/>
  <c r="W200" i="7"/>
  <c r="P22" i="7"/>
  <c r="R22" i="7" s="1"/>
  <c r="AD22" i="7"/>
  <c r="BL232" i="6" a="1"/>
  <c r="BL232" i="6" s="1"/>
  <c r="BK232" i="6" a="1"/>
  <c r="BK232" i="6" s="1"/>
  <c r="B232" i="6" a="1"/>
  <c r="B232" i="6" s="1"/>
  <c r="C232" i="6" a="1"/>
  <c r="C232" i="6" s="1"/>
  <c r="BM232" i="6" s="1"/>
  <c r="F232" i="6"/>
  <c r="S218" i="7"/>
  <c r="F248" i="6"/>
  <c r="BK248" i="6" a="1"/>
  <c r="BK248" i="6" s="1"/>
  <c r="B248" i="6" a="1"/>
  <c r="B248" i="6" s="1"/>
  <c r="C248" i="6" a="1"/>
  <c r="C248" i="6" s="1"/>
  <c r="BM248" i="6" s="1"/>
  <c r="BL248" i="6" a="1"/>
  <c r="BL248" i="6" s="1"/>
  <c r="BL175" i="6" a="1"/>
  <c r="BL175" i="6" s="1"/>
  <c r="B175" i="6" a="1"/>
  <c r="B175" i="6" s="1"/>
  <c r="C175" i="6" a="1"/>
  <c r="C175" i="6" s="1"/>
  <c r="BM175" i="6" s="1"/>
  <c r="BK175" i="6" a="1"/>
  <c r="BK175" i="6" s="1"/>
  <c r="F175" i="6"/>
  <c r="G338" i="6"/>
  <c r="G335" i="6"/>
  <c r="G362" i="6"/>
  <c r="G309" i="6"/>
  <c r="G339" i="6"/>
  <c r="Q209" i="7"/>
  <c r="BK71" i="6" a="1"/>
  <c r="BK71" i="6" s="1"/>
  <c r="B71" i="6" a="1"/>
  <c r="B71" i="6" s="1"/>
  <c r="C71" i="6" a="1"/>
  <c r="C71" i="6" s="1"/>
  <c r="BM71" i="6" s="1"/>
  <c r="F71" i="6"/>
  <c r="BL71" i="6" a="1"/>
  <c r="BL71" i="6" s="1"/>
  <c r="F103" i="6"/>
  <c r="B103" i="6" a="1"/>
  <c r="B103" i="6" s="1"/>
  <c r="C103" i="6" a="1"/>
  <c r="C103" i="6" s="1"/>
  <c r="BM103" i="6" s="1"/>
  <c r="BK103" i="6" a="1"/>
  <c r="BK103" i="6" s="1"/>
  <c r="BL103" i="6" a="1"/>
  <c r="BL103" i="6" s="1"/>
  <c r="C197" i="6" a="1"/>
  <c r="C197" i="6" s="1"/>
  <c r="BM197" i="6" s="1"/>
  <c r="B197" i="6" a="1"/>
  <c r="B197" i="6" s="1"/>
  <c r="BK197" i="6" a="1"/>
  <c r="BK197" i="6" s="1"/>
  <c r="BL197" i="6" a="1"/>
  <c r="BL197" i="6" s="1"/>
  <c r="F197" i="6"/>
  <c r="BK171" i="6" a="1"/>
  <c r="BK171" i="6" s="1"/>
  <c r="F171" i="6"/>
  <c r="C171" i="6" a="1"/>
  <c r="C171" i="6" s="1"/>
  <c r="BM171" i="6" s="1"/>
  <c r="E171" i="6" a="1"/>
  <c r="E171" i="6" s="1"/>
  <c r="B171" i="6" a="1"/>
  <c r="B171" i="6" s="1"/>
  <c r="BL171" i="6" a="1"/>
  <c r="BL171" i="6" s="1"/>
  <c r="S200" i="7"/>
  <c r="U104" i="7"/>
  <c r="U103" i="7" s="1"/>
  <c r="U149" i="7"/>
  <c r="W218" i="7"/>
  <c r="P25" i="7"/>
  <c r="BK263" i="6" a="1"/>
  <c r="BK263" i="6" s="1"/>
  <c r="BL263" i="6" a="1"/>
  <c r="BL263" i="6" s="1"/>
  <c r="C263" i="6" a="1"/>
  <c r="C263" i="6" s="1"/>
  <c r="B263" i="6" a="1"/>
  <c r="B263" i="6" s="1"/>
  <c r="B262" i="6" s="1"/>
  <c r="F263" i="6"/>
  <c r="B205" i="6" a="1"/>
  <c r="B205" i="6" s="1"/>
  <c r="BK205" i="6" a="1"/>
  <c r="BK205" i="6" s="1"/>
  <c r="BL205" i="6" a="1"/>
  <c r="BL205" i="6" s="1"/>
  <c r="C205" i="6" a="1"/>
  <c r="C205" i="6" s="1"/>
  <c r="BM205" i="6" s="1"/>
  <c r="F205" i="6"/>
  <c r="BK131" i="6" a="1"/>
  <c r="BK131" i="6" s="1"/>
  <c r="BL131" i="6" a="1"/>
  <c r="BL131" i="6" s="1"/>
  <c r="B131" i="6" a="1"/>
  <c r="B131" i="6" s="1"/>
  <c r="C131" i="6" a="1"/>
  <c r="C131" i="6" s="1"/>
  <c r="BM131" i="6" s="1"/>
  <c r="F131" i="6"/>
  <c r="AD158" i="7"/>
  <c r="P158" i="7"/>
  <c r="S67" i="7"/>
  <c r="P64" i="7"/>
  <c r="R64" i="7" s="1"/>
  <c r="AD64" i="7"/>
  <c r="BL52" i="6" a="1"/>
  <c r="BL52" i="6" s="1"/>
  <c r="B52" i="6" a="1"/>
  <c r="B52" i="6" s="1"/>
  <c r="F52" i="6"/>
  <c r="BK52" i="6" a="1"/>
  <c r="BK52" i="6" s="1"/>
  <c r="C52" i="6" a="1"/>
  <c r="C52" i="6" s="1"/>
  <c r="BM52" i="6" s="1"/>
  <c r="G341" i="6"/>
  <c r="G354" i="6"/>
  <c r="G296" i="6"/>
  <c r="P175" i="7"/>
  <c r="R175" i="7" s="1"/>
  <c r="AD175" i="7"/>
  <c r="F60" i="6"/>
  <c r="C60" i="6" a="1"/>
  <c r="C60" i="6" s="1"/>
  <c r="BM60" i="6" s="1"/>
  <c r="BK60" i="6" a="1"/>
  <c r="BK60" i="6" s="1"/>
  <c r="B60" i="6" a="1"/>
  <c r="B60" i="6" s="1"/>
  <c r="BL60" i="6" a="1"/>
  <c r="BL60" i="6" s="1"/>
  <c r="B132" i="6" a="1"/>
  <c r="B132" i="6" s="1"/>
  <c r="C132" i="6" a="1"/>
  <c r="C132" i="6" s="1"/>
  <c r="BM132" i="6" s="1"/>
  <c r="F132" i="6"/>
  <c r="BK132" i="6" a="1"/>
  <c r="BK132" i="6" s="1"/>
  <c r="BL132" i="6" a="1"/>
  <c r="BL132" i="6" s="1"/>
  <c r="F128" i="6"/>
  <c r="BL128" i="6" a="1"/>
  <c r="BL128" i="6" s="1"/>
  <c r="BK128" i="6" a="1"/>
  <c r="BK128" i="6" s="1"/>
  <c r="B128" i="6" a="1"/>
  <c r="B128" i="6" s="1"/>
  <c r="B127" i="6" s="1"/>
  <c r="C128" i="6" a="1"/>
  <c r="C128" i="6" s="1"/>
  <c r="C192" i="6" a="1"/>
  <c r="C192" i="6" s="1"/>
  <c r="BM192" i="6" s="1"/>
  <c r="F192" i="6"/>
  <c r="BK192" i="6" a="1"/>
  <c r="BK192" i="6" s="1"/>
  <c r="BL192" i="6" a="1"/>
  <c r="BL192" i="6" s="1"/>
  <c r="B192" i="6" a="1"/>
  <c r="B192" i="6" s="1"/>
  <c r="BL201" i="6" a="1"/>
  <c r="BL201" i="6" s="1"/>
  <c r="C201" i="6" a="1"/>
  <c r="C201" i="6" s="1"/>
  <c r="BM201" i="6" s="1"/>
  <c r="F201" i="6"/>
  <c r="B201" i="6" a="1"/>
  <c r="B201" i="6" s="1"/>
  <c r="BK201" i="6" a="1"/>
  <c r="BK201" i="6" s="1"/>
  <c r="BI173" i="6" a="1"/>
  <c r="BI173" i="6" s="1"/>
  <c r="P17" i="7"/>
  <c r="AD17" i="7"/>
  <c r="U34" i="7"/>
  <c r="S94" i="7"/>
  <c r="T118" i="7"/>
  <c r="T117" i="7" s="1"/>
  <c r="S149" i="7"/>
  <c r="F156" i="6"/>
  <c r="BK156" i="6" a="1"/>
  <c r="BK156" i="6" s="1"/>
  <c r="B156" i="6" a="1"/>
  <c r="B156" i="6" s="1"/>
  <c r="C156" i="6" a="1"/>
  <c r="C156" i="6" s="1"/>
  <c r="BM156" i="6" s="1"/>
  <c r="BL156" i="6" a="1"/>
  <c r="BL156" i="6" s="1"/>
  <c r="G355" i="6"/>
  <c r="B30" i="6" a="1"/>
  <c r="B30" i="6" s="1"/>
  <c r="F30" i="6"/>
  <c r="BK30" i="6" a="1"/>
  <c r="BK30" i="6" s="1"/>
  <c r="BL30" i="6" a="1"/>
  <c r="BL30" i="6" s="1"/>
  <c r="C30" i="6" a="1"/>
  <c r="C30" i="6" s="1"/>
  <c r="BM30" i="6" s="1"/>
  <c r="G353" i="6"/>
  <c r="G324" i="6"/>
  <c r="G337" i="6"/>
  <c r="G320" i="6"/>
  <c r="BK84" i="6" a="1"/>
  <c r="BK84" i="6" s="1"/>
  <c r="B84" i="6" a="1"/>
  <c r="B84" i="6" s="1"/>
  <c r="C84" i="6" a="1"/>
  <c r="C84" i="6" s="1"/>
  <c r="BM84" i="6" s="1"/>
  <c r="BL84" i="6" a="1"/>
  <c r="BL84" i="6" s="1"/>
  <c r="F84" i="6"/>
  <c r="C87" i="6" a="1"/>
  <c r="C87" i="6" s="1"/>
  <c r="BM87" i="6" s="1"/>
  <c r="B87" i="6" a="1"/>
  <c r="B87" i="6" s="1"/>
  <c r="BK87" i="6" a="1"/>
  <c r="BK87" i="6" s="1"/>
  <c r="BL87" i="6" a="1"/>
  <c r="BL87" i="6" s="1"/>
  <c r="F87" i="6"/>
  <c r="F88" i="6"/>
  <c r="BL88" i="6" a="1"/>
  <c r="BL88" i="6" s="1"/>
  <c r="BK88" i="6" a="1"/>
  <c r="BK88" i="6" s="1"/>
  <c r="C88" i="6" a="1"/>
  <c r="C88" i="6" s="1"/>
  <c r="BM88" i="6" s="1"/>
  <c r="B88" i="6" a="1"/>
  <c r="B88" i="6" s="1"/>
  <c r="BL93" i="6" a="1"/>
  <c r="BL93" i="6" s="1"/>
  <c r="F93" i="6"/>
  <c r="BK93" i="6" a="1"/>
  <c r="BK93" i="6" s="1"/>
  <c r="B93" i="6" a="1"/>
  <c r="B93" i="6" s="1"/>
  <c r="C93" i="6" a="1"/>
  <c r="C93" i="6" s="1"/>
  <c r="BM93" i="6" s="1"/>
  <c r="BK119" i="6" a="1"/>
  <c r="BK119" i="6" s="1"/>
  <c r="BL119" i="6" a="1"/>
  <c r="BL119" i="6" s="1"/>
  <c r="B119" i="6" a="1"/>
  <c r="B119" i="6" s="1"/>
  <c r="B118" i="6" s="1"/>
  <c r="F119" i="6"/>
  <c r="C119" i="6" a="1"/>
  <c r="C119" i="6" s="1"/>
  <c r="BI222" i="6" a="1"/>
  <c r="BI222" i="6" s="1"/>
  <c r="S64" i="7"/>
  <c r="U230" i="7"/>
  <c r="S183" i="7"/>
  <c r="Q67" i="7"/>
  <c r="BL110" i="6" a="1"/>
  <c r="BL110" i="6" s="1"/>
  <c r="B110" i="6" a="1"/>
  <c r="B110" i="6" s="1"/>
  <c r="B109" i="6" s="1"/>
  <c r="F110" i="6"/>
  <c r="BK110" i="6" a="1"/>
  <c r="BK110" i="6" s="1"/>
  <c r="C110" i="6" a="1"/>
  <c r="C110" i="6" s="1"/>
  <c r="BL161" i="6" a="1"/>
  <c r="BL161" i="6" s="1"/>
  <c r="BK161" i="6" a="1"/>
  <c r="BK161" i="6" s="1"/>
  <c r="B161" i="6" a="1"/>
  <c r="B161" i="6" s="1"/>
  <c r="C161" i="6" a="1"/>
  <c r="C161" i="6" s="1"/>
  <c r="BM161" i="6" s="1"/>
  <c r="F161" i="6"/>
  <c r="C47" i="6" a="1"/>
  <c r="C47" i="6" s="1"/>
  <c r="B47" i="6" a="1"/>
  <c r="B47" i="6" s="1"/>
  <c r="B46" i="6" s="1"/>
  <c r="F47" i="6"/>
  <c r="BK47" i="6" a="1"/>
  <c r="BK47" i="6" s="1"/>
  <c r="BL47" i="6" a="1"/>
  <c r="BL47" i="6" s="1"/>
  <c r="G295" i="6"/>
  <c r="BK81" i="6" a="1"/>
  <c r="BK81" i="6" s="1"/>
  <c r="BL81" i="6" a="1"/>
  <c r="BL81" i="6" s="1"/>
  <c r="B81" i="6" a="1"/>
  <c r="B81" i="6" s="1"/>
  <c r="C81" i="6" a="1"/>
  <c r="C81" i="6" s="1"/>
  <c r="BM81" i="6" s="1"/>
  <c r="F81" i="6"/>
  <c r="E81" i="6" a="1"/>
  <c r="E81" i="6" s="1"/>
  <c r="U67" i="7"/>
  <c r="C57" i="6" a="1"/>
  <c r="C57" i="6" s="1"/>
  <c r="BM57" i="6" s="1"/>
  <c r="BK57" i="6" a="1"/>
  <c r="BK57" i="6" s="1"/>
  <c r="BL57" i="6" a="1"/>
  <c r="BL57" i="6" s="1"/>
  <c r="F57" i="6"/>
  <c r="B57" i="6" a="1"/>
  <c r="B57" i="6" s="1"/>
  <c r="BL41" i="6" a="1"/>
  <c r="BL41" i="6" s="1"/>
  <c r="B41" i="6" a="1"/>
  <c r="B41" i="6" s="1"/>
  <c r="C41" i="6" a="1"/>
  <c r="C41" i="6" s="1"/>
  <c r="BM41" i="6" s="1"/>
  <c r="F41" i="6"/>
  <c r="BK41" i="6" a="1"/>
  <c r="BK41" i="6" s="1"/>
  <c r="C74" i="6" a="1"/>
  <c r="C74" i="6" s="1"/>
  <c r="F74" i="6"/>
  <c r="BK74" i="6" a="1"/>
  <c r="BK74" i="6" s="1"/>
  <c r="BL74" i="6" a="1"/>
  <c r="BL74" i="6" s="1"/>
  <c r="B74" i="6" a="1"/>
  <c r="B74" i="6" s="1"/>
  <c r="B73" i="6" s="1"/>
  <c r="BK124" i="6" a="1"/>
  <c r="BK124" i="6" s="1"/>
  <c r="BL124" i="6" a="1"/>
  <c r="BL124" i="6" s="1"/>
  <c r="F124" i="6"/>
  <c r="B124" i="6" a="1"/>
  <c r="B124" i="6" s="1"/>
  <c r="C124" i="6" a="1"/>
  <c r="C124" i="6" s="1"/>
  <c r="BM124" i="6" s="1"/>
  <c r="C243" i="6" a="1"/>
  <c r="C243" i="6" s="1"/>
  <c r="BM243" i="6" s="1"/>
  <c r="BL243" i="6" a="1"/>
  <c r="BL243" i="6" s="1"/>
  <c r="E243" i="6" a="1"/>
  <c r="E243" i="6" s="1"/>
  <c r="F243" i="6"/>
  <c r="BK243" i="6" a="1"/>
  <c r="BK243" i="6" s="1"/>
  <c r="B243" i="6" a="1"/>
  <c r="B243" i="6" s="1"/>
  <c r="BL129" i="6" a="1"/>
  <c r="BL129" i="6" s="1"/>
  <c r="F129" i="6"/>
  <c r="B129" i="6" a="1"/>
  <c r="B129" i="6" s="1"/>
  <c r="C129" i="6" a="1"/>
  <c r="C129" i="6" s="1"/>
  <c r="BM129" i="6" s="1"/>
  <c r="BK129" i="6" a="1"/>
  <c r="BK129" i="6" s="1"/>
  <c r="P153" i="7"/>
  <c r="W25" i="7"/>
  <c r="W158" i="7"/>
  <c r="W157" i="7" s="1"/>
  <c r="R105" i="7"/>
  <c r="BK75" i="6" a="1"/>
  <c r="BK75" i="6" s="1"/>
  <c r="BL75" i="6" a="1"/>
  <c r="BL75" i="6" s="1"/>
  <c r="B75" i="6" a="1"/>
  <c r="B75" i="6" s="1"/>
  <c r="C75" i="6" a="1"/>
  <c r="C75" i="6" s="1"/>
  <c r="BM75" i="6" s="1"/>
  <c r="F75" i="6"/>
  <c r="BK158" i="6" a="1"/>
  <c r="BK158" i="6" s="1"/>
  <c r="C158" i="6" a="1"/>
  <c r="C158" i="6" s="1"/>
  <c r="BM158" i="6" s="1"/>
  <c r="F158" i="6"/>
  <c r="B158" i="6" a="1"/>
  <c r="B158" i="6" s="1"/>
  <c r="BL158" i="6" a="1"/>
  <c r="BL158" i="6" s="1"/>
  <c r="BK104" i="6" a="1"/>
  <c r="BK104" i="6" s="1"/>
  <c r="B104" i="6" a="1"/>
  <c r="B104" i="6" s="1"/>
  <c r="C104" i="6" a="1"/>
  <c r="C104" i="6" s="1"/>
  <c r="BM104" i="6" s="1"/>
  <c r="F104" i="6"/>
  <c r="BL104" i="6" a="1"/>
  <c r="BL104" i="6" s="1"/>
  <c r="BL58" i="6" a="1"/>
  <c r="BL58" i="6" s="1"/>
  <c r="F58" i="6"/>
  <c r="C58" i="6" a="1"/>
  <c r="C58" i="6" s="1"/>
  <c r="BM58" i="6" s="1"/>
  <c r="BK58" i="6" a="1"/>
  <c r="BK58" i="6" s="1"/>
  <c r="B58" i="6" a="1"/>
  <c r="B58" i="6" s="1"/>
  <c r="B227" i="6" a="1"/>
  <c r="B227" i="6" s="1"/>
  <c r="B226" i="6" s="1"/>
  <c r="C227" i="6" a="1"/>
  <c r="C227" i="6" s="1"/>
  <c r="F227" i="6"/>
  <c r="BK227" i="6" a="1"/>
  <c r="BK227" i="6" s="1"/>
  <c r="BL227" i="6" a="1"/>
  <c r="BL227" i="6" s="1"/>
  <c r="BL255" i="6" a="1"/>
  <c r="BL255" i="6" s="1"/>
  <c r="B255" i="6" a="1"/>
  <c r="B255" i="6" s="1"/>
  <c r="C255" i="6" a="1"/>
  <c r="C255" i="6" s="1"/>
  <c r="BM255" i="6" s="1"/>
  <c r="BK255" i="6" a="1"/>
  <c r="BK255" i="6" s="1"/>
  <c r="F255" i="6"/>
  <c r="W52" i="7"/>
  <c r="W166" i="7"/>
  <c r="W153" i="7"/>
  <c r="U16" i="7"/>
  <c r="P152" i="7"/>
  <c r="R152" i="7" s="1"/>
  <c r="AD152" i="7"/>
  <c r="BK193" i="6" a="1"/>
  <c r="BK193" i="6" s="1"/>
  <c r="B193" i="6" a="1"/>
  <c r="B193" i="6" s="1"/>
  <c r="F193" i="6"/>
  <c r="C193" i="6" a="1"/>
  <c r="C193" i="6" s="1"/>
  <c r="BM193" i="6" s="1"/>
  <c r="BL193" i="6" a="1"/>
  <c r="BL193" i="6" s="1"/>
  <c r="S43" i="7"/>
  <c r="G319" i="6"/>
  <c r="BK34" i="6" a="1"/>
  <c r="BK34" i="6" s="1"/>
  <c r="C34" i="6" a="1"/>
  <c r="C34" i="6" s="1"/>
  <c r="BM34" i="6" s="1"/>
  <c r="B34" i="6" a="1"/>
  <c r="B34" i="6" s="1"/>
  <c r="F34" i="6"/>
  <c r="BL34" i="6" a="1"/>
  <c r="BL34" i="6" s="1"/>
  <c r="T149" i="7"/>
  <c r="G358" i="6"/>
  <c r="G333" i="6"/>
  <c r="P145" i="7"/>
  <c r="R145" i="7" s="1"/>
  <c r="AD145" i="7"/>
  <c r="T145" i="7"/>
  <c r="T137" i="7" s="1"/>
  <c r="S145" i="7"/>
  <c r="C160" i="6" a="1"/>
  <c r="C160" i="6" s="1"/>
  <c r="BM160" i="6" s="1"/>
  <c r="BK160" i="6" a="1"/>
  <c r="BK160" i="6" s="1"/>
  <c r="BL160" i="6" a="1"/>
  <c r="BL160" i="6" s="1"/>
  <c r="B160" i="6" a="1"/>
  <c r="B160" i="6" s="1"/>
  <c r="F160" i="6"/>
  <c r="BK72" i="6" a="1"/>
  <c r="BK72" i="6" s="1"/>
  <c r="BL72" i="6" a="1"/>
  <c r="BL72" i="6" s="1"/>
  <c r="F72" i="6"/>
  <c r="B72" i="6" a="1"/>
  <c r="B72" i="6" s="1"/>
  <c r="C72" i="6" a="1"/>
  <c r="C72" i="6" s="1"/>
  <c r="BM72" i="6" s="1"/>
  <c r="E72" i="6" a="1"/>
  <c r="E72" i="6" s="1"/>
  <c r="BK196" i="6" a="1"/>
  <c r="BK196" i="6" s="1"/>
  <c r="BL196" i="6" a="1"/>
  <c r="BL196" i="6" s="1"/>
  <c r="B196" i="6" a="1"/>
  <c r="B196" i="6" s="1"/>
  <c r="F196" i="6"/>
  <c r="C196" i="6" a="1"/>
  <c r="C196" i="6" s="1"/>
  <c r="BM196" i="6" s="1"/>
  <c r="BL148" i="6" a="1"/>
  <c r="BL148" i="6" s="1"/>
  <c r="BK148" i="6" a="1"/>
  <c r="BK148" i="6" s="1"/>
  <c r="B148" i="6" a="1"/>
  <c r="B148" i="6" s="1"/>
  <c r="C148" i="6" a="1"/>
  <c r="C148" i="6" s="1"/>
  <c r="BM148" i="6" s="1"/>
  <c r="F148" i="6"/>
  <c r="W145" i="7"/>
  <c r="W137" i="7" s="1"/>
  <c r="W146" i="7"/>
  <c r="W126" i="7"/>
  <c r="T152" i="7"/>
  <c r="W43" i="7"/>
  <c r="U152" i="7"/>
  <c r="P67" i="7"/>
  <c r="R68" i="7"/>
  <c r="S25" i="7"/>
  <c r="BL42" i="6" a="1"/>
  <c r="BL42" i="6" s="1"/>
  <c r="BK42" i="6" a="1"/>
  <c r="BK42" i="6" s="1"/>
  <c r="F42" i="6"/>
  <c r="C42" i="6" a="1"/>
  <c r="C42" i="6" s="1"/>
  <c r="BM42" i="6" s="1"/>
  <c r="B42" i="6" a="1"/>
  <c r="B42" i="6" s="1"/>
  <c r="T67" i="7"/>
  <c r="G281" i="6"/>
  <c r="F216" i="6"/>
  <c r="BK216" i="6" a="1"/>
  <c r="BK216" i="6" s="1"/>
  <c r="B216" i="6" a="1"/>
  <c r="B216" i="6" s="1"/>
  <c r="C216" i="6" a="1"/>
  <c r="C216" i="6" s="1"/>
  <c r="BM216" i="6" s="1"/>
  <c r="E216" i="6" a="1"/>
  <c r="E216" i="6" s="1"/>
  <c r="BL216" i="6" a="1"/>
  <c r="BL216" i="6" s="1"/>
  <c r="BL112" i="6" a="1"/>
  <c r="BL112" i="6" s="1"/>
  <c r="B112" i="6" a="1"/>
  <c r="B112" i="6" s="1"/>
  <c r="C112" i="6" a="1"/>
  <c r="C112" i="6" s="1"/>
  <c r="BM112" i="6" s="1"/>
  <c r="F112" i="6"/>
  <c r="BK112" i="6" a="1"/>
  <c r="BK112" i="6" s="1"/>
  <c r="G376" i="6"/>
  <c r="G332" i="6"/>
  <c r="C86" i="6" a="1"/>
  <c r="C86" i="6" s="1"/>
  <c r="BM86" i="6" s="1"/>
  <c r="F86" i="6"/>
  <c r="BL86" i="6" a="1"/>
  <c r="BL86" i="6" s="1"/>
  <c r="B86" i="6" a="1"/>
  <c r="B86" i="6" s="1"/>
  <c r="BK86" i="6" a="1"/>
  <c r="BK86" i="6" s="1"/>
  <c r="B138" i="6" a="1"/>
  <c r="B138" i="6" s="1"/>
  <c r="C138" i="6" a="1"/>
  <c r="C138" i="6" s="1"/>
  <c r="BM138" i="6" s="1"/>
  <c r="F138" i="6"/>
  <c r="BK138" i="6" a="1"/>
  <c r="BK138" i="6" s="1"/>
  <c r="BL138" i="6" a="1"/>
  <c r="BL138" i="6" s="1"/>
  <c r="BK186" i="6" a="1"/>
  <c r="BK186" i="6" s="1"/>
  <c r="C186" i="6" a="1"/>
  <c r="C186" i="6" s="1"/>
  <c r="BM186" i="6" s="1"/>
  <c r="B186" i="6" a="1"/>
  <c r="B186" i="6" s="1"/>
  <c r="F186" i="6"/>
  <c r="BL186" i="6" a="1"/>
  <c r="BL186" i="6" s="1"/>
  <c r="BK207" i="6" a="1"/>
  <c r="BK207" i="6" s="1"/>
  <c r="B207" i="6" a="1"/>
  <c r="B207" i="6" s="1"/>
  <c r="C207" i="6" a="1"/>
  <c r="C207" i="6" s="1"/>
  <c r="BM207" i="6" s="1"/>
  <c r="F207" i="6"/>
  <c r="E207" i="6" a="1"/>
  <c r="E207" i="6" s="1"/>
  <c r="BL207" i="6" a="1"/>
  <c r="BL207" i="6" s="1"/>
  <c r="B146" i="6" a="1"/>
  <c r="B146" i="6" s="1"/>
  <c r="B145" i="6" s="1"/>
  <c r="BK146" i="6" a="1"/>
  <c r="BK146" i="6" s="1"/>
  <c r="BL146" i="6" a="1"/>
  <c r="BL146" i="6" s="1"/>
  <c r="C146" i="6" a="1"/>
  <c r="C146" i="6" s="1"/>
  <c r="F146" i="6"/>
  <c r="AD116" i="7"/>
  <c r="P116" i="7"/>
  <c r="U171" i="7"/>
  <c r="U209" i="7"/>
  <c r="P126" i="7"/>
  <c r="R107" i="7"/>
  <c r="BK139" i="6" a="1"/>
  <c r="BK139" i="6" s="1"/>
  <c r="B139" i="6" a="1"/>
  <c r="B139" i="6" s="1"/>
  <c r="C139" i="6" a="1"/>
  <c r="C139" i="6" s="1"/>
  <c r="BM139" i="6" s="1"/>
  <c r="BL139" i="6" a="1"/>
  <c r="BL139" i="6" s="1"/>
  <c r="F139" i="6"/>
  <c r="G302" i="6"/>
  <c r="G348" i="6"/>
  <c r="BK43" i="6" a="1"/>
  <c r="BK43" i="6" s="1"/>
  <c r="BL43" i="6" a="1"/>
  <c r="BL43" i="6" s="1"/>
  <c r="B43" i="6" a="1"/>
  <c r="B43" i="6" s="1"/>
  <c r="F43" i="6"/>
  <c r="C43" i="6" a="1"/>
  <c r="C43" i="6" s="1"/>
  <c r="BM43" i="6" s="1"/>
  <c r="BK188" i="6" a="1"/>
  <c r="BK188" i="6" s="1"/>
  <c r="C188" i="6" a="1"/>
  <c r="C188" i="6" s="1"/>
  <c r="BM188" i="6" s="1"/>
  <c r="F188" i="6"/>
  <c r="BL188" i="6" a="1"/>
  <c r="BL188" i="6" s="1"/>
  <c r="B188" i="6" a="1"/>
  <c r="B188" i="6" s="1"/>
  <c r="BK168" i="6" a="1"/>
  <c r="BK168" i="6" s="1"/>
  <c r="BL168" i="6" a="1"/>
  <c r="BL168" i="6" s="1"/>
  <c r="C168" i="6" a="1"/>
  <c r="C168" i="6" s="1"/>
  <c r="BM168" i="6" s="1"/>
  <c r="B168" i="6" a="1"/>
  <c r="B168" i="6" s="1"/>
  <c r="F168" i="6"/>
  <c r="BK105" i="6" a="1"/>
  <c r="BK105" i="6" s="1"/>
  <c r="BL105" i="6" a="1"/>
  <c r="BL105" i="6" s="1"/>
  <c r="B105" i="6" a="1"/>
  <c r="B105" i="6" s="1"/>
  <c r="F105" i="6"/>
  <c r="C105" i="6" a="1"/>
  <c r="C105" i="6" s="1"/>
  <c r="BM105" i="6" s="1"/>
  <c r="BL143" i="6" a="1"/>
  <c r="BL143" i="6" s="1"/>
  <c r="B143" i="6" a="1"/>
  <c r="B143" i="6" s="1"/>
  <c r="C143" i="6" a="1"/>
  <c r="C143" i="6" s="1"/>
  <c r="BM143" i="6" s="1"/>
  <c r="F143" i="6"/>
  <c r="BK143" i="6" a="1"/>
  <c r="BK143" i="6" s="1"/>
  <c r="B170" i="6" a="1"/>
  <c r="B170" i="6" s="1"/>
  <c r="C170" i="6" a="1"/>
  <c r="C170" i="6" s="1"/>
  <c r="BM170" i="6" s="1"/>
  <c r="F170" i="6"/>
  <c r="BK170" i="6" a="1"/>
  <c r="BK170" i="6" s="1"/>
  <c r="BL170" i="6" a="1"/>
  <c r="BL170" i="6" s="1"/>
  <c r="R210" i="7"/>
  <c r="U43" i="7"/>
  <c r="T153" i="7"/>
  <c r="T104" i="7"/>
  <c r="T103" i="7" s="1"/>
  <c r="R138" i="7"/>
  <c r="Q34" i="7"/>
  <c r="R35" i="7"/>
  <c r="P34" i="7"/>
  <c r="G328" i="6"/>
  <c r="P65" i="7"/>
  <c r="Z170" i="7"/>
  <c r="Y170" i="7"/>
  <c r="B147" i="6" a="1"/>
  <c r="B147" i="6" s="1"/>
  <c r="C147" i="6" a="1"/>
  <c r="C147" i="6" s="1"/>
  <c r="BM147" i="6" s="1"/>
  <c r="BK147" i="6" a="1"/>
  <c r="BK147" i="6" s="1"/>
  <c r="BL147" i="6" a="1"/>
  <c r="BL147" i="6" s="1"/>
  <c r="F147" i="6"/>
  <c r="G349" i="6"/>
  <c r="B38" i="6" a="1"/>
  <c r="B38" i="6" s="1"/>
  <c r="B37" i="6" s="1"/>
  <c r="C38" i="6" a="1"/>
  <c r="C38" i="6" s="1"/>
  <c r="BK38" i="6" a="1"/>
  <c r="BK38" i="6" s="1"/>
  <c r="F38" i="6"/>
  <c r="BL38" i="6" a="1"/>
  <c r="BL38" i="6" s="1"/>
  <c r="B246" i="6" a="1"/>
  <c r="B246" i="6" s="1"/>
  <c r="BL246" i="6" a="1"/>
  <c r="BL246" i="6" s="1"/>
  <c r="C246" i="6" a="1"/>
  <c r="C246" i="6" s="1"/>
  <c r="BM246" i="6" s="1"/>
  <c r="BK246" i="6" a="1"/>
  <c r="BK246" i="6" s="1"/>
  <c r="F246" i="6"/>
  <c r="C203" i="6" a="1"/>
  <c r="C203" i="6" s="1"/>
  <c r="BM203" i="6" s="1"/>
  <c r="BK203" i="6" a="1"/>
  <c r="BK203" i="6" s="1"/>
  <c r="F203" i="6"/>
  <c r="BL203" i="6" a="1"/>
  <c r="BL203" i="6" s="1"/>
  <c r="B203" i="6" a="1"/>
  <c r="B203" i="6" s="1"/>
  <c r="BK251" i="6" a="1"/>
  <c r="BK251" i="6" s="1"/>
  <c r="BL251" i="6" a="1"/>
  <c r="BL251" i="6" s="1"/>
  <c r="C251" i="6" a="1"/>
  <c r="C251" i="6" s="1"/>
  <c r="BM251" i="6" s="1"/>
  <c r="B251" i="6" a="1"/>
  <c r="B251" i="6" s="1"/>
  <c r="F251" i="6"/>
  <c r="F237" i="6"/>
  <c r="BK237" i="6" a="1"/>
  <c r="BK237" i="6" s="1"/>
  <c r="BL237" i="6" a="1"/>
  <c r="BL237" i="6" s="1"/>
  <c r="B237" i="6" a="1"/>
  <c r="B237" i="6" s="1"/>
  <c r="C237" i="6" a="1"/>
  <c r="C237" i="6" s="1"/>
  <c r="BM237" i="6" s="1"/>
  <c r="AD86" i="7"/>
  <c r="P86" i="7"/>
  <c r="S65" i="7"/>
  <c r="S166" i="7"/>
  <c r="W67" i="7"/>
  <c r="W188" i="7"/>
  <c r="BL258" i="6" a="1"/>
  <c r="BL258" i="6" s="1"/>
  <c r="B258" i="6" a="1"/>
  <c r="B258" i="6" s="1"/>
  <c r="C258" i="6" a="1"/>
  <c r="C258" i="6" s="1"/>
  <c r="BM258" i="6" s="1"/>
  <c r="F258" i="6"/>
  <c r="BK258" i="6" a="1"/>
  <c r="BK258" i="6" s="1"/>
  <c r="B228" i="6" a="1"/>
  <c r="B228" i="6" s="1"/>
  <c r="C228" i="6" a="1"/>
  <c r="C228" i="6" s="1"/>
  <c r="BM228" i="6" s="1"/>
  <c r="F228" i="6"/>
  <c r="BK228" i="6" a="1"/>
  <c r="BK228" i="6" s="1"/>
  <c r="BL228" i="6" a="1"/>
  <c r="BL228" i="6" s="1"/>
  <c r="S152" i="7"/>
  <c r="F266" i="6"/>
  <c r="B266" i="6" a="1"/>
  <c r="B266" i="6" s="1"/>
  <c r="C266" i="6" a="1"/>
  <c r="C266" i="6" s="1"/>
  <c r="BM266" i="6" s="1"/>
  <c r="BK266" i="6" a="1"/>
  <c r="BK266" i="6" s="1"/>
  <c r="BL266" i="6" a="1"/>
  <c r="BL266" i="6" s="1"/>
  <c r="S34" i="7"/>
  <c r="BK107" i="6" a="1"/>
  <c r="BK107" i="6" s="1"/>
  <c r="C107" i="6" a="1"/>
  <c r="C107" i="6" s="1"/>
  <c r="BM107" i="6" s="1"/>
  <c r="BL107" i="6" a="1"/>
  <c r="BL107" i="6" s="1"/>
  <c r="B107" i="6" a="1"/>
  <c r="B107" i="6" s="1"/>
  <c r="F107" i="6"/>
  <c r="G374" i="6"/>
  <c r="G286" i="6"/>
  <c r="BK77" i="6" a="1"/>
  <c r="BK77" i="6" s="1"/>
  <c r="B77" i="6" a="1"/>
  <c r="B77" i="6" s="1"/>
  <c r="C77" i="6" a="1"/>
  <c r="C77" i="6" s="1"/>
  <c r="BM77" i="6" s="1"/>
  <c r="F77" i="6"/>
  <c r="BL77" i="6" a="1"/>
  <c r="BL77" i="6" s="1"/>
  <c r="F130" i="6"/>
  <c r="B130" i="6" a="1"/>
  <c r="B130" i="6" s="1"/>
  <c r="C130" i="6" a="1"/>
  <c r="C130" i="6" s="1"/>
  <c r="BM130" i="6" s="1"/>
  <c r="BK130" i="6" a="1"/>
  <c r="BK130" i="6" s="1"/>
  <c r="BL130" i="6" a="1"/>
  <c r="BL130" i="6" s="1"/>
  <c r="BK76" i="6" a="1"/>
  <c r="BK76" i="6" s="1"/>
  <c r="BL76" i="6" a="1"/>
  <c r="BL76" i="6" s="1"/>
  <c r="B76" i="6" a="1"/>
  <c r="B76" i="6" s="1"/>
  <c r="F76" i="6"/>
  <c r="C76" i="6" a="1"/>
  <c r="C76" i="6" s="1"/>
  <c r="BM76" i="6" s="1"/>
  <c r="BL178" i="6" a="1"/>
  <c r="BL178" i="6" s="1"/>
  <c r="F178" i="6"/>
  <c r="BK178" i="6" a="1"/>
  <c r="BK178" i="6" s="1"/>
  <c r="B178" i="6" a="1"/>
  <c r="B178" i="6" s="1"/>
  <c r="C178" i="6" a="1"/>
  <c r="C178" i="6" s="1"/>
  <c r="BM178" i="6" s="1"/>
  <c r="B259" i="6" a="1"/>
  <c r="B259" i="6" s="1"/>
  <c r="C259" i="6" a="1"/>
  <c r="C259" i="6" s="1"/>
  <c r="BM259" i="6" s="1"/>
  <c r="BK259" i="6" a="1"/>
  <c r="BK259" i="6" s="1"/>
  <c r="BL259" i="6" a="1"/>
  <c r="BL259" i="6" s="1"/>
  <c r="F259" i="6"/>
  <c r="F213" i="6"/>
  <c r="BK213" i="6" a="1"/>
  <c r="BK213" i="6" s="1"/>
  <c r="B213" i="6" a="1"/>
  <c r="B213" i="6" s="1"/>
  <c r="BL213" i="6" a="1"/>
  <c r="BL213" i="6" s="1"/>
  <c r="C213" i="6" a="1"/>
  <c r="C213" i="6" s="1"/>
  <c r="BM213" i="6" s="1"/>
  <c r="BI218" i="6" a="1"/>
  <c r="BI218" i="6" s="1"/>
  <c r="S188" i="7"/>
  <c r="S118" i="7"/>
  <c r="T200" i="7"/>
  <c r="P212" i="7"/>
  <c r="AD212" i="7"/>
  <c r="BL230" i="6" a="1"/>
  <c r="BL230" i="6" s="1"/>
  <c r="B230" i="6" a="1"/>
  <c r="B230" i="6" s="1"/>
  <c r="BK230" i="6" a="1"/>
  <c r="BK230" i="6" s="1"/>
  <c r="F230" i="6"/>
  <c r="C230" i="6" a="1"/>
  <c r="C230" i="6" s="1"/>
  <c r="BM230" i="6" s="1"/>
  <c r="S177" i="7"/>
  <c r="Z198" i="7"/>
  <c r="Y198" i="7"/>
  <c r="E54" i="6" a="1"/>
  <c r="E54" i="6" s="1"/>
  <c r="BK54" i="6" a="1"/>
  <c r="BK54" i="6" s="1"/>
  <c r="BL54" i="6" a="1"/>
  <c r="BL54" i="6" s="1"/>
  <c r="B54" i="6" a="1"/>
  <c r="B54" i="6" s="1"/>
  <c r="C54" i="6" a="1"/>
  <c r="C54" i="6" s="1"/>
  <c r="BM54" i="6" s="1"/>
  <c r="F54" i="6"/>
  <c r="G282" i="6"/>
  <c r="G359" i="6"/>
  <c r="G300" i="6"/>
  <c r="G315" i="6"/>
  <c r="G371" i="6"/>
  <c r="G347" i="6"/>
  <c r="BK33" i="6" a="1"/>
  <c r="BK33" i="6" s="1"/>
  <c r="B33" i="6" a="1"/>
  <c r="B33" i="6" s="1"/>
  <c r="F33" i="6"/>
  <c r="BL33" i="6" a="1"/>
  <c r="BL33" i="6" s="1"/>
  <c r="C33" i="6" a="1"/>
  <c r="C33" i="6" s="1"/>
  <c r="BM33" i="6" s="1"/>
  <c r="BK162" i="6" a="1"/>
  <c r="BK162" i="6" s="1"/>
  <c r="E162" i="6" a="1"/>
  <c r="E162" i="6" s="1"/>
  <c r="BL162" i="6" a="1"/>
  <c r="BL162" i="6" s="1"/>
  <c r="B162" i="6" a="1"/>
  <c r="B162" i="6" s="1"/>
  <c r="C162" i="6" a="1"/>
  <c r="C162" i="6" s="1"/>
  <c r="BM162" i="6" s="1"/>
  <c r="F162" i="6"/>
  <c r="F106" i="6"/>
  <c r="BK106" i="6" a="1"/>
  <c r="BK106" i="6" s="1"/>
  <c r="BL106" i="6" a="1"/>
  <c r="BL106" i="6" s="1"/>
  <c r="B106" i="6" a="1"/>
  <c r="B106" i="6" s="1"/>
  <c r="C106" i="6" a="1"/>
  <c r="C106" i="6" s="1"/>
  <c r="BM106" i="6" s="1"/>
  <c r="B194" i="6" a="1"/>
  <c r="B194" i="6" s="1"/>
  <c r="C194" i="6" a="1"/>
  <c r="C194" i="6" s="1"/>
  <c r="BM194" i="6" s="1"/>
  <c r="BL194" i="6" a="1"/>
  <c r="BL194" i="6" s="1"/>
  <c r="F194" i="6"/>
  <c r="BK194" i="6" a="1"/>
  <c r="BK194" i="6" s="1"/>
  <c r="BL215" i="6" a="1"/>
  <c r="BL215" i="6" s="1"/>
  <c r="BK215" i="6" a="1"/>
  <c r="BK215" i="6" s="1"/>
  <c r="C215" i="6" a="1"/>
  <c r="C215" i="6" s="1"/>
  <c r="BM215" i="6" s="1"/>
  <c r="F215" i="6"/>
  <c r="B215" i="6" a="1"/>
  <c r="B215" i="6" s="1"/>
  <c r="BI210" i="6" a="1"/>
  <c r="BI210" i="6" s="1"/>
  <c r="P222" i="7"/>
  <c r="R222" i="7" s="1"/>
  <c r="AD222" i="7"/>
  <c r="W104" i="7"/>
  <c r="W103" i="7" s="1"/>
  <c r="W116" i="7"/>
  <c r="W112" i="7" s="1"/>
  <c r="C85" i="6" a="1"/>
  <c r="C85" i="6" s="1"/>
  <c r="BM85" i="6" s="1"/>
  <c r="BK85" i="6" a="1"/>
  <c r="BK85" i="6" s="1"/>
  <c r="BL85" i="6" a="1"/>
  <c r="BL85" i="6" s="1"/>
  <c r="F85" i="6"/>
  <c r="B85" i="6" a="1"/>
  <c r="B85" i="6" s="1"/>
  <c r="F202" i="6"/>
  <c r="B202" i="6" a="1"/>
  <c r="B202" i="6" s="1"/>
  <c r="C202" i="6" a="1"/>
  <c r="C202" i="6" s="1"/>
  <c r="BM202" i="6" s="1"/>
  <c r="BL202" i="6" a="1"/>
  <c r="BL202" i="6" s="1"/>
  <c r="BK202" i="6" a="1"/>
  <c r="BK202" i="6" s="1"/>
  <c r="P76" i="7"/>
  <c r="BK56" i="6" a="1"/>
  <c r="BK56" i="6" s="1"/>
  <c r="C56" i="6" a="1"/>
  <c r="C56" i="6" s="1"/>
  <c r="F56" i="6"/>
  <c r="B56" i="6" a="1"/>
  <c r="B56" i="6" s="1"/>
  <c r="B55" i="6" s="1"/>
  <c r="BL56" i="6" a="1"/>
  <c r="BL56" i="6" s="1"/>
  <c r="T183" i="7"/>
  <c r="D14" i="5" s="1"/>
  <c r="G323" i="6"/>
  <c r="R62" i="7"/>
  <c r="G356" i="6"/>
  <c r="C36" i="6" a="1"/>
  <c r="C36" i="6" s="1"/>
  <c r="BM36" i="6" s="1"/>
  <c r="E36" i="6" a="1"/>
  <c r="E36" i="6" s="1"/>
  <c r="BK36" i="6" a="1"/>
  <c r="BK36" i="6" s="1"/>
  <c r="BL36" i="6" a="1"/>
  <c r="BL36" i="6" s="1"/>
  <c r="F36" i="6"/>
  <c r="B36" i="6" a="1"/>
  <c r="B36" i="6" s="1"/>
  <c r="C66" i="6" a="1"/>
  <c r="C66" i="6" s="1"/>
  <c r="BM66" i="6" s="1"/>
  <c r="BK66" i="6" a="1"/>
  <c r="BK66" i="6" s="1"/>
  <c r="B66" i="6" a="1"/>
  <c r="B66" i="6" s="1"/>
  <c r="BL66" i="6" a="1"/>
  <c r="BL66" i="6" s="1"/>
  <c r="F66" i="6"/>
  <c r="B229" i="6" a="1"/>
  <c r="B229" i="6" s="1"/>
  <c r="BL229" i="6" a="1"/>
  <c r="BL229" i="6" s="1"/>
  <c r="C229" i="6" a="1"/>
  <c r="C229" i="6" s="1"/>
  <c r="BM229" i="6" s="1"/>
  <c r="F229" i="6"/>
  <c r="BK229" i="6" a="1"/>
  <c r="BK229" i="6" s="1"/>
  <c r="BL137" i="6" a="1"/>
  <c r="BL137" i="6" s="1"/>
  <c r="C137" i="6" a="1"/>
  <c r="C137" i="6" s="1"/>
  <c r="F137" i="6"/>
  <c r="B137" i="6" a="1"/>
  <c r="B137" i="6" s="1"/>
  <c r="B136" i="6" s="1"/>
  <c r="BK137" i="6" a="1"/>
  <c r="BK137" i="6" s="1"/>
  <c r="F150" i="6"/>
  <c r="B150" i="6" a="1"/>
  <c r="B150" i="6" s="1"/>
  <c r="BK150" i="6" a="1"/>
  <c r="BK150" i="6" s="1"/>
  <c r="C150" i="6" a="1"/>
  <c r="C150" i="6" s="1"/>
  <c r="BM150" i="6" s="1"/>
  <c r="BL150" i="6" a="1"/>
  <c r="BL150" i="6" s="1"/>
  <c r="F200" i="6"/>
  <c r="BL200" i="6" a="1"/>
  <c r="BL200" i="6" s="1"/>
  <c r="B200" i="6" a="1"/>
  <c r="B200" i="6" s="1"/>
  <c r="B199" i="6" s="1"/>
  <c r="BK200" i="6" a="1"/>
  <c r="BK200" i="6" s="1"/>
  <c r="C200" i="6" a="1"/>
  <c r="C200" i="6" s="1"/>
  <c r="BK265" i="6" a="1"/>
  <c r="BK265" i="6" s="1"/>
  <c r="BL265" i="6" a="1"/>
  <c r="BL265" i="6" s="1"/>
  <c r="C265" i="6" a="1"/>
  <c r="C265" i="6" s="1"/>
  <c r="BM265" i="6" s="1"/>
  <c r="B265" i="6" a="1"/>
  <c r="B265" i="6" s="1"/>
  <c r="F265" i="6"/>
  <c r="U94" i="7"/>
  <c r="U183" i="7"/>
  <c r="R144" i="7"/>
  <c r="D13" i="5" l="1"/>
  <c r="V16" i="7"/>
  <c r="T16" i="7"/>
  <c r="D17" i="5"/>
  <c r="V209" i="7"/>
  <c r="X182" i="7"/>
  <c r="D8" i="5"/>
  <c r="X177" i="7"/>
  <c r="D15" i="5"/>
  <c r="E120" i="6" a="1"/>
  <c r="E120" i="6" s="1"/>
  <c r="G120" i="6" s="1"/>
  <c r="D16" i="5"/>
  <c r="E16" i="5" s="1"/>
  <c r="B21" i="4"/>
  <c r="C22" i="4"/>
  <c r="C21" i="4"/>
  <c r="C23" i="4"/>
  <c r="T31" i="4"/>
  <c r="AG31" i="4"/>
  <c r="B23" i="4"/>
  <c r="G31" i="4"/>
  <c r="B27" i="4"/>
  <c r="F31" i="4"/>
  <c r="B26" i="4"/>
  <c r="C26" i="4"/>
  <c r="C27" i="4"/>
  <c r="C24" i="4"/>
  <c r="B24" i="4"/>
  <c r="B22" i="4"/>
  <c r="U31" i="4"/>
  <c r="AH31" i="4"/>
  <c r="N31" i="4"/>
  <c r="AD31" i="4"/>
  <c r="V31" i="4"/>
  <c r="AB31" i="4"/>
  <c r="E31" i="4"/>
  <c r="Y31" i="4"/>
  <c r="X31" i="4"/>
  <c r="R31" i="4"/>
  <c r="H31" i="4"/>
  <c r="AA31" i="4"/>
  <c r="Z31" i="4"/>
  <c r="J31" i="4"/>
  <c r="D31" i="4"/>
  <c r="BB31" i="4"/>
  <c r="AX31" i="4"/>
  <c r="AV31" i="4"/>
  <c r="AR31" i="4"/>
  <c r="BC31" i="4"/>
  <c r="AU31" i="4"/>
  <c r="S31" i="4"/>
  <c r="AP31" i="4"/>
  <c r="P31" i="4"/>
  <c r="AK31" i="4"/>
  <c r="O31" i="4"/>
  <c r="Q31" i="4"/>
  <c r="AJ31" i="4"/>
  <c r="BA31" i="4"/>
  <c r="AE31" i="4"/>
  <c r="AT31" i="4"/>
  <c r="AI31" i="4"/>
  <c r="M31" i="4"/>
  <c r="AS31" i="4"/>
  <c r="AN31" i="4"/>
  <c r="AQ31" i="4"/>
  <c r="AZ31" i="4"/>
  <c r="AF31" i="4"/>
  <c r="L31" i="4"/>
  <c r="AO31" i="4"/>
  <c r="AY31" i="4"/>
  <c r="W31" i="4"/>
  <c r="AL31" i="4"/>
  <c r="K31" i="4"/>
  <c r="AC31" i="4"/>
  <c r="AW31" i="4"/>
  <c r="AM31" i="4"/>
  <c r="I31" i="4"/>
  <c r="BM92" i="6"/>
  <c r="C91" i="6"/>
  <c r="BM200" i="6"/>
  <c r="C199" i="6"/>
  <c r="BM263" i="6"/>
  <c r="C262" i="6"/>
  <c r="BM146" i="6"/>
  <c r="C145" i="6"/>
  <c r="F28" i="6"/>
  <c r="BM227" i="6"/>
  <c r="C226" i="6"/>
  <c r="BM182" i="6"/>
  <c r="C181" i="6"/>
  <c r="BM155" i="6"/>
  <c r="C154" i="6"/>
  <c r="BM137" i="6"/>
  <c r="C136" i="6"/>
  <c r="BM128" i="6"/>
  <c r="C127" i="6"/>
  <c r="BM119" i="6"/>
  <c r="C118" i="6"/>
  <c r="BM110" i="6"/>
  <c r="C109" i="6"/>
  <c r="BM101" i="6"/>
  <c r="C100" i="6"/>
  <c r="BM83" i="6"/>
  <c r="C82" i="6"/>
  <c r="F82" i="6"/>
  <c r="BM74" i="6"/>
  <c r="C73" i="6"/>
  <c r="BM65" i="6"/>
  <c r="C64" i="6"/>
  <c r="F64" i="6"/>
  <c r="BM56" i="6"/>
  <c r="C55" i="6"/>
  <c r="BM47" i="6"/>
  <c r="C46" i="6"/>
  <c r="BM38" i="6"/>
  <c r="C37" i="6"/>
  <c r="BM29" i="6"/>
  <c r="C28" i="6"/>
  <c r="C271" i="6"/>
  <c r="B271" i="6"/>
  <c r="U227" i="7"/>
  <c r="X64" i="7"/>
  <c r="X61" i="7" s="1"/>
  <c r="V137" i="7"/>
  <c r="X82" i="7"/>
  <c r="Y186" i="7"/>
  <c r="F224" i="6"/>
  <c r="X152" i="7"/>
  <c r="BL267" i="6" a="1"/>
  <c r="BL267" i="6" s="1"/>
  <c r="X187" i="7"/>
  <c r="X94" i="7"/>
  <c r="X231" i="7"/>
  <c r="Y63" i="7"/>
  <c r="BK267" i="6" a="1"/>
  <c r="BK267" i="6" s="1"/>
  <c r="U157" i="7"/>
  <c r="B224" i="6" a="1"/>
  <c r="B224" i="6" s="1"/>
  <c r="BK224" i="6" a="1"/>
  <c r="BK224" i="6" s="1"/>
  <c r="C267" i="6" a="1"/>
  <c r="C267" i="6" s="1"/>
  <c r="BM267" i="6" s="1"/>
  <c r="F267" i="6"/>
  <c r="E108" i="6" a="1"/>
  <c r="E108" i="6" s="1"/>
  <c r="BL108" i="6" a="1"/>
  <c r="BL108" i="6" s="1"/>
  <c r="F108" i="6"/>
  <c r="F100" i="6" s="1"/>
  <c r="F269" i="6"/>
  <c r="C269" i="6" a="1"/>
  <c r="C269" i="6" s="1"/>
  <c r="BM269" i="6" s="1"/>
  <c r="B269" i="6" a="1"/>
  <c r="B269" i="6" s="1"/>
  <c r="B157" i="6" a="1"/>
  <c r="B157" i="6" s="1"/>
  <c r="C224" i="6" a="1"/>
  <c r="C224" i="6" s="1"/>
  <c r="BM224" i="6" s="1"/>
  <c r="BL157" i="6" a="1"/>
  <c r="BL157" i="6" s="1"/>
  <c r="C126" i="6" a="1"/>
  <c r="C126" i="6" s="1"/>
  <c r="BM126" i="6" s="1"/>
  <c r="B126" i="6" a="1"/>
  <c r="B126" i="6" s="1"/>
  <c r="BL165" i="6" a="1"/>
  <c r="BL165" i="6" s="1"/>
  <c r="BK269" i="6" a="1"/>
  <c r="BK269" i="6" s="1"/>
  <c r="F254" i="6"/>
  <c r="C254" i="6" a="1"/>
  <c r="C254" i="6" s="1"/>
  <c r="C152" i="6" a="1"/>
  <c r="C152" i="6" s="1"/>
  <c r="BM152" i="6" s="1"/>
  <c r="BL78" i="6" a="1"/>
  <c r="BL78" i="6" s="1"/>
  <c r="C78" i="6" a="1"/>
  <c r="C78" i="6" s="1"/>
  <c r="BM78" i="6" s="1"/>
  <c r="BL254" i="6" a="1"/>
  <c r="BL254" i="6" s="1"/>
  <c r="F165" i="6"/>
  <c r="C165" i="6" a="1"/>
  <c r="C165" i="6" s="1"/>
  <c r="BM165" i="6" s="1"/>
  <c r="B165" i="6" a="1"/>
  <c r="B165" i="6" s="1"/>
  <c r="F270" i="6"/>
  <c r="E270" i="6" a="1"/>
  <c r="E270" i="6" s="1"/>
  <c r="B240" i="6" a="1"/>
  <c r="B240" i="6" s="1"/>
  <c r="B270" i="6" a="1"/>
  <c r="B270" i="6" s="1"/>
  <c r="BK152" i="6" a="1"/>
  <c r="BK152" i="6" s="1"/>
  <c r="BK242" i="6" a="1"/>
  <c r="BK242" i="6" s="1"/>
  <c r="B242" i="6" a="1"/>
  <c r="B242" i="6" s="1"/>
  <c r="B152" i="6" a="1"/>
  <c r="B152" i="6" s="1"/>
  <c r="B151" i="6" a="1"/>
  <c r="B151" i="6" s="1"/>
  <c r="C242" i="6" a="1"/>
  <c r="C242" i="6" s="1"/>
  <c r="BM242" i="6" s="1"/>
  <c r="F152" i="6"/>
  <c r="BK78" i="6" a="1"/>
  <c r="BK78" i="6" s="1"/>
  <c r="BL126" i="6" a="1"/>
  <c r="BL126" i="6" s="1"/>
  <c r="B108" i="6" a="1"/>
  <c r="B108" i="6" s="1"/>
  <c r="B78" i="6" a="1"/>
  <c r="B78" i="6" s="1"/>
  <c r="BK108" i="6" a="1"/>
  <c r="BK108" i="6" s="1"/>
  <c r="C220" i="6" a="1"/>
  <c r="C220" i="6" s="1"/>
  <c r="BM220" i="6" s="1"/>
  <c r="BL270" i="6" a="1"/>
  <c r="BL270" i="6" s="1"/>
  <c r="B220" i="6" a="1"/>
  <c r="B220" i="6" s="1"/>
  <c r="BK270" i="6" a="1"/>
  <c r="BK270" i="6" s="1"/>
  <c r="BK220" i="6" a="1"/>
  <c r="BK220" i="6" s="1"/>
  <c r="F220" i="6"/>
  <c r="BK247" i="6" a="1"/>
  <c r="BK247" i="6" s="1"/>
  <c r="C80" i="6" a="1"/>
  <c r="C80" i="6" s="1"/>
  <c r="BM80" i="6" s="1"/>
  <c r="B80" i="6" a="1"/>
  <c r="B80" i="6" s="1"/>
  <c r="C219" i="6" a="1"/>
  <c r="C219" i="6" s="1"/>
  <c r="BM219" i="6" s="1"/>
  <c r="BL219" i="6" a="1"/>
  <c r="BL219" i="6" s="1"/>
  <c r="C116" i="6" a="1"/>
  <c r="C116" i="6" s="1"/>
  <c r="BM116" i="6" s="1"/>
  <c r="B219" i="6" a="1"/>
  <c r="B219" i="6" s="1"/>
  <c r="F247" i="6"/>
  <c r="F151" i="6"/>
  <c r="B261" i="6" a="1"/>
  <c r="B261" i="6" s="1"/>
  <c r="BK126" i="6" a="1"/>
  <c r="BK126" i="6" s="1"/>
  <c r="BK48" i="6" a="1"/>
  <c r="BK48" i="6" s="1"/>
  <c r="F126" i="6"/>
  <c r="G126" i="6" s="1"/>
  <c r="C48" i="6" a="1"/>
  <c r="C48" i="6" s="1"/>
  <c r="BM48" i="6" s="1"/>
  <c r="F261" i="6"/>
  <c r="E261" i="6" a="1"/>
  <c r="E261" i="6" s="1"/>
  <c r="B116" i="6" a="1"/>
  <c r="B116" i="6" s="1"/>
  <c r="BK151" i="6" a="1"/>
  <c r="BK151" i="6" s="1"/>
  <c r="BK261" i="6" a="1"/>
  <c r="BK261" i="6" s="1"/>
  <c r="C151" i="6" a="1"/>
  <c r="C151" i="6" s="1"/>
  <c r="BM151" i="6" s="1"/>
  <c r="C247" i="6" a="1"/>
  <c r="C247" i="6" s="1"/>
  <c r="BM247" i="6" s="1"/>
  <c r="B247" i="6" a="1"/>
  <c r="B247" i="6" s="1"/>
  <c r="F157" i="6"/>
  <c r="F154" i="6" s="1"/>
  <c r="BK149" i="6" a="1"/>
  <c r="BK149" i="6" s="1"/>
  <c r="BK157" i="6" a="1"/>
  <c r="BK157" i="6" s="1"/>
  <c r="BL149" i="6" a="1"/>
  <c r="BL149" i="6" s="1"/>
  <c r="BK177" i="6" a="1"/>
  <c r="BK177" i="6" s="1"/>
  <c r="BL111" i="6" a="1"/>
  <c r="BL111" i="6" s="1"/>
  <c r="E153" i="6" a="1"/>
  <c r="E153" i="6" s="1"/>
  <c r="BL177" i="6" a="1"/>
  <c r="BL177" i="6" s="1"/>
  <c r="BK225" i="6" a="1"/>
  <c r="BK225" i="6" s="1"/>
  <c r="BL225" i="6" a="1"/>
  <c r="BL225" i="6" s="1"/>
  <c r="F111" i="6"/>
  <c r="C153" i="6" a="1"/>
  <c r="C153" i="6" s="1"/>
  <c r="BM153" i="6" s="1"/>
  <c r="BL50" i="6" a="1"/>
  <c r="BL50" i="6" s="1"/>
  <c r="F225" i="6"/>
  <c r="C111" i="6" a="1"/>
  <c r="C111" i="6" s="1"/>
  <c r="BM111" i="6" s="1"/>
  <c r="F153" i="6"/>
  <c r="F50" i="6"/>
  <c r="BK219" i="6" a="1"/>
  <c r="BK219" i="6" s="1"/>
  <c r="B177" i="6" a="1"/>
  <c r="B177" i="6" s="1"/>
  <c r="BK254" i="6" a="1"/>
  <c r="BK254" i="6" s="1"/>
  <c r="C50" i="6" a="1"/>
  <c r="C50" i="6" s="1"/>
  <c r="BM50" i="6" s="1"/>
  <c r="BK111" i="6" a="1"/>
  <c r="BK111" i="6" s="1"/>
  <c r="B225" i="6" a="1"/>
  <c r="B225" i="6" s="1"/>
  <c r="BL96" i="6" a="1"/>
  <c r="BL96" i="6" s="1"/>
  <c r="BL183" i="6" a="1"/>
  <c r="BL183" i="6" s="1"/>
  <c r="E143" i="6" a="1"/>
  <c r="E143" i="6" s="1"/>
  <c r="G143" i="6" s="1"/>
  <c r="E225" i="6" a="1"/>
  <c r="E225" i="6" s="1"/>
  <c r="F183" i="6"/>
  <c r="BK50" i="6" a="1"/>
  <c r="BK50" i="6" s="1"/>
  <c r="B183" i="6" a="1"/>
  <c r="B183" i="6" s="1"/>
  <c r="C149" i="6" a="1"/>
  <c r="C149" i="6" s="1"/>
  <c r="BM149" i="6" s="1"/>
  <c r="B153" i="6" a="1"/>
  <c r="B153" i="6" s="1"/>
  <c r="C183" i="6" a="1"/>
  <c r="C183" i="6" s="1"/>
  <c r="BM183" i="6" s="1"/>
  <c r="BK96" i="6" a="1"/>
  <c r="BK96" i="6" s="1"/>
  <c r="BL80" i="6" a="1"/>
  <c r="BL80" i="6" s="1"/>
  <c r="B48" i="6" a="1"/>
  <c r="B48" i="6" s="1"/>
  <c r="E93" i="6" a="1"/>
  <c r="E93" i="6" s="1"/>
  <c r="G93" i="6" s="1"/>
  <c r="F242" i="6"/>
  <c r="BL48" i="6" a="1"/>
  <c r="BL48" i="6" s="1"/>
  <c r="F96" i="6"/>
  <c r="C96" i="6" a="1"/>
  <c r="C96" i="6" s="1"/>
  <c r="BM96" i="6" s="1"/>
  <c r="BK80" i="6" a="1"/>
  <c r="BK80" i="6" s="1"/>
  <c r="F116" i="6"/>
  <c r="Z113" i="7"/>
  <c r="F231" i="6"/>
  <c r="F226" i="6" s="1"/>
  <c r="S76" i="7"/>
  <c r="BK231" i="6" a="1"/>
  <c r="BK231" i="6" s="1"/>
  <c r="C231" i="6" a="1"/>
  <c r="C231" i="6" s="1"/>
  <c r="BM231" i="6" s="1"/>
  <c r="E119" i="6" a="1"/>
  <c r="E119" i="6" s="1"/>
  <c r="F149" i="6"/>
  <c r="BL153" i="6" a="1"/>
  <c r="BL153" i="6" s="1"/>
  <c r="Z150" i="7"/>
  <c r="F238" i="6"/>
  <c r="BL116" i="6" a="1"/>
  <c r="BL116" i="6" s="1"/>
  <c r="C125" i="6" a="1"/>
  <c r="C125" i="6" s="1"/>
  <c r="BM125" i="6" s="1"/>
  <c r="BL231" i="6" a="1"/>
  <c r="BL231" i="6" s="1"/>
  <c r="F240" i="6"/>
  <c r="C206" i="6" a="1"/>
  <c r="C206" i="6" s="1"/>
  <c r="BM206" i="6" s="1"/>
  <c r="BL164" i="6" a="1"/>
  <c r="BL164" i="6" s="1"/>
  <c r="BK252" i="6" a="1"/>
  <c r="BK252" i="6" s="1"/>
  <c r="T180" i="7"/>
  <c r="BL261" i="6" a="1"/>
  <c r="BL261" i="6" s="1"/>
  <c r="F135" i="6"/>
  <c r="F122" i="6"/>
  <c r="C164" i="6" a="1"/>
  <c r="C164" i="6" s="1"/>
  <c r="B252" i="6" a="1"/>
  <c r="B252" i="6" s="1"/>
  <c r="BK113" i="6" a="1"/>
  <c r="BK113" i="6" s="1"/>
  <c r="F164" i="6"/>
  <c r="E135" i="6" a="1"/>
  <c r="E135" i="6" s="1"/>
  <c r="C122" i="6" a="1"/>
  <c r="C122" i="6" s="1"/>
  <c r="BM122" i="6" s="1"/>
  <c r="BK164" i="6" a="1"/>
  <c r="BK164" i="6" s="1"/>
  <c r="F113" i="6"/>
  <c r="X169" i="7"/>
  <c r="X166" i="7" s="1"/>
  <c r="C252" i="6" a="1"/>
  <c r="C252" i="6" s="1"/>
  <c r="BM252" i="6" s="1"/>
  <c r="BK180" i="6" a="1"/>
  <c r="BK180" i="6" s="1"/>
  <c r="B135" i="6" a="1"/>
  <c r="B135" i="6" s="1"/>
  <c r="F180" i="6"/>
  <c r="G180" i="6" s="1"/>
  <c r="B122" i="6" a="1"/>
  <c r="B122" i="6" s="1"/>
  <c r="C221" i="6" a="1"/>
  <c r="C221" i="6" s="1"/>
  <c r="BM221" i="6" s="1"/>
  <c r="C113" i="6" a="1"/>
  <c r="C113" i="6" s="1"/>
  <c r="BM113" i="6" s="1"/>
  <c r="X222" i="7"/>
  <c r="X212" i="7"/>
  <c r="V180" i="7"/>
  <c r="BL125" i="6" a="1"/>
  <c r="BL125" i="6" s="1"/>
  <c r="BK206" i="6" a="1"/>
  <c r="BK206" i="6" s="1"/>
  <c r="F252" i="6"/>
  <c r="E252" i="6" a="1"/>
  <c r="E252" i="6" s="1"/>
  <c r="B206" i="6" a="1"/>
  <c r="B206" i="6" s="1"/>
  <c r="BL113" i="6" a="1"/>
  <c r="BL113" i="6" s="1"/>
  <c r="C180" i="6" a="1"/>
  <c r="C180" i="6" s="1"/>
  <c r="BM180" i="6" s="1"/>
  <c r="B221" i="6" a="1"/>
  <c r="B221" i="6" s="1"/>
  <c r="BK135" i="6" a="1"/>
  <c r="BK135" i="6" s="1"/>
  <c r="B180" i="6" a="1"/>
  <c r="B180" i="6" s="1"/>
  <c r="BK122" i="6" a="1"/>
  <c r="BK122" i="6" s="1"/>
  <c r="BL221" i="6" a="1"/>
  <c r="BL221" i="6" s="1"/>
  <c r="BK125" i="6" a="1"/>
  <c r="BK125" i="6" s="1"/>
  <c r="C238" i="6" a="1"/>
  <c r="C238" i="6" s="1"/>
  <c r="BM238" i="6" s="1"/>
  <c r="B238" i="6" a="1"/>
  <c r="B238" i="6" s="1"/>
  <c r="X149" i="7"/>
  <c r="BL135" i="6" a="1"/>
  <c r="BL135" i="6" s="1"/>
  <c r="E117" i="6" a="1"/>
  <c r="E117" i="6" s="1"/>
  <c r="E260" i="6" a="1"/>
  <c r="E260" i="6" s="1"/>
  <c r="G260" i="6" s="1"/>
  <c r="R25" i="7"/>
  <c r="F250" i="6"/>
  <c r="F221" i="6"/>
  <c r="F125" i="6"/>
  <c r="BK239" i="6" a="1"/>
  <c r="BK239" i="6" s="1"/>
  <c r="BL238" i="6" a="1"/>
  <c r="BL238" i="6" s="1"/>
  <c r="B239" i="6" a="1"/>
  <c r="B239" i="6" s="1"/>
  <c r="BL240" i="6" a="1"/>
  <c r="BL240" i="6" s="1"/>
  <c r="F206" i="6"/>
  <c r="BK240" i="6" a="1"/>
  <c r="BK240" i="6" s="1"/>
  <c r="BL180" i="6" a="1"/>
  <c r="BL180" i="6" s="1"/>
  <c r="BK166" i="6" a="1"/>
  <c r="BK166" i="6" s="1"/>
  <c r="BL250" i="6" a="1"/>
  <c r="BL250" i="6" s="1"/>
  <c r="BK250" i="6" a="1"/>
  <c r="BK250" i="6" s="1"/>
  <c r="W227" i="7"/>
  <c r="Z114" i="7"/>
  <c r="C239" i="6" a="1"/>
  <c r="C239" i="6" s="1"/>
  <c r="BM239" i="6" s="1"/>
  <c r="F239" i="6"/>
  <c r="X118" i="7"/>
  <c r="X117" i="7" s="1"/>
  <c r="Y117" i="7" s="1"/>
  <c r="B117" i="6" a="1"/>
  <c r="B117" i="6" s="1"/>
  <c r="BL166" i="6" a="1"/>
  <c r="BL166" i="6" s="1"/>
  <c r="F117" i="6"/>
  <c r="F166" i="6"/>
  <c r="F177" i="6"/>
  <c r="BL117" i="6" a="1"/>
  <c r="BL117" i="6" s="1"/>
  <c r="C166" i="6" a="1"/>
  <c r="C166" i="6" s="1"/>
  <c r="BM166" i="6" s="1"/>
  <c r="C250" i="6" a="1"/>
  <c r="C250" i="6" s="1"/>
  <c r="BM250" i="6" s="1"/>
  <c r="V146" i="7"/>
  <c r="X25" i="7"/>
  <c r="C117" i="6" a="1"/>
  <c r="C117" i="6" s="1"/>
  <c r="BM117" i="6" s="1"/>
  <c r="R126" i="7"/>
  <c r="E98" i="6" a="1"/>
  <c r="E98" i="6" s="1"/>
  <c r="G98" i="6" s="1"/>
  <c r="E122" i="6" a="1"/>
  <c r="E122" i="6" s="1"/>
  <c r="C264" i="6" a="1"/>
  <c r="C264" i="6" s="1"/>
  <c r="BM264" i="6" s="1"/>
  <c r="BL264" i="6" a="1"/>
  <c r="BL264" i="6" s="1"/>
  <c r="BI272" i="6" a="1"/>
  <c r="BI272" i="6" s="1"/>
  <c r="BK272" i="6" s="1" a="1"/>
  <c r="BK272" i="6" s="1"/>
  <c r="C67" i="6" a="1"/>
  <c r="C67" i="6" s="1"/>
  <c r="BM67" i="6" s="1"/>
  <c r="B67" i="6" a="1"/>
  <c r="B67" i="6" s="1"/>
  <c r="BK264" i="6" a="1"/>
  <c r="BK264" i="6" s="1"/>
  <c r="B264" i="6" a="1"/>
  <c r="B264" i="6" s="1"/>
  <c r="BL67" i="6" a="1"/>
  <c r="BL67" i="6" s="1"/>
  <c r="BK198" i="6" a="1"/>
  <c r="BK198" i="6" s="1"/>
  <c r="G36" i="6"/>
  <c r="BL198" i="6" a="1"/>
  <c r="BL198" i="6" s="1"/>
  <c r="F198" i="6"/>
  <c r="BL204" i="6" a="1"/>
  <c r="BL204" i="6" s="1"/>
  <c r="B198" i="6" a="1"/>
  <c r="B198" i="6" s="1"/>
  <c r="B204" i="6" a="1"/>
  <c r="B204" i="6" s="1"/>
  <c r="BK204" i="6" a="1"/>
  <c r="BK204" i="6" s="1"/>
  <c r="F256" i="6"/>
  <c r="F204" i="6"/>
  <c r="C209" i="6" a="1"/>
  <c r="C209" i="6" s="1"/>
  <c r="R43" i="7"/>
  <c r="BK51" i="6" a="1"/>
  <c r="BK51" i="6" s="1"/>
  <c r="B249" i="6" a="1"/>
  <c r="B249" i="6" s="1"/>
  <c r="BL249" i="6" a="1"/>
  <c r="BL249" i="6" s="1"/>
  <c r="BK195" i="6" a="1"/>
  <c r="BK195" i="6" s="1"/>
  <c r="C51" i="6" a="1"/>
  <c r="C51" i="6" s="1"/>
  <c r="BM51" i="6" s="1"/>
  <c r="F209" i="6"/>
  <c r="BK249" i="6" a="1"/>
  <c r="BK249" i="6" s="1"/>
  <c r="F195" i="6"/>
  <c r="F249" i="6"/>
  <c r="C195" i="6" a="1"/>
  <c r="C195" i="6" s="1"/>
  <c r="BM195" i="6" s="1"/>
  <c r="B195" i="6" a="1"/>
  <c r="B195" i="6" s="1"/>
  <c r="BL134" i="6" a="1"/>
  <c r="BL134" i="6" s="1"/>
  <c r="F134" i="6"/>
  <c r="F51" i="6"/>
  <c r="BL209" i="6" a="1"/>
  <c r="BL209" i="6" s="1"/>
  <c r="B209" i="6" a="1"/>
  <c r="B209" i="6" s="1"/>
  <c r="B208" i="6" s="1"/>
  <c r="BK134" i="6" a="1"/>
  <c r="BK134" i="6" s="1"/>
  <c r="C134" i="6" a="1"/>
  <c r="C134" i="6" s="1"/>
  <c r="BM134" i="6" s="1"/>
  <c r="C256" i="6" a="1"/>
  <c r="C256" i="6" s="1"/>
  <c r="BM256" i="6" s="1"/>
  <c r="BK256" i="6" a="1"/>
  <c r="BK256" i="6" s="1"/>
  <c r="BK176" i="6" a="1"/>
  <c r="BK176" i="6" s="1"/>
  <c r="R76" i="7"/>
  <c r="BL184" i="6" a="1"/>
  <c r="BL184" i="6" s="1"/>
  <c r="R52" i="7"/>
  <c r="X218" i="7"/>
  <c r="Y218" i="7" s="1"/>
  <c r="B256" i="6" a="1"/>
  <c r="B256" i="6" s="1"/>
  <c r="BL144" i="6" a="1"/>
  <c r="BL144" i="6" s="1"/>
  <c r="R169" i="7"/>
  <c r="P166" i="7"/>
  <c r="E89" i="6" a="1"/>
  <c r="E89" i="6" s="1"/>
  <c r="G89" i="6" s="1"/>
  <c r="F144" i="6"/>
  <c r="G144" i="6" s="1"/>
  <c r="B144" i="6" a="1"/>
  <c r="B144" i="6" s="1"/>
  <c r="E224" i="6" a="1"/>
  <c r="E224" i="6" s="1"/>
  <c r="C144" i="6" a="1"/>
  <c r="C144" i="6" s="1"/>
  <c r="BM144" i="6" s="1"/>
  <c r="E251" i="6" a="1"/>
  <c r="E251" i="6" s="1"/>
  <c r="G251" i="6" s="1"/>
  <c r="R200" i="7"/>
  <c r="BK144" i="6" a="1"/>
  <c r="BK144" i="6" s="1"/>
  <c r="X16" i="7"/>
  <c r="E70" i="6" a="1"/>
  <c r="E70" i="6" s="1"/>
  <c r="G70" i="6" s="1"/>
  <c r="X22" i="7"/>
  <c r="E192" i="6" a="1"/>
  <c r="E192" i="6" s="1"/>
  <c r="G192" i="6" s="1"/>
  <c r="G90" i="6"/>
  <c r="B212" i="6" a="1"/>
  <c r="B212" i="6" s="1"/>
  <c r="G63" i="6"/>
  <c r="X153" i="7"/>
  <c r="E269" i="6" a="1"/>
  <c r="E269" i="6" s="1"/>
  <c r="G269" i="6" s="1"/>
  <c r="BL212" i="6" a="1"/>
  <c r="BL212" i="6" s="1"/>
  <c r="BK212" i="6" a="1"/>
  <c r="BK212" i="6" s="1"/>
  <c r="E134" i="6" a="1"/>
  <c r="E134" i="6" s="1"/>
  <c r="E212" i="6" a="1"/>
  <c r="E212" i="6" s="1"/>
  <c r="G212" i="6" s="1"/>
  <c r="X52" i="7"/>
  <c r="Y52" i="7" s="1"/>
  <c r="X116" i="7"/>
  <c r="X112" i="7" s="1"/>
  <c r="X200" i="7"/>
  <c r="E44" i="6" a="1"/>
  <c r="E44" i="6" s="1"/>
  <c r="G44" i="6" s="1"/>
  <c r="E242" i="6" a="1"/>
  <c r="E242" i="6" s="1"/>
  <c r="Z168" i="7"/>
  <c r="E188" i="6" a="1"/>
  <c r="E188" i="6" s="1"/>
  <c r="G188" i="6" s="1"/>
  <c r="G234" i="6"/>
  <c r="X184" i="7"/>
  <c r="Z184" i="7" s="1"/>
  <c r="X11" i="7"/>
  <c r="X7" i="7" s="1"/>
  <c r="Y7" i="7" s="1"/>
  <c r="X209" i="7"/>
  <c r="X86" i="7"/>
  <c r="X85" i="7" s="1"/>
  <c r="Y85" i="7" s="1"/>
  <c r="X43" i="7"/>
  <c r="Y43" i="7" s="1"/>
  <c r="E80" i="6" a="1"/>
  <c r="E80" i="6" s="1"/>
  <c r="G80" i="6" s="1"/>
  <c r="S137" i="7"/>
  <c r="X145" i="7"/>
  <c r="X137" i="7" s="1"/>
  <c r="Y137" i="7" s="1"/>
  <c r="X158" i="7"/>
  <c r="X230" i="7"/>
  <c r="E215" i="6" a="1"/>
  <c r="E215" i="6" s="1"/>
  <c r="G215" i="6" s="1"/>
  <c r="X164" i="7"/>
  <c r="G162" i="6"/>
  <c r="E140" i="6" a="1"/>
  <c r="E140" i="6" s="1"/>
  <c r="G140" i="6" s="1"/>
  <c r="X126" i="7"/>
  <c r="E233" i="6" a="1"/>
  <c r="E233" i="6" s="1"/>
  <c r="G233" i="6" s="1"/>
  <c r="E183" i="6" a="1"/>
  <c r="E183" i="6" s="1"/>
  <c r="S85" i="7"/>
  <c r="G171" i="6"/>
  <c r="B51" i="6" a="1"/>
  <c r="B51" i="6" s="1"/>
  <c r="BL268" i="6" a="1"/>
  <c r="BL268" i="6" s="1"/>
  <c r="E161" i="6" a="1"/>
  <c r="E161" i="6" s="1"/>
  <c r="G161" i="6" s="1"/>
  <c r="C212" i="6" a="1"/>
  <c r="C212" i="6" s="1"/>
  <c r="BM212" i="6" s="1"/>
  <c r="E179" i="6" a="1"/>
  <c r="E179" i="6" s="1"/>
  <c r="G179" i="6" s="1"/>
  <c r="X104" i="7"/>
  <c r="X103" i="7" s="1"/>
  <c r="Y103" i="7" s="1"/>
  <c r="X76" i="7"/>
  <c r="Y76" i="7" s="1"/>
  <c r="F184" i="6"/>
  <c r="BK268" i="6" a="1"/>
  <c r="BK268" i="6" s="1"/>
  <c r="BL236" i="6" a="1"/>
  <c r="BL236" i="6" s="1"/>
  <c r="G54" i="6"/>
  <c r="B184" i="6" a="1"/>
  <c r="B184" i="6" s="1"/>
  <c r="BL79" i="6" a="1"/>
  <c r="BL79" i="6" s="1"/>
  <c r="C268" i="6" a="1"/>
  <c r="C268" i="6" s="1"/>
  <c r="BM268" i="6" s="1"/>
  <c r="C236" i="6" a="1"/>
  <c r="C236" i="6" s="1"/>
  <c r="E71" i="6" a="1"/>
  <c r="E71" i="6" s="1"/>
  <c r="G71" i="6" s="1"/>
  <c r="E116" i="6" a="1"/>
  <c r="E116" i="6" s="1"/>
  <c r="E57" i="6" a="1"/>
  <c r="E57" i="6" s="1"/>
  <c r="G57" i="6" s="1"/>
  <c r="F268" i="6"/>
  <c r="BK67" i="6" a="1"/>
  <c r="BK67" i="6" s="1"/>
  <c r="X183" i="7"/>
  <c r="C184" i="6" a="1"/>
  <c r="C184" i="6" s="1"/>
  <c r="BM184" i="6" s="1"/>
  <c r="BK79" i="6" a="1"/>
  <c r="BK79" i="6" s="1"/>
  <c r="F223" i="6"/>
  <c r="E35" i="6" a="1"/>
  <c r="E35" i="6" s="1"/>
  <c r="G35" i="6" s="1"/>
  <c r="BK236" i="6" a="1"/>
  <c r="BK236" i="6" s="1"/>
  <c r="X175" i="7"/>
  <c r="X171" i="7" s="1"/>
  <c r="X193" i="7"/>
  <c r="G207" i="6"/>
  <c r="E129" i="6" a="1"/>
  <c r="E129" i="6" s="1"/>
  <c r="G129" i="6" s="1"/>
  <c r="S209" i="7"/>
  <c r="E197" i="6" a="1"/>
  <c r="E197" i="6" s="1"/>
  <c r="G197" i="6" s="1"/>
  <c r="F79" i="6"/>
  <c r="F73" i="6" s="1"/>
  <c r="F245" i="6"/>
  <c r="BK223" i="6" a="1"/>
  <c r="BK223" i="6" s="1"/>
  <c r="F236" i="6"/>
  <c r="C79" i="6" a="1"/>
  <c r="C79" i="6" s="1"/>
  <c r="BM79" i="6" s="1"/>
  <c r="BL245" i="6" a="1"/>
  <c r="BL245" i="6" s="1"/>
  <c r="C223" i="6" a="1"/>
  <c r="C223" i="6" s="1"/>
  <c r="BM223" i="6" s="1"/>
  <c r="E152" i="6" a="1"/>
  <c r="E152" i="6" s="1"/>
  <c r="X34" i="7"/>
  <c r="Y34" i="7" s="1"/>
  <c r="E125" i="6" a="1"/>
  <c r="E125" i="6" s="1"/>
  <c r="E137" i="6" a="1"/>
  <c r="E137" i="6" s="1"/>
  <c r="BK245" i="6" a="1"/>
  <c r="BK245" i="6" s="1"/>
  <c r="B223" i="6" a="1"/>
  <c r="B223" i="6" s="1"/>
  <c r="BL176" i="6" a="1"/>
  <c r="BL176" i="6" s="1"/>
  <c r="V157" i="7"/>
  <c r="U180" i="7"/>
  <c r="E170" i="6" a="1"/>
  <c r="E170" i="6" s="1"/>
  <c r="G170" i="6" s="1"/>
  <c r="E198" i="6" a="1"/>
  <c r="E198" i="6" s="1"/>
  <c r="X146" i="7"/>
  <c r="E26" i="6" a="1"/>
  <c r="E26" i="6" s="1"/>
  <c r="G26" i="6" s="1"/>
  <c r="E245" i="6" a="1"/>
  <c r="E245" i="6" s="1"/>
  <c r="C176" i="6" a="1"/>
  <c r="C176" i="6" s="1"/>
  <c r="BM176" i="6" s="1"/>
  <c r="E107" i="6" a="1"/>
  <c r="E107" i="6" s="1"/>
  <c r="G107" i="6" s="1"/>
  <c r="C245" i="6" a="1"/>
  <c r="C245" i="6" s="1"/>
  <c r="B176" i="6" a="1"/>
  <c r="B176" i="6" s="1"/>
  <c r="X67" i="7"/>
  <c r="E206" i="6" a="1"/>
  <c r="E206" i="6" s="1"/>
  <c r="X188" i="7"/>
  <c r="U146" i="7"/>
  <c r="S227" i="7"/>
  <c r="T146" i="7"/>
  <c r="Z174" i="7"/>
  <c r="R94" i="7"/>
  <c r="Y191" i="7"/>
  <c r="P146" i="7"/>
  <c r="S146" i="7"/>
  <c r="Y151" i="7"/>
  <c r="Z151" i="7"/>
  <c r="Z173" i="7"/>
  <c r="Y173" i="7"/>
  <c r="P61" i="7"/>
  <c r="R61" i="7" s="1"/>
  <c r="E52" i="6" a="1"/>
  <c r="E52" i="6" s="1"/>
  <c r="G52" i="6" s="1"/>
  <c r="E76" i="6" a="1"/>
  <c r="E76" i="6" s="1"/>
  <c r="G76" i="6" s="1"/>
  <c r="Z155" i="7"/>
  <c r="Y155" i="7"/>
  <c r="Y127" i="7"/>
  <c r="Y126" i="7"/>
  <c r="E92" i="6" a="1"/>
  <c r="E92" i="6" s="1"/>
  <c r="E51" i="6" a="1"/>
  <c r="E51" i="6" s="1"/>
  <c r="T7" i="7"/>
  <c r="E113" i="6" a="1"/>
  <c r="E113" i="6" s="1"/>
  <c r="E229" i="6" a="1"/>
  <c r="E229" i="6" s="1"/>
  <c r="G229" i="6" s="1"/>
  <c r="E30" i="6" a="1"/>
  <c r="E30" i="6" s="1"/>
  <c r="G30" i="6" s="1"/>
  <c r="E123" i="6" a="1"/>
  <c r="E123" i="6" s="1"/>
  <c r="G123" i="6" s="1"/>
  <c r="S157" i="7"/>
  <c r="E240" i="6" a="1"/>
  <c r="E240" i="6" s="1"/>
  <c r="S117" i="7"/>
  <c r="E193" i="6" a="1"/>
  <c r="E193" i="6" s="1"/>
  <c r="G193" i="6" s="1"/>
  <c r="E205" i="6" a="1"/>
  <c r="E205" i="6" s="1"/>
  <c r="G205" i="6" s="1"/>
  <c r="E248" i="6" a="1"/>
  <c r="E248" i="6" s="1"/>
  <c r="G248" i="6" s="1"/>
  <c r="Y6" i="7"/>
  <c r="Z6" i="7"/>
  <c r="E187" i="6" a="1"/>
  <c r="E187" i="6" s="1"/>
  <c r="G187" i="6" s="1"/>
  <c r="E151" i="6" a="1"/>
  <c r="E151" i="6" s="1"/>
  <c r="E166" i="6" a="1"/>
  <c r="E166" i="6" s="1"/>
  <c r="E182" i="6" a="1"/>
  <c r="E182" i="6" s="1"/>
  <c r="E255" i="6" a="1"/>
  <c r="E255" i="6" s="1"/>
  <c r="G255" i="6" s="1"/>
  <c r="E128" i="6" a="1"/>
  <c r="E128" i="6" s="1"/>
  <c r="P103" i="7"/>
  <c r="R103" i="7" s="1"/>
  <c r="R104" i="7"/>
  <c r="E141" i="6" a="1"/>
  <c r="E141" i="6" s="1"/>
  <c r="G141" i="6" s="1"/>
  <c r="E33" i="6" a="1"/>
  <c r="E33" i="6" s="1"/>
  <c r="G33" i="6" s="1"/>
  <c r="E231" i="6" a="1"/>
  <c r="E231" i="6" s="1"/>
  <c r="E31" i="6" a="1"/>
  <c r="E31" i="6" s="1"/>
  <c r="G31" i="6" s="1"/>
  <c r="E69" i="6" a="1"/>
  <c r="E69" i="6" s="1"/>
  <c r="G69" i="6" s="1"/>
  <c r="E32" i="6" a="1"/>
  <c r="E32" i="6" s="1"/>
  <c r="G32" i="6" s="1"/>
  <c r="E155" i="6" a="1"/>
  <c r="E155" i="6" s="1"/>
  <c r="E66" i="6" a="1"/>
  <c r="E66" i="6" s="1"/>
  <c r="G66" i="6" s="1"/>
  <c r="E43" i="6" a="1"/>
  <c r="E43" i="6" s="1"/>
  <c r="G43" i="6" s="1"/>
  <c r="E86" i="6" a="1"/>
  <c r="E86" i="6" s="1"/>
  <c r="G86" i="6" s="1"/>
  <c r="Y147" i="7"/>
  <c r="Z147" i="7"/>
  <c r="E267" i="6" a="1"/>
  <c r="E267" i="6" s="1"/>
  <c r="G267" i="6" s="1"/>
  <c r="E204" i="6" a="1"/>
  <c r="E204" i="6" s="1"/>
  <c r="E232" i="6" a="1"/>
  <c r="E232" i="6" s="1"/>
  <c r="G232" i="6" s="1"/>
  <c r="E250" i="6" a="1"/>
  <c r="E250" i="6" s="1"/>
  <c r="E48" i="6" a="1"/>
  <c r="E48" i="6" s="1"/>
  <c r="G48" i="6" s="1"/>
  <c r="B210" i="6" a="1"/>
  <c r="B210" i="6" s="1"/>
  <c r="C210" i="6" a="1"/>
  <c r="C210" i="6" s="1"/>
  <c r="BM210" i="6" s="1"/>
  <c r="E210" i="6" a="1"/>
  <c r="E210" i="6" s="1"/>
  <c r="F210" i="6"/>
  <c r="BL210" i="6" a="1"/>
  <c r="BL210" i="6" s="1"/>
  <c r="BK210" i="6" a="1"/>
  <c r="BK210" i="6" s="1"/>
  <c r="R212" i="7"/>
  <c r="P209" i="7"/>
  <c r="R209" i="7" s="1"/>
  <c r="Z190" i="7"/>
  <c r="Y190" i="7"/>
  <c r="E160" i="6" a="1"/>
  <c r="E160" i="6" s="1"/>
  <c r="G160" i="6" s="1"/>
  <c r="E138" i="6" a="1"/>
  <c r="E138" i="6" s="1"/>
  <c r="G138" i="6" s="1"/>
  <c r="E246" i="6" a="1"/>
  <c r="E246" i="6" s="1"/>
  <c r="G246" i="6" s="1"/>
  <c r="E175" i="6" a="1"/>
  <c r="E175" i="6" s="1"/>
  <c r="G175" i="6" s="1"/>
  <c r="E133" i="6" a="1"/>
  <c r="E133" i="6" s="1"/>
  <c r="G133" i="6" s="1"/>
  <c r="Z194" i="7"/>
  <c r="Y194" i="7"/>
  <c r="BL40" i="6" a="1"/>
  <c r="BL40" i="6" s="1"/>
  <c r="B40" i="6" a="1"/>
  <c r="B40" i="6" s="1"/>
  <c r="BK40" i="6" a="1"/>
  <c r="BK40" i="6" s="1"/>
  <c r="F40" i="6"/>
  <c r="F37" i="6" s="1"/>
  <c r="C40" i="6" a="1"/>
  <c r="C40" i="6" s="1"/>
  <c r="BM40" i="6" s="1"/>
  <c r="E40" i="6" a="1"/>
  <c r="E40" i="6" s="1"/>
  <c r="E177" i="6" a="1"/>
  <c r="E177" i="6" s="1"/>
  <c r="E88" i="6" a="1"/>
  <c r="E88" i="6" s="1"/>
  <c r="G88" i="6" s="1"/>
  <c r="E77" i="6" a="1"/>
  <c r="E77" i="6" s="1"/>
  <c r="G77" i="6" s="1"/>
  <c r="E220" i="6" a="1"/>
  <c r="E220" i="6" s="1"/>
  <c r="B191" i="6" a="1"/>
  <c r="B191" i="6" s="1"/>
  <c r="B190" i="6" s="1"/>
  <c r="C191" i="6" a="1"/>
  <c r="C191" i="6" s="1"/>
  <c r="BK191" i="6" a="1"/>
  <c r="BK191" i="6" s="1"/>
  <c r="BL191" i="6" a="1"/>
  <c r="BL191" i="6" s="1"/>
  <c r="E191" i="6" a="1"/>
  <c r="E191" i="6" s="1"/>
  <c r="F191" i="6"/>
  <c r="E268" i="6" a="1"/>
  <c r="E268" i="6" s="1"/>
  <c r="E214" i="6" a="1"/>
  <c r="E214" i="6" s="1"/>
  <c r="G214" i="6" s="1"/>
  <c r="P171" i="7"/>
  <c r="R171" i="7" s="1"/>
  <c r="E102" i="6" a="1"/>
  <c r="E102" i="6" s="1"/>
  <c r="G102" i="6" s="1"/>
  <c r="E266" i="6" a="1"/>
  <c r="E266" i="6" s="1"/>
  <c r="G266" i="6" s="1"/>
  <c r="Y66" i="7"/>
  <c r="Z66" i="7"/>
  <c r="E228" i="6" a="1"/>
  <c r="E228" i="6" s="1"/>
  <c r="G228" i="6" s="1"/>
  <c r="E75" i="6" a="1"/>
  <c r="E75" i="6" s="1"/>
  <c r="G75" i="6" s="1"/>
  <c r="Y185" i="7"/>
  <c r="Z185" i="7"/>
  <c r="E263" i="6" a="1"/>
  <c r="E263" i="6" s="1"/>
  <c r="E237" i="6" a="1"/>
  <c r="E237" i="6" s="1"/>
  <c r="G237" i="6" s="1"/>
  <c r="E156" i="6" a="1"/>
  <c r="E156" i="6" s="1"/>
  <c r="G156" i="6" s="1"/>
  <c r="B99" i="6" a="1"/>
  <c r="B99" i="6" s="1"/>
  <c r="E99" i="6" a="1"/>
  <c r="E99" i="6" s="1"/>
  <c r="F99" i="6"/>
  <c r="BK99" i="6" a="1"/>
  <c r="BK99" i="6" s="1"/>
  <c r="BL99" i="6" a="1"/>
  <c r="BL99" i="6" s="1"/>
  <c r="C99" i="6" a="1"/>
  <c r="C99" i="6" s="1"/>
  <c r="BM99" i="6" s="1"/>
  <c r="E39" i="6" a="1"/>
  <c r="E39" i="6" s="1"/>
  <c r="G39" i="6" s="1"/>
  <c r="E158" i="6" a="1"/>
  <c r="E158" i="6" s="1"/>
  <c r="G158" i="6" s="1"/>
  <c r="E121" i="6" a="1"/>
  <c r="E121" i="6" s="1"/>
  <c r="G121" i="6" s="1"/>
  <c r="E124" i="6" a="1"/>
  <c r="E124" i="6" s="1"/>
  <c r="G124" i="6" s="1"/>
  <c r="E49" i="6" a="1"/>
  <c r="E49" i="6" s="1"/>
  <c r="G49" i="6" s="1"/>
  <c r="C62" i="6" a="1"/>
  <c r="C62" i="6" s="1"/>
  <c r="BM62" i="6" s="1"/>
  <c r="E62" i="6" a="1"/>
  <c r="E62" i="6" s="1"/>
  <c r="F62" i="6"/>
  <c r="F55" i="6" s="1"/>
  <c r="BK62" i="6" a="1"/>
  <c r="BK62" i="6" s="1"/>
  <c r="B62" i="6" a="1"/>
  <c r="B62" i="6" s="1"/>
  <c r="BL62" i="6" a="1"/>
  <c r="BL62" i="6" s="1"/>
  <c r="E159" i="6" a="1"/>
  <c r="E159" i="6" s="1"/>
  <c r="G159" i="6" s="1"/>
  <c r="E236" i="6" a="1"/>
  <c r="E236" i="6" s="1"/>
  <c r="E265" i="6" a="1"/>
  <c r="E265" i="6" s="1"/>
  <c r="G265" i="6" s="1"/>
  <c r="Y167" i="7"/>
  <c r="Z167" i="7"/>
  <c r="E184" i="6" a="1"/>
  <c r="E184" i="6" s="1"/>
  <c r="E213" i="6" a="1"/>
  <c r="E213" i="6" s="1"/>
  <c r="G213" i="6" s="1"/>
  <c r="Z169" i="7"/>
  <c r="Y169" i="7"/>
  <c r="E202" i="6" a="1"/>
  <c r="E202" i="6" s="1"/>
  <c r="G202" i="6" s="1"/>
  <c r="E148" i="6" a="1"/>
  <c r="E148" i="6" s="1"/>
  <c r="G148" i="6" s="1"/>
  <c r="G81" i="6"/>
  <c r="Y94" i="7"/>
  <c r="E50" i="6" a="1"/>
  <c r="E50" i="6" s="1"/>
  <c r="E174" i="6" a="1"/>
  <c r="E174" i="6" s="1"/>
  <c r="G174" i="6" s="1"/>
  <c r="E195" i="6" a="1"/>
  <c r="E195" i="6" s="1"/>
  <c r="P218" i="7"/>
  <c r="R218" i="7" s="1"/>
  <c r="E95" i="6" a="1"/>
  <c r="E95" i="6" s="1"/>
  <c r="G95" i="6" s="1"/>
  <c r="Z172" i="7"/>
  <c r="Y172" i="7"/>
  <c r="BK53" i="6" a="1"/>
  <c r="BK53" i="6" s="1"/>
  <c r="BL53" i="6" a="1"/>
  <c r="BL53" i="6" s="1"/>
  <c r="B53" i="6" a="1"/>
  <c r="B53" i="6" s="1"/>
  <c r="C53" i="6" a="1"/>
  <c r="C53" i="6" s="1"/>
  <c r="BM53" i="6" s="1"/>
  <c r="E53" i="6" a="1"/>
  <c r="E53" i="6" s="1"/>
  <c r="F53" i="6"/>
  <c r="E59" i="6" a="1"/>
  <c r="E59" i="6" s="1"/>
  <c r="G59" i="6" s="1"/>
  <c r="E259" i="6" a="1"/>
  <c r="E259" i="6" s="1"/>
  <c r="G259" i="6" s="1"/>
  <c r="E111" i="6" a="1"/>
  <c r="E111" i="6" s="1"/>
  <c r="E87" i="6" a="1"/>
  <c r="E87" i="6" s="1"/>
  <c r="G87" i="6" s="1"/>
  <c r="Y67" i="7"/>
  <c r="E165" i="6" a="1"/>
  <c r="E165" i="6" s="1"/>
  <c r="E65" i="6" a="1"/>
  <c r="E65" i="6" s="1"/>
  <c r="E104" i="6" a="1"/>
  <c r="E104" i="6" s="1"/>
  <c r="G104" i="6" s="1"/>
  <c r="E241" i="6" a="1"/>
  <c r="E241" i="6" s="1"/>
  <c r="G241" i="6" s="1"/>
  <c r="E150" i="6" a="1"/>
  <c r="E150" i="6" s="1"/>
  <c r="G150" i="6" s="1"/>
  <c r="E105" i="6" a="1"/>
  <c r="E105" i="6" s="1"/>
  <c r="G105" i="6" s="1"/>
  <c r="E227" i="6" a="1"/>
  <c r="E227" i="6" s="1"/>
  <c r="Y209" i="7"/>
  <c r="E132" i="6" a="1"/>
  <c r="E132" i="6" s="1"/>
  <c r="G132" i="6" s="1"/>
  <c r="R158" i="7"/>
  <c r="P157" i="7"/>
  <c r="R157" i="7" s="1"/>
  <c r="E157" i="6" a="1"/>
  <c r="E157" i="6" s="1"/>
  <c r="E219" i="6" a="1"/>
  <c r="E219" i="6" s="1"/>
  <c r="G219" i="6" s="1"/>
  <c r="Y136" i="7"/>
  <c r="Z136" i="7"/>
  <c r="R86" i="7"/>
  <c r="P85" i="7"/>
  <c r="R85" i="7" s="1"/>
  <c r="E96" i="6" a="1"/>
  <c r="E96" i="6" s="1"/>
  <c r="E146" i="6" a="1"/>
  <c r="E146" i="6" s="1"/>
  <c r="E249" i="6" a="1"/>
  <c r="E249" i="6" s="1"/>
  <c r="Y200" i="7"/>
  <c r="Z115" i="7"/>
  <c r="Y115" i="7"/>
  <c r="E29" i="6" a="1"/>
  <c r="E29" i="6" s="1"/>
  <c r="E221" i="6" a="1"/>
  <c r="E221" i="6" s="1"/>
  <c r="E94" i="6" a="1"/>
  <c r="E94" i="6" s="1"/>
  <c r="G94" i="6" s="1"/>
  <c r="E238" i="6" a="1"/>
  <c r="E238" i="6" s="1"/>
  <c r="Y189" i="7"/>
  <c r="Z189" i="7"/>
  <c r="F218" i="6"/>
  <c r="BK218" i="6" a="1"/>
  <c r="BK218" i="6" s="1"/>
  <c r="BL218" i="6" a="1"/>
  <c r="BL218" i="6" s="1"/>
  <c r="B218" i="6" a="1"/>
  <c r="B218" i="6" s="1"/>
  <c r="B217" i="6" s="1"/>
  <c r="C218" i="6" a="1"/>
  <c r="C218" i="6" s="1"/>
  <c r="E218" i="6" a="1"/>
  <c r="E218" i="6" s="1"/>
  <c r="Y192" i="7"/>
  <c r="Z192" i="7"/>
  <c r="E200" i="6" a="1"/>
  <c r="E200" i="6" s="1"/>
  <c r="S180" i="7"/>
  <c r="R34" i="7"/>
  <c r="E131" i="6" a="1"/>
  <c r="E131" i="6" s="1"/>
  <c r="G131" i="6" s="1"/>
  <c r="E169" i="6" a="1"/>
  <c r="E169" i="6" s="1"/>
  <c r="G169" i="6" s="1"/>
  <c r="Z199" i="7"/>
  <c r="Y199" i="7"/>
  <c r="E61" i="6" a="1"/>
  <c r="E61" i="6" s="1"/>
  <c r="G61" i="6" s="1"/>
  <c r="Y156" i="7"/>
  <c r="Z156" i="7"/>
  <c r="E209" i="6" a="1"/>
  <c r="E209" i="6" s="1"/>
  <c r="E194" i="6" a="1"/>
  <c r="E194" i="6" s="1"/>
  <c r="G194" i="6" s="1"/>
  <c r="E38" i="6" a="1"/>
  <c r="E38" i="6" s="1"/>
  <c r="E112" i="6" a="1"/>
  <c r="E112" i="6" s="1"/>
  <c r="G112" i="6" s="1"/>
  <c r="E34" i="6" a="1"/>
  <c r="E34" i="6" s="1"/>
  <c r="G34" i="6" s="1"/>
  <c r="Y181" i="7"/>
  <c r="Z181" i="7"/>
  <c r="Z62" i="7"/>
  <c r="Y62" i="7"/>
  <c r="S61" i="7"/>
  <c r="R17" i="7"/>
  <c r="P16" i="7"/>
  <c r="R16" i="7" s="1"/>
  <c r="E60" i="6" a="1"/>
  <c r="E60" i="6" s="1"/>
  <c r="G60" i="6" s="1"/>
  <c r="Z148" i="7"/>
  <c r="Y148" i="7"/>
  <c r="E273" i="6" a="1"/>
  <c r="E273" i="6" s="1"/>
  <c r="F273" i="6"/>
  <c r="BK273" i="6" a="1"/>
  <c r="BK273" i="6" s="1"/>
  <c r="BL273" i="6" a="1"/>
  <c r="BL273" i="6" s="1"/>
  <c r="B273" i="6" a="1"/>
  <c r="B273" i="6" s="1"/>
  <c r="BM273" i="6"/>
  <c r="C273" i="6" a="1"/>
  <c r="C273" i="6" s="1"/>
  <c r="E101" i="6" a="1"/>
  <c r="E101" i="6" s="1"/>
  <c r="E79" i="6" a="1"/>
  <c r="E79" i="6" s="1"/>
  <c r="C274" i="6" a="1"/>
  <c r="C274" i="6" s="1"/>
  <c r="E274" i="6" a="1"/>
  <c r="E274" i="6" s="1"/>
  <c r="F274" i="6"/>
  <c r="BK274" i="6" a="1"/>
  <c r="BK274" i="6" s="1"/>
  <c r="B274" i="6" a="1"/>
  <c r="B274" i="6" s="1"/>
  <c r="BM274" i="6"/>
  <c r="BL274" i="6" a="1"/>
  <c r="BL274" i="6" s="1"/>
  <c r="E83" i="6" a="1"/>
  <c r="E83" i="6" s="1"/>
  <c r="E167" i="6" a="1"/>
  <c r="E167" i="6" s="1"/>
  <c r="G167" i="6" s="1"/>
  <c r="E114" i="6" a="1"/>
  <c r="E114" i="6" s="1"/>
  <c r="G114" i="6" s="1"/>
  <c r="E78" i="6" a="1"/>
  <c r="E78" i="6" s="1"/>
  <c r="G78" i="6" s="1"/>
  <c r="E149" i="6" a="1"/>
  <c r="E149" i="6" s="1"/>
  <c r="G149" i="6" s="1"/>
  <c r="Z64" i="7"/>
  <c r="Y64" i="7"/>
  <c r="E278" i="6" a="1"/>
  <c r="E278" i="6" s="1"/>
  <c r="C278" i="6" a="1"/>
  <c r="C278" i="6" s="1"/>
  <c r="F278" i="6"/>
  <c r="BK278" i="6" a="1"/>
  <c r="BK278" i="6" s="1"/>
  <c r="BL278" i="6" a="1"/>
  <c r="BL278" i="6" s="1"/>
  <c r="BM278" i="6"/>
  <c r="B278" i="6" a="1"/>
  <c r="B278" i="6" s="1"/>
  <c r="R183" i="7"/>
  <c r="P180" i="7"/>
  <c r="R180" i="7" s="1"/>
  <c r="E176" i="6" a="1"/>
  <c r="E176" i="6" s="1"/>
  <c r="G176" i="6" s="1"/>
  <c r="Y16" i="7"/>
  <c r="Z179" i="7"/>
  <c r="Y179" i="7"/>
  <c r="E110" i="6" a="1"/>
  <c r="E110" i="6" s="1"/>
  <c r="E67" i="6" a="1"/>
  <c r="E67" i="6" s="1"/>
  <c r="G67" i="6" s="1"/>
  <c r="E58" i="6" a="1"/>
  <c r="E58" i="6" s="1"/>
  <c r="G58" i="6" s="1"/>
  <c r="E222" i="6" a="1"/>
  <c r="E222" i="6" s="1"/>
  <c r="BK222" i="6" a="1"/>
  <c r="BK222" i="6" s="1"/>
  <c r="BL222" i="6" a="1"/>
  <c r="BL222" i="6" s="1"/>
  <c r="B222" i="6" a="1"/>
  <c r="B222" i="6" s="1"/>
  <c r="C222" i="6" a="1"/>
  <c r="C222" i="6" s="1"/>
  <c r="BM222" i="6" s="1"/>
  <c r="F222" i="6"/>
  <c r="Z187" i="7"/>
  <c r="Y187" i="7"/>
  <c r="E142" i="6" a="1"/>
  <c r="E142" i="6" s="1"/>
  <c r="G142" i="6" s="1"/>
  <c r="E115" i="6" a="1"/>
  <c r="E115" i="6" s="1"/>
  <c r="G115" i="6" s="1"/>
  <c r="BK277" i="6" a="1"/>
  <c r="BK277" i="6" s="1"/>
  <c r="B277" i="6" a="1"/>
  <c r="B277" i="6" s="1"/>
  <c r="C277" i="6" a="1"/>
  <c r="C277" i="6" s="1"/>
  <c r="F277" i="6"/>
  <c r="BL277" i="6" a="1"/>
  <c r="BL277" i="6" s="1"/>
  <c r="BM277" i="6"/>
  <c r="E277" i="6" a="1"/>
  <c r="E277" i="6" s="1"/>
  <c r="E211" i="6" a="1"/>
  <c r="E211" i="6" s="1"/>
  <c r="G211" i="6" s="1"/>
  <c r="E254" i="6" a="1"/>
  <c r="E254" i="6" s="1"/>
  <c r="E258" i="6" a="1"/>
  <c r="E258" i="6" s="1"/>
  <c r="G258" i="6" s="1"/>
  <c r="E185" i="6" a="1"/>
  <c r="E185" i="6" s="1"/>
  <c r="G185" i="6" s="1"/>
  <c r="G45" i="6"/>
  <c r="P117" i="7"/>
  <c r="R117" i="7" s="1"/>
  <c r="R118" i="7"/>
  <c r="E223" i="6" a="1"/>
  <c r="E223" i="6" s="1"/>
  <c r="E103" i="6" a="1"/>
  <c r="E103" i="6" s="1"/>
  <c r="G103" i="6" s="1"/>
  <c r="E42" i="6" a="1"/>
  <c r="E42" i="6" s="1"/>
  <c r="G42" i="6" s="1"/>
  <c r="P137" i="7"/>
  <c r="R137" i="7" s="1"/>
  <c r="E168" i="6" a="1"/>
  <c r="E168" i="6" s="1"/>
  <c r="G168" i="6" s="1"/>
  <c r="E247" i="6" a="1"/>
  <c r="E247" i="6" s="1"/>
  <c r="Z182" i="7"/>
  <c r="Y182" i="7"/>
  <c r="P227" i="7"/>
  <c r="R227" i="7" s="1"/>
  <c r="E279" i="6" a="1"/>
  <c r="E279" i="6" s="1"/>
  <c r="F279" i="6"/>
  <c r="BM279" i="6"/>
  <c r="B279" i="6" a="1"/>
  <c r="B279" i="6" s="1"/>
  <c r="C279" i="6" a="1"/>
  <c r="C279" i="6" s="1"/>
  <c r="BL279" i="6" a="1"/>
  <c r="BL279" i="6" s="1"/>
  <c r="BK279" i="6" a="1"/>
  <c r="BK279" i="6" s="1"/>
  <c r="P112" i="7"/>
  <c r="E25" i="6" a="1"/>
  <c r="E25" i="6" s="1"/>
  <c r="G25" i="6" s="1"/>
  <c r="E20" i="6" a="1"/>
  <c r="E20" i="6" s="1"/>
  <c r="E24" i="6" a="1"/>
  <c r="E24" i="6" s="1"/>
  <c r="G24" i="6" s="1"/>
  <c r="E23" i="6" a="1"/>
  <c r="E23" i="6" s="1"/>
  <c r="G23" i="6" s="1"/>
  <c r="E130" i="6" a="1"/>
  <c r="E130" i="6" s="1"/>
  <c r="G130" i="6" s="1"/>
  <c r="E74" i="6" a="1"/>
  <c r="E74" i="6" s="1"/>
  <c r="E139" i="6" a="1"/>
  <c r="E139" i="6" s="1"/>
  <c r="G139" i="6" s="1"/>
  <c r="E97" i="6" a="1"/>
  <c r="E97" i="6" s="1"/>
  <c r="G97" i="6" s="1"/>
  <c r="E41" i="6" a="1"/>
  <c r="E41" i="6" s="1"/>
  <c r="G41" i="6" s="1"/>
  <c r="E230" i="6" a="1"/>
  <c r="E230" i="6" s="1"/>
  <c r="G230" i="6" s="1"/>
  <c r="G216" i="6"/>
  <c r="Y197" i="7"/>
  <c r="Z197" i="7"/>
  <c r="BL275" i="6" a="1"/>
  <c r="BL275" i="6" s="1"/>
  <c r="BM275" i="6"/>
  <c r="B275" i="6" a="1"/>
  <c r="B275" i="6" s="1"/>
  <c r="C275" i="6" a="1"/>
  <c r="C275" i="6" s="1"/>
  <c r="BK275" i="6" a="1"/>
  <c r="BK275" i="6" s="1"/>
  <c r="F275" i="6"/>
  <c r="E275" i="6" a="1"/>
  <c r="E275" i="6" s="1"/>
  <c r="Z175" i="7"/>
  <c r="E203" i="6" a="1"/>
  <c r="E203" i="6" s="1"/>
  <c r="G203" i="6" s="1"/>
  <c r="E196" i="6" a="1"/>
  <c r="E196" i="6" s="1"/>
  <c r="G196" i="6" s="1"/>
  <c r="Y25" i="7"/>
  <c r="Z176" i="7"/>
  <c r="Y176" i="7"/>
  <c r="E106" i="6" a="1"/>
  <c r="E106" i="6" s="1"/>
  <c r="G106" i="6" s="1"/>
  <c r="E186" i="6" a="1"/>
  <c r="E186" i="6" s="1"/>
  <c r="G186" i="6" s="1"/>
  <c r="E164" i="6" a="1"/>
  <c r="E164" i="6" s="1"/>
  <c r="E201" i="6" a="1"/>
  <c r="E201" i="6" s="1"/>
  <c r="G201" i="6" s="1"/>
  <c r="B276" i="6" a="1"/>
  <c r="B276" i="6" s="1"/>
  <c r="BK276" i="6" a="1"/>
  <c r="BK276" i="6" s="1"/>
  <c r="BL276" i="6" a="1"/>
  <c r="BL276" i="6" s="1"/>
  <c r="C276" i="6" a="1"/>
  <c r="C276" i="6" s="1"/>
  <c r="BM276" i="6"/>
  <c r="E276" i="6" a="1"/>
  <c r="E276" i="6" s="1"/>
  <c r="F276" i="6"/>
  <c r="G189" i="6"/>
  <c r="E85" i="6" a="1"/>
  <c r="E85" i="6" s="1"/>
  <c r="G85" i="6" s="1"/>
  <c r="Y178" i="7"/>
  <c r="Z178" i="7"/>
  <c r="BK173" i="6" a="1"/>
  <c r="BK173" i="6" s="1"/>
  <c r="B173" i="6" a="1"/>
  <c r="B173" i="6" s="1"/>
  <c r="B172" i="6" s="1"/>
  <c r="E173" i="6" a="1"/>
  <c r="E173" i="6" s="1"/>
  <c r="C173" i="6" a="1"/>
  <c r="C173" i="6" s="1"/>
  <c r="F173" i="6"/>
  <c r="BL173" i="6" a="1"/>
  <c r="BL173" i="6" s="1"/>
  <c r="Z195" i="7"/>
  <c r="Y195" i="7"/>
  <c r="E178" i="6" a="1"/>
  <c r="E178" i="6" s="1"/>
  <c r="G178" i="6" s="1"/>
  <c r="E21" i="6" a="1"/>
  <c r="E21" i="6" s="1"/>
  <c r="G21" i="6" s="1"/>
  <c r="G72" i="6"/>
  <c r="E22" i="6" a="1"/>
  <c r="E22" i="6" s="1"/>
  <c r="G22" i="6" s="1"/>
  <c r="E256" i="6" a="1"/>
  <c r="E256" i="6" s="1"/>
  <c r="E264" i="6" a="1"/>
  <c r="E264" i="6" s="1"/>
  <c r="G264" i="6" s="1"/>
  <c r="E68" i="6" a="1"/>
  <c r="E68" i="6" s="1"/>
  <c r="G68" i="6" s="1"/>
  <c r="E239" i="6" a="1"/>
  <c r="E239" i="6" s="1"/>
  <c r="G239" i="6" s="1"/>
  <c r="G243" i="6"/>
  <c r="Y154" i="7"/>
  <c r="Z154" i="7"/>
  <c r="E84" i="6" a="1"/>
  <c r="E84" i="6" s="1"/>
  <c r="G84" i="6" s="1"/>
  <c r="E147" i="6" a="1"/>
  <c r="E147" i="6" s="1"/>
  <c r="G147" i="6" s="1"/>
  <c r="E47" i="6" a="1"/>
  <c r="E47" i="6" s="1"/>
  <c r="E56" i="6" a="1"/>
  <c r="E56" i="6" s="1"/>
  <c r="R67" i="7"/>
  <c r="E257" i="6" a="1"/>
  <c r="E257" i="6" s="1"/>
  <c r="G257" i="6" s="1"/>
  <c r="Y184" i="7"/>
  <c r="R11" i="7"/>
  <c r="P7" i="7"/>
  <c r="R7" i="7" s="1"/>
  <c r="Y175" i="7" l="1"/>
  <c r="X227" i="7"/>
  <c r="Y227" i="7" s="1"/>
  <c r="E8" i="5"/>
  <c r="G247" i="6"/>
  <c r="F181" i="6"/>
  <c r="G165" i="6"/>
  <c r="G151" i="6"/>
  <c r="F262" i="6"/>
  <c r="F145" i="6"/>
  <c r="F91" i="6"/>
  <c r="G270" i="6"/>
  <c r="F46" i="6"/>
  <c r="F199" i="6"/>
  <c r="F235" i="6"/>
  <c r="F109" i="6"/>
  <c r="F127" i="6"/>
  <c r="F163" i="6"/>
  <c r="F118" i="6"/>
  <c r="F253" i="6"/>
  <c r="G224" i="6"/>
  <c r="F217" i="6"/>
  <c r="G206" i="6"/>
  <c r="F190" i="6"/>
  <c r="F172" i="6"/>
  <c r="E172" i="6"/>
  <c r="B31" i="4"/>
  <c r="C31" i="4"/>
  <c r="E217" i="6"/>
  <c r="G92" i="6"/>
  <c r="E91" i="6"/>
  <c r="G254" i="6"/>
  <c r="E253" i="6"/>
  <c r="G146" i="6"/>
  <c r="E145" i="6"/>
  <c r="G263" i="6"/>
  <c r="E262" i="6"/>
  <c r="E235" i="6"/>
  <c r="G200" i="6"/>
  <c r="E199" i="6"/>
  <c r="BM254" i="6"/>
  <c r="C253" i="6"/>
  <c r="BM173" i="6"/>
  <c r="C172" i="6"/>
  <c r="BM236" i="6"/>
  <c r="C235" i="6"/>
  <c r="BM218" i="6"/>
  <c r="C217" i="6"/>
  <c r="G20" i="6"/>
  <c r="E19" i="6"/>
  <c r="G19" i="6" s="1"/>
  <c r="BM245" i="6"/>
  <c r="C244" i="6"/>
  <c r="E244" i="6"/>
  <c r="G244" i="6" s="1"/>
  <c r="F244" i="6"/>
  <c r="G227" i="6"/>
  <c r="E226" i="6"/>
  <c r="G226" i="6" s="1"/>
  <c r="F208" i="6"/>
  <c r="BM209" i="6"/>
  <c r="C208" i="6"/>
  <c r="E208" i="6"/>
  <c r="G208" i="6" s="1"/>
  <c r="BM191" i="6"/>
  <c r="C190" i="6"/>
  <c r="E190" i="6"/>
  <c r="G182" i="6"/>
  <c r="E181" i="6"/>
  <c r="G181" i="6" s="1"/>
  <c r="BM164" i="6"/>
  <c r="C163" i="6"/>
  <c r="G164" i="6"/>
  <c r="E163" i="6"/>
  <c r="G163" i="6" s="1"/>
  <c r="G155" i="6"/>
  <c r="E154" i="6"/>
  <c r="G154" i="6" s="1"/>
  <c r="G137" i="6"/>
  <c r="E136" i="6"/>
  <c r="G136" i="6" s="1"/>
  <c r="F136" i="6"/>
  <c r="G128" i="6"/>
  <c r="E127" i="6"/>
  <c r="G127" i="6" s="1"/>
  <c r="G119" i="6"/>
  <c r="E118" i="6"/>
  <c r="G118" i="6" s="1"/>
  <c r="G110" i="6"/>
  <c r="E109" i="6"/>
  <c r="G109" i="6" s="1"/>
  <c r="G101" i="6"/>
  <c r="E100" i="6"/>
  <c r="G100" i="6" s="1"/>
  <c r="G108" i="6"/>
  <c r="G83" i="6"/>
  <c r="E82" i="6"/>
  <c r="G82" i="6" s="1"/>
  <c r="G74" i="6"/>
  <c r="E73" i="6"/>
  <c r="G73" i="6" s="1"/>
  <c r="G65" i="6"/>
  <c r="E64" i="6"/>
  <c r="G64" i="6" s="1"/>
  <c r="G56" i="6"/>
  <c r="E55" i="6"/>
  <c r="G55" i="6" s="1"/>
  <c r="G47" i="6"/>
  <c r="E46" i="6"/>
  <c r="G46" i="6" s="1"/>
  <c r="G38" i="6"/>
  <c r="E37" i="6"/>
  <c r="G37" i="6" s="1"/>
  <c r="G29" i="6"/>
  <c r="E28" i="6"/>
  <c r="G28" i="6" s="1"/>
  <c r="G111" i="6"/>
  <c r="G220" i="6"/>
  <c r="G221" i="6"/>
  <c r="G96" i="6"/>
  <c r="G218" i="6"/>
  <c r="G238" i="6"/>
  <c r="G242" i="6"/>
  <c r="G116" i="6"/>
  <c r="G50" i="6"/>
  <c r="G79" i="6"/>
  <c r="G231" i="6"/>
  <c r="C272" i="6" a="1"/>
  <c r="C272" i="6" s="1"/>
  <c r="BM272" i="6"/>
  <c r="BL272" i="6" a="1"/>
  <c r="BL272" i="6" s="1"/>
  <c r="B272" i="6" a="1"/>
  <c r="B272" i="6" s="1"/>
  <c r="E272" i="6" a="1"/>
  <c r="E272" i="6" s="1"/>
  <c r="E271" i="6" s="1"/>
  <c r="G271" i="6" s="1"/>
  <c r="F272" i="6"/>
  <c r="F271" i="6" s="1"/>
  <c r="G240" i="6"/>
  <c r="G152" i="6"/>
  <c r="G256" i="6"/>
  <c r="G166" i="6"/>
  <c r="G157" i="6"/>
  <c r="G153" i="6"/>
  <c r="G195" i="6"/>
  <c r="G225" i="6"/>
  <c r="G261" i="6"/>
  <c r="G183" i="6"/>
  <c r="G209" i="6"/>
  <c r="G252" i="6"/>
  <c r="G117" i="6"/>
  <c r="G135" i="6"/>
  <c r="G125" i="6"/>
  <c r="G184" i="6"/>
  <c r="G250" i="6"/>
  <c r="G204" i="6"/>
  <c r="G113" i="6"/>
  <c r="G177" i="6"/>
  <c r="X180" i="7"/>
  <c r="G122" i="6"/>
  <c r="Z116" i="7"/>
  <c r="Y116" i="7"/>
  <c r="G249" i="6"/>
  <c r="G51" i="6"/>
  <c r="G173" i="6"/>
  <c r="G62" i="6"/>
  <c r="G223" i="6"/>
  <c r="G191" i="6"/>
  <c r="G134" i="6"/>
  <c r="G236" i="6"/>
  <c r="G198" i="6"/>
  <c r="G53" i="6"/>
  <c r="G245" i="6"/>
  <c r="G275" i="6"/>
  <c r="X157" i="7"/>
  <c r="Y157" i="7" s="1"/>
  <c r="G273" i="6"/>
  <c r="G268" i="6"/>
  <c r="G276" i="6"/>
  <c r="Y152" i="7"/>
  <c r="Z152" i="7"/>
  <c r="G210" i="6"/>
  <c r="G279" i="6"/>
  <c r="Y171" i="7"/>
  <c r="Z171" i="7"/>
  <c r="G222" i="6"/>
  <c r="Y135" i="7"/>
  <c r="Z135" i="7"/>
  <c r="Y5" i="7"/>
  <c r="Z5" i="7"/>
  <c r="Z112" i="7"/>
  <c r="Y112" i="7"/>
  <c r="G40" i="6"/>
  <c r="Y177" i="7"/>
  <c r="Z177" i="7"/>
  <c r="Y183" i="7"/>
  <c r="Z183" i="7"/>
  <c r="G99" i="6"/>
  <c r="Y149" i="7"/>
  <c r="Z149" i="7"/>
  <c r="Z193" i="7"/>
  <c r="Y193" i="7"/>
  <c r="G274" i="6"/>
  <c r="Y153" i="7"/>
  <c r="Z153" i="7"/>
  <c r="G277" i="6"/>
  <c r="G278" i="6"/>
  <c r="Y61" i="7"/>
  <c r="Z61" i="7"/>
  <c r="Y188" i="7"/>
  <c r="Z188" i="7"/>
  <c r="Z166" i="7"/>
  <c r="Y166" i="7"/>
  <c r="Y65" i="7"/>
  <c r="Z65" i="7"/>
  <c r="G253" i="6" l="1"/>
  <c r="G190" i="6"/>
  <c r="G91" i="6"/>
  <c r="G172" i="6"/>
  <c r="H8" i="5"/>
  <c r="G8" i="5"/>
  <c r="G145" i="6"/>
  <c r="G262" i="6"/>
  <c r="G235" i="6"/>
  <c r="G199" i="6"/>
  <c r="I13" i="4" a="1"/>
  <c r="I13" i="4" s="1"/>
  <c r="I39" i="4" s="1"/>
  <c r="G217" i="6"/>
  <c r="AG14" i="4" a="1"/>
  <c r="AG14" i="4" s="1"/>
  <c r="AG40" i="4" s="1"/>
  <c r="AQ10" i="4" a="1"/>
  <c r="AQ10" i="4" s="1"/>
  <c r="AQ36" i="4" s="1"/>
  <c r="AD11" i="4" a="1"/>
  <c r="AD11" i="4" s="1"/>
  <c r="AD37" i="4" s="1"/>
  <c r="K9" i="4" a="1"/>
  <c r="K9" i="4" s="1"/>
  <c r="K35" i="4" s="1"/>
  <c r="AB11" i="4" a="1"/>
  <c r="AB11" i="4" s="1"/>
  <c r="AB37" i="4" s="1"/>
  <c r="AO13" i="4" a="1"/>
  <c r="AO13" i="4" s="1"/>
  <c r="AO39" i="4" s="1"/>
  <c r="AU9" i="4" a="1"/>
  <c r="AU9" i="4" s="1"/>
  <c r="AU35" i="4" s="1"/>
  <c r="Z9" i="4" a="1"/>
  <c r="Z9" i="4" s="1"/>
  <c r="Z35" i="4" s="1"/>
  <c r="K12" i="4" a="1"/>
  <c r="K12" i="4" s="1"/>
  <c r="K38" i="4" s="1"/>
  <c r="Q13" i="4" a="1"/>
  <c r="Q13" i="4" s="1"/>
  <c r="Q39" i="4" s="1"/>
  <c r="F8" i="4" a="1"/>
  <c r="F8" i="4" s="1"/>
  <c r="M11" i="4" a="1"/>
  <c r="M11" i="4" s="1"/>
  <c r="M37" i="4" s="1"/>
  <c r="D13" i="4" a="1"/>
  <c r="D13" i="4" s="1"/>
  <c r="AJ11" i="4" a="1"/>
  <c r="AJ11" i="4" s="1"/>
  <c r="AJ37" i="4" s="1"/>
  <c r="AI10" i="4" a="1"/>
  <c r="AI10" i="4" s="1"/>
  <c r="AI36" i="4" s="1"/>
  <c r="AT12" i="4" a="1"/>
  <c r="AT12" i="4" s="1"/>
  <c r="AT38" i="4" s="1"/>
  <c r="AX12" i="4" a="1"/>
  <c r="AX12" i="4" s="1"/>
  <c r="AX38" i="4" s="1"/>
  <c r="AL9" i="4" a="1"/>
  <c r="AL9" i="4" s="1"/>
  <c r="AL35" i="4" s="1"/>
  <c r="AJ13" i="4" a="1"/>
  <c r="AJ13" i="4" s="1"/>
  <c r="AJ39" i="4" s="1"/>
  <c r="L11" i="4" a="1"/>
  <c r="L11" i="4" s="1"/>
  <c r="L37" i="4" s="1"/>
  <c r="F13" i="4" a="1"/>
  <c r="F13" i="4" s="1"/>
  <c r="F39" i="4" s="1"/>
  <c r="AF9" i="4" a="1"/>
  <c r="AF9" i="4" s="1"/>
  <c r="AF35" i="4" s="1"/>
  <c r="M8" i="4" a="1"/>
  <c r="M8" i="4" s="1"/>
  <c r="N11" i="4" a="1"/>
  <c r="N11" i="4" s="1"/>
  <c r="N37" i="4" s="1"/>
  <c r="H9" i="4" a="1"/>
  <c r="H9" i="4" s="1"/>
  <c r="H35" i="4" s="1"/>
  <c r="AF12" i="4" a="1"/>
  <c r="AF12" i="4" s="1"/>
  <c r="AF38" i="4" s="1"/>
  <c r="K13" i="4" a="1"/>
  <c r="K13" i="4" s="1"/>
  <c r="K39" i="4" s="1"/>
  <c r="AK9" i="4" a="1"/>
  <c r="AK9" i="4" s="1"/>
  <c r="AK35" i="4" s="1"/>
  <c r="AB10" i="4" a="1"/>
  <c r="AB10" i="4" s="1"/>
  <c r="AB36" i="4" s="1"/>
  <c r="I12" i="4" a="1"/>
  <c r="I12" i="4" s="1"/>
  <c r="I38" i="4" s="1"/>
  <c r="N12" i="4" a="1"/>
  <c r="N12" i="4" s="1"/>
  <c r="N38" i="4" s="1"/>
  <c r="AM9" i="4" a="1"/>
  <c r="AM9" i="4" s="1"/>
  <c r="AM35" i="4" s="1"/>
  <c r="AK11" i="4" a="1"/>
  <c r="AK11" i="4" s="1"/>
  <c r="AK37" i="4" s="1"/>
  <c r="AY11" i="4" a="1"/>
  <c r="AY11" i="4" s="1"/>
  <c r="AY37" i="4" s="1"/>
  <c r="AE13" i="4" a="1"/>
  <c r="AE13" i="4" s="1"/>
  <c r="AE39" i="4" s="1"/>
  <c r="AK12" i="4" a="1"/>
  <c r="AK12" i="4" s="1"/>
  <c r="AK38" i="4" s="1"/>
  <c r="BC9" i="4" a="1"/>
  <c r="BC9" i="4" s="1"/>
  <c r="BC35" i="4" s="1"/>
  <c r="D10" i="4" a="1"/>
  <c r="D10" i="4" s="1"/>
  <c r="AA12" i="4" a="1"/>
  <c r="AA12" i="4" s="1"/>
  <c r="AA38" i="4" s="1"/>
  <c r="R13" i="4" a="1"/>
  <c r="R13" i="4" s="1"/>
  <c r="R39" i="4" s="1"/>
  <c r="F11" i="4" a="1"/>
  <c r="F11" i="4" s="1"/>
  <c r="F37" i="4" s="1"/>
  <c r="AT11" i="4" a="1"/>
  <c r="AT11" i="4" s="1"/>
  <c r="AT37" i="4" s="1"/>
  <c r="BA11" i="4" a="1"/>
  <c r="BA11" i="4" s="1"/>
  <c r="BA37" i="4" s="1"/>
  <c r="AR12" i="4" a="1"/>
  <c r="AR12" i="4" s="1"/>
  <c r="AR38" i="4" s="1"/>
  <c r="O8" i="4" a="1"/>
  <c r="O8" i="4" s="1"/>
  <c r="K8" i="4" a="1"/>
  <c r="K8" i="4" s="1"/>
  <c r="AE14" i="4" a="1"/>
  <c r="AE14" i="4" s="1"/>
  <c r="AE40" i="4" s="1"/>
  <c r="AR8" i="4" a="1"/>
  <c r="AR8" i="4" s="1"/>
  <c r="E14" i="4" a="1"/>
  <c r="E14" i="4" s="1"/>
  <c r="E40" i="4" s="1"/>
  <c r="V12" i="4" a="1"/>
  <c r="V12" i="4" s="1"/>
  <c r="V38" i="4" s="1"/>
  <c r="AE8" i="4" a="1"/>
  <c r="AE8" i="4" s="1"/>
  <c r="AM13" i="4" a="1"/>
  <c r="AM13" i="4" s="1"/>
  <c r="AM39" i="4" s="1"/>
  <c r="Q11" i="4" a="1"/>
  <c r="Q11" i="4" s="1"/>
  <c r="Q37" i="4" s="1"/>
  <c r="J9" i="4" a="1"/>
  <c r="J9" i="4" s="1"/>
  <c r="J35" i="4" s="1"/>
  <c r="AI8" i="4" a="1"/>
  <c r="AI8" i="4" s="1"/>
  <c r="AB9" i="4" a="1"/>
  <c r="AB9" i="4" s="1"/>
  <c r="AB35" i="4" s="1"/>
  <c r="J12" i="4" a="1"/>
  <c r="J12" i="4" s="1"/>
  <c r="J38" i="4" s="1"/>
  <c r="J8" i="4" a="1"/>
  <c r="J8" i="4" s="1"/>
  <c r="Q10" i="4" a="1"/>
  <c r="Q10" i="4" s="1"/>
  <c r="Q36" i="4" s="1"/>
  <c r="BA8" i="4" a="1"/>
  <c r="BA8" i="4" s="1"/>
  <c r="AR9" i="4" a="1"/>
  <c r="AR9" i="4" s="1"/>
  <c r="AR35" i="4" s="1"/>
  <c r="AV12" i="4" a="1"/>
  <c r="AV12" i="4" s="1"/>
  <c r="AV38" i="4" s="1"/>
  <c r="AY10" i="4" a="1"/>
  <c r="AY10" i="4" s="1"/>
  <c r="AY36" i="4" s="1"/>
  <c r="T13" i="4" a="1"/>
  <c r="T13" i="4" s="1"/>
  <c r="T39" i="4" s="1"/>
  <c r="AP9" i="4" a="1"/>
  <c r="AP9" i="4" s="1"/>
  <c r="AP35" i="4" s="1"/>
  <c r="Z11" i="4" a="1"/>
  <c r="Z11" i="4" s="1"/>
  <c r="Z37" i="4" s="1"/>
  <c r="AZ9" i="4" a="1"/>
  <c r="AZ9" i="4" s="1"/>
  <c r="AZ35" i="4" s="1"/>
  <c r="Q9" i="4" a="1"/>
  <c r="Q9" i="4" s="1"/>
  <c r="Q35" i="4" s="1"/>
  <c r="G13" i="4" a="1"/>
  <c r="G13" i="4" s="1"/>
  <c r="G39" i="4" s="1"/>
  <c r="AA13" i="4" a="1"/>
  <c r="AA13" i="4" s="1"/>
  <c r="AA39" i="4" s="1"/>
  <c r="R11" i="4" a="1"/>
  <c r="R11" i="4" s="1"/>
  <c r="R37" i="4" s="1"/>
  <c r="I10" i="4" a="1"/>
  <c r="I10" i="4" s="1"/>
  <c r="I36" i="4" s="1"/>
  <c r="AN8" i="4" a="1"/>
  <c r="AN8" i="4" s="1"/>
  <c r="AL10" i="4" a="1"/>
  <c r="AL10" i="4" s="1"/>
  <c r="AL36" i="4" s="1"/>
  <c r="R12" i="4" a="1"/>
  <c r="R12" i="4" s="1"/>
  <c r="R38" i="4" s="1"/>
  <c r="AF8" i="4" a="1"/>
  <c r="AF8" i="4" s="1"/>
  <c r="F14" i="4" a="1"/>
  <c r="F14" i="4" s="1"/>
  <c r="F40" i="4" s="1"/>
  <c r="Z8" i="4" a="1"/>
  <c r="Z8" i="4" s="1"/>
  <c r="AZ14" i="4" a="1"/>
  <c r="AZ14" i="4" s="1"/>
  <c r="AZ40" i="4" s="1"/>
  <c r="AD12" i="4" a="1"/>
  <c r="AD12" i="4" s="1"/>
  <c r="AD38" i="4" s="1"/>
  <c r="AC11" i="4" a="1"/>
  <c r="AC11" i="4" s="1"/>
  <c r="AC37" i="4" s="1"/>
  <c r="Y13" i="4" a="1"/>
  <c r="Y13" i="4" s="1"/>
  <c r="Y39" i="4" s="1"/>
  <c r="S11" i="4" a="1"/>
  <c r="S11" i="4" s="1"/>
  <c r="S37" i="4" s="1"/>
  <c r="O13" i="4" a="1"/>
  <c r="O13" i="4" s="1"/>
  <c r="O39" i="4" s="1"/>
  <c r="AD9" i="4" a="1"/>
  <c r="AD9" i="4" s="1"/>
  <c r="AD35" i="4" s="1"/>
  <c r="E11" i="4" a="1"/>
  <c r="E11" i="4" s="1"/>
  <c r="E37" i="4" s="1"/>
  <c r="N8" i="4" a="1"/>
  <c r="N8" i="4" s="1"/>
  <c r="AH10" i="4" a="1"/>
  <c r="AH10" i="4" s="1"/>
  <c r="AH36" i="4" s="1"/>
  <c r="AH8" i="4" a="1"/>
  <c r="AH8" i="4" s="1"/>
  <c r="AO10" i="4" a="1"/>
  <c r="AO10" i="4" s="1"/>
  <c r="AO36" i="4" s="1"/>
  <c r="U8" i="4" a="1"/>
  <c r="U8" i="4" s="1"/>
  <c r="AH12" i="4" a="1"/>
  <c r="AH12" i="4" s="1"/>
  <c r="AH38" i="4" s="1"/>
  <c r="H14" i="4" a="1"/>
  <c r="H14" i="4" s="1"/>
  <c r="H40" i="4" s="1"/>
  <c r="AX9" i="4" a="1"/>
  <c r="AX9" i="4" s="1"/>
  <c r="AX35" i="4" s="1"/>
  <c r="AN13" i="4" a="1"/>
  <c r="AN13" i="4" s="1"/>
  <c r="AN39" i="4" s="1"/>
  <c r="BB13" i="4" a="1"/>
  <c r="BB13" i="4" s="1"/>
  <c r="BB39" i="4" s="1"/>
  <c r="AB14" i="4" a="1"/>
  <c r="AB14" i="4" s="1"/>
  <c r="AB40" i="4" s="1"/>
  <c r="BC14" i="4" a="1"/>
  <c r="BC14" i="4" s="1"/>
  <c r="BC40" i="4" s="1"/>
  <c r="AC14" i="4" a="1"/>
  <c r="AC14" i="4" s="1"/>
  <c r="AC40" i="4" s="1"/>
  <c r="AF10" i="4" a="1"/>
  <c r="AF10" i="4" s="1"/>
  <c r="AF36" i="4" s="1"/>
  <c r="R10" i="4" a="1"/>
  <c r="R10" i="4" s="1"/>
  <c r="R36" i="4" s="1"/>
  <c r="S14" i="4" a="1"/>
  <c r="S14" i="4" s="1"/>
  <c r="S40" i="4" s="1"/>
  <c r="AK14" i="4" a="1"/>
  <c r="AK14" i="4" s="1"/>
  <c r="AK40" i="4" s="1"/>
  <c r="M13" i="4" a="1"/>
  <c r="M13" i="4" s="1"/>
  <c r="M39" i="4" s="1"/>
  <c r="T11" i="4" a="1"/>
  <c r="T11" i="4" s="1"/>
  <c r="T37" i="4" s="1"/>
  <c r="AM8" i="4" a="1"/>
  <c r="AM8" i="4" s="1"/>
  <c r="E12" i="4" a="1"/>
  <c r="E12" i="4" s="1"/>
  <c r="E38" i="4" s="1"/>
  <c r="AT9" i="4" a="1"/>
  <c r="AT9" i="4" s="1"/>
  <c r="AT35" i="4" s="1"/>
  <c r="AQ9" i="4" a="1"/>
  <c r="AQ9" i="4" s="1"/>
  <c r="AQ35" i="4" s="1"/>
  <c r="Z14" i="4" a="1"/>
  <c r="Z14" i="4" s="1"/>
  <c r="Z40" i="4" s="1"/>
  <c r="AU14" i="4" a="1"/>
  <c r="AU14" i="4" s="1"/>
  <c r="AU40" i="4" s="1"/>
  <c r="F12" i="4" a="1"/>
  <c r="F12" i="4" s="1"/>
  <c r="H13" i="4" a="1"/>
  <c r="H13" i="4" s="1"/>
  <c r="H39" i="4" s="1"/>
  <c r="W10" i="4" a="1"/>
  <c r="W10" i="4" s="1"/>
  <c r="W36" i="4" s="1"/>
  <c r="AG9" i="4" a="1"/>
  <c r="AG9" i="4" s="1"/>
  <c r="AG35" i="4" s="1"/>
  <c r="AS13" i="4" a="1"/>
  <c r="AS13" i="4" s="1"/>
  <c r="AS39" i="4" s="1"/>
  <c r="AF13" i="4" a="1"/>
  <c r="AF13" i="4" s="1"/>
  <c r="AF39" i="4" s="1"/>
  <c r="AX10" i="4" a="1"/>
  <c r="AX10" i="4" s="1"/>
  <c r="AX36" i="4" s="1"/>
  <c r="AP10" i="4" a="1"/>
  <c r="AP10" i="4" s="1"/>
  <c r="AP36" i="4" s="1"/>
  <c r="AF14" i="4" a="1"/>
  <c r="AF14" i="4" s="1"/>
  <c r="AF40" i="4" s="1"/>
  <c r="Y8" i="4" a="1"/>
  <c r="Y8" i="4" s="1"/>
  <c r="AA8" i="4" a="1"/>
  <c r="AA8" i="4" s="1"/>
  <c r="AC10" i="4" a="1"/>
  <c r="AC10" i="4" s="1"/>
  <c r="AC36" i="4" s="1"/>
  <c r="N13" i="4" a="1"/>
  <c r="N13" i="4" s="1"/>
  <c r="N39" i="4" s="1"/>
  <c r="W13" i="4" a="1"/>
  <c r="W13" i="4" s="1"/>
  <c r="W39" i="4" s="1"/>
  <c r="G9" i="4" a="1"/>
  <c r="G9" i="4" s="1"/>
  <c r="G35" i="4" s="1"/>
  <c r="Z10" i="4" a="1"/>
  <c r="Z10" i="4" s="1"/>
  <c r="Z36" i="4" s="1"/>
  <c r="AT8" i="4" a="1"/>
  <c r="AT8" i="4" s="1"/>
  <c r="P9" i="4" a="1"/>
  <c r="P9" i="4" s="1"/>
  <c r="AV10" i="4" a="1"/>
  <c r="AV10" i="4" s="1"/>
  <c r="AV36" i="4" s="1"/>
  <c r="AV9" i="4" a="1"/>
  <c r="AV9" i="4" s="1"/>
  <c r="AV35" i="4" s="1"/>
  <c r="AZ12" i="4" a="1"/>
  <c r="AZ12" i="4" s="1"/>
  <c r="AZ38" i="4" s="1"/>
  <c r="E13" i="4" a="1"/>
  <c r="E13" i="4" s="1"/>
  <c r="E39" i="4" s="1"/>
  <c r="AP14" i="4" a="1"/>
  <c r="AP14" i="4" s="1"/>
  <c r="AP40" i="4" s="1"/>
  <c r="AK10" i="4" a="1"/>
  <c r="AK10" i="4" s="1"/>
  <c r="AK36" i="4" s="1"/>
  <c r="I14" i="4" a="1"/>
  <c r="I14" i="4" s="1"/>
  <c r="I40" i="4" s="1"/>
  <c r="BA13" i="4" a="1"/>
  <c r="BA13" i="4" s="1"/>
  <c r="BA39" i="4" s="1"/>
  <c r="P8" i="4" a="1"/>
  <c r="P8" i="4" s="1"/>
  <c r="P34" i="4" s="1"/>
  <c r="AY12" i="4" a="1"/>
  <c r="AY12" i="4" s="1"/>
  <c r="AY38" i="4" s="1"/>
  <c r="D12" i="4" a="1"/>
  <c r="D12" i="4" s="1"/>
  <c r="R14" i="4" a="1"/>
  <c r="R14" i="4" s="1"/>
  <c r="R40" i="4" s="1"/>
  <c r="AS9" i="4" a="1"/>
  <c r="AS9" i="4" s="1"/>
  <c r="AS35" i="4" s="1"/>
  <c r="M9" i="4" a="1"/>
  <c r="M9" i="4" s="1"/>
  <c r="M35" i="4" s="1"/>
  <c r="AU13" i="4" a="1"/>
  <c r="AU13" i="4" s="1"/>
  <c r="AU39" i="4" s="1"/>
  <c r="O10" i="4" a="1"/>
  <c r="O10" i="4" s="1"/>
  <c r="O36" i="4" s="1"/>
  <c r="W11" i="4" a="1"/>
  <c r="W11" i="4" s="1"/>
  <c r="W37" i="4" s="1"/>
  <c r="AN14" i="4" a="1"/>
  <c r="AN14" i="4" s="1"/>
  <c r="AN40" i="4" s="1"/>
  <c r="V13" i="4" a="1"/>
  <c r="V13" i="4" s="1"/>
  <c r="V39" i="4" s="1"/>
  <c r="V9" i="4" a="1"/>
  <c r="V9" i="4" s="1"/>
  <c r="V35" i="4" s="1"/>
  <c r="AR13" i="4" a="1"/>
  <c r="AR13" i="4" s="1"/>
  <c r="AR39" i="4" s="1"/>
  <c r="AL14" i="4" a="1"/>
  <c r="AL14" i="4" s="1"/>
  <c r="AL40" i="4" s="1"/>
  <c r="AS11" i="4" a="1"/>
  <c r="AS11" i="4" s="1"/>
  <c r="AS37" i="4" s="1"/>
  <c r="M12" i="4" a="1"/>
  <c r="M12" i="4" s="1"/>
  <c r="M38" i="4" s="1"/>
  <c r="X8" i="4" a="1"/>
  <c r="X8" i="4" s="1"/>
  <c r="AO9" i="4" a="1"/>
  <c r="AO9" i="4" s="1"/>
  <c r="AO35" i="4" s="1"/>
  <c r="AW10" i="4" a="1"/>
  <c r="AW10" i="4" s="1"/>
  <c r="AW36" i="4" s="1"/>
  <c r="AF11" i="4" a="1"/>
  <c r="AF11" i="4" s="1"/>
  <c r="AF37" i="4" s="1"/>
  <c r="AU11" i="4" a="1"/>
  <c r="AU11" i="4" s="1"/>
  <c r="AU37" i="4" s="1"/>
  <c r="AC9" i="4" a="1"/>
  <c r="AC9" i="4" s="1"/>
  <c r="AC35" i="4" s="1"/>
  <c r="O11" i="4" a="1"/>
  <c r="O11" i="4" s="1"/>
  <c r="O37" i="4" s="1"/>
  <c r="AA10" i="4" a="1"/>
  <c r="AA10" i="4" s="1"/>
  <c r="AA36" i="4" s="1"/>
  <c r="BA9" i="4" a="1"/>
  <c r="BA9" i="4" s="1"/>
  <c r="BA35" i="4" s="1"/>
  <c r="AQ12" i="4" a="1"/>
  <c r="AQ12" i="4" s="1"/>
  <c r="AQ38" i="4" s="1"/>
  <c r="O12" i="4" a="1"/>
  <c r="O12" i="4" s="1"/>
  <c r="O38" i="4" s="1"/>
  <c r="AE10" i="4" a="1"/>
  <c r="AE10" i="4" s="1"/>
  <c r="AE36" i="4" s="1"/>
  <c r="T10" i="4" a="1"/>
  <c r="T10" i="4" s="1"/>
  <c r="T36" i="4" s="1"/>
  <c r="U11" i="4" a="1"/>
  <c r="U11" i="4" s="1"/>
  <c r="U37" i="4" s="1"/>
  <c r="S8" i="4" a="1"/>
  <c r="S8" i="4" s="1"/>
  <c r="X11" i="4" a="1"/>
  <c r="X11" i="4" s="1"/>
  <c r="X37" i="4" s="1"/>
  <c r="AQ11" i="4" a="1"/>
  <c r="AQ11" i="4" s="1"/>
  <c r="AQ37" i="4" s="1"/>
  <c r="AM10" i="4" a="1"/>
  <c r="AM10" i="4" s="1"/>
  <c r="AM36" i="4" s="1"/>
  <c r="U12" i="4" a="1"/>
  <c r="U12" i="4" s="1"/>
  <c r="U38" i="4" s="1"/>
  <c r="AM11" i="4" a="1"/>
  <c r="AM11" i="4" s="1"/>
  <c r="AM37" i="4" s="1"/>
  <c r="G11" i="4" a="1"/>
  <c r="G11" i="4" s="1"/>
  <c r="G37" i="4" s="1"/>
  <c r="X10" i="4" a="1"/>
  <c r="X10" i="4" s="1"/>
  <c r="X36" i="4" s="1"/>
  <c r="AI14" i="4" a="1"/>
  <c r="AI14" i="4" s="1"/>
  <c r="AI40" i="4" s="1"/>
  <c r="U14" i="4" a="1"/>
  <c r="U14" i="4" s="1"/>
  <c r="U40" i="4" s="1"/>
  <c r="I11" i="4" a="1"/>
  <c r="I11" i="4" s="1"/>
  <c r="I37" i="4" s="1"/>
  <c r="AM14" i="4" a="1"/>
  <c r="AM14" i="4" s="1"/>
  <c r="AM40" i="4" s="1"/>
  <c r="AY13" i="4" a="1"/>
  <c r="AY13" i="4" s="1"/>
  <c r="AY39" i="4" s="1"/>
  <c r="AT10" i="4" a="1"/>
  <c r="AT10" i="4" s="1"/>
  <c r="AT36" i="4" s="1"/>
  <c r="Q14" i="4" a="1"/>
  <c r="Q14" i="4" s="1"/>
  <c r="Q40" i="4" s="1"/>
  <c r="AQ8" i="4" a="1"/>
  <c r="AQ8" i="4" s="1"/>
  <c r="AN12" i="4" a="1"/>
  <c r="AN12" i="4" s="1"/>
  <c r="AN38" i="4" s="1"/>
  <c r="AW13" i="4" a="1"/>
  <c r="AW13" i="4" s="1"/>
  <c r="AW39" i="4" s="1"/>
  <c r="AV13" i="4" a="1"/>
  <c r="AV13" i="4" s="1"/>
  <c r="AV39" i="4" s="1"/>
  <c r="AP12" i="4" a="1"/>
  <c r="AP12" i="4" s="1"/>
  <c r="AP38" i="4" s="1"/>
  <c r="AB12" i="4" a="1"/>
  <c r="AB12" i="4" s="1"/>
  <c r="AB38" i="4" s="1"/>
  <c r="AQ13" i="4" a="1"/>
  <c r="AQ13" i="4" s="1"/>
  <c r="AQ39" i="4" s="1"/>
  <c r="L8" i="4" a="1"/>
  <c r="L8" i="4" s="1"/>
  <c r="G14" i="4" a="1"/>
  <c r="G14" i="4" s="1"/>
  <c r="G40" i="4" s="1"/>
  <c r="AY9" i="4" a="1"/>
  <c r="AY9" i="4" s="1"/>
  <c r="AY35" i="4" s="1"/>
  <c r="BB10" i="4" a="1"/>
  <c r="BB10" i="4" s="1"/>
  <c r="BB36" i="4" s="1"/>
  <c r="N10" i="4" a="1"/>
  <c r="N10" i="4" s="1"/>
  <c r="N36" i="4" s="1"/>
  <c r="AJ8" i="4" a="1"/>
  <c r="AJ8" i="4" s="1"/>
  <c r="AA9" i="4" a="1"/>
  <c r="AA9" i="4" s="1"/>
  <c r="AA35" i="4" s="1"/>
  <c r="W12" i="4" a="1"/>
  <c r="W12" i="4" s="1"/>
  <c r="W38" i="4" s="1"/>
  <c r="BA12" i="4" a="1"/>
  <c r="BA12" i="4" s="1"/>
  <c r="BA38" i="4" s="1"/>
  <c r="AH13" i="4" a="1"/>
  <c r="AH13" i="4" s="1"/>
  <c r="AH39" i="4" s="1"/>
  <c r="J10" i="4" a="1"/>
  <c r="J10" i="4" s="1"/>
  <c r="J36" i="4" s="1"/>
  <c r="AS10" i="4" a="1"/>
  <c r="AS10" i="4" s="1"/>
  <c r="AS36" i="4" s="1"/>
  <c r="AU10" i="4" a="1"/>
  <c r="AU10" i="4" s="1"/>
  <c r="AU36" i="4" s="1"/>
  <c r="P14" i="4" a="1"/>
  <c r="P14" i="4" s="1"/>
  <c r="P40" i="4" s="1"/>
  <c r="BB9" i="4" a="1"/>
  <c r="BB9" i="4" s="1"/>
  <c r="BB35" i="4" s="1"/>
  <c r="AK8" i="4" a="1"/>
  <c r="AK8" i="4" s="1"/>
  <c r="AJ12" i="4" a="1"/>
  <c r="AJ12" i="4" s="1"/>
  <c r="AJ38" i="4" s="1"/>
  <c r="AE9" i="4" a="1"/>
  <c r="AE9" i="4" s="1"/>
  <c r="AE35" i="4" s="1"/>
  <c r="L13" i="4" a="1"/>
  <c r="L13" i="4" s="1"/>
  <c r="L39" i="4" s="1"/>
  <c r="V8" i="4" a="1"/>
  <c r="V8" i="4" s="1"/>
  <c r="L12" i="4" a="1"/>
  <c r="L12" i="4" s="1"/>
  <c r="L38" i="4" s="1"/>
  <c r="AI11" i="4" a="1"/>
  <c r="AI11" i="4" s="1"/>
  <c r="AI37" i="4" s="1"/>
  <c r="AX8" i="4" a="1"/>
  <c r="AX8" i="4" s="1"/>
  <c r="AJ14" i="4" a="1"/>
  <c r="AJ14" i="4" s="1"/>
  <c r="AJ40" i="4" s="1"/>
  <c r="U10" i="4" a="1"/>
  <c r="U10" i="4" s="1"/>
  <c r="U36" i="4" s="1"/>
  <c r="D14" i="4" a="1"/>
  <c r="D14" i="4" s="1"/>
  <c r="W9" i="4" a="1"/>
  <c r="W9" i="4" s="1"/>
  <c r="W35" i="4" s="1"/>
  <c r="Y9" i="4" a="1"/>
  <c r="Y9" i="4" s="1"/>
  <c r="Y35" i="4" s="1"/>
  <c r="AO14" i="4" a="1"/>
  <c r="AO14" i="4" s="1"/>
  <c r="AO40" i="4" s="1"/>
  <c r="M14" i="4" a="1"/>
  <c r="M14" i="4" s="1"/>
  <c r="M40" i="4" s="1"/>
  <c r="AI13" i="4" a="1"/>
  <c r="AI13" i="4" s="1"/>
  <c r="AI39" i="4" s="1"/>
  <c r="I9" i="4" a="1"/>
  <c r="I9" i="4" s="1"/>
  <c r="I35" i="4" s="1"/>
  <c r="R8" i="4" a="1"/>
  <c r="R8" i="4" s="1"/>
  <c r="X9" i="4" a="1"/>
  <c r="X9" i="4" s="1"/>
  <c r="X35" i="4" s="1"/>
  <c r="AM12" i="4" a="1"/>
  <c r="AM12" i="4" s="1"/>
  <c r="AM38" i="4" s="1"/>
  <c r="V14" i="4" a="1"/>
  <c r="V14" i="4" s="1"/>
  <c r="V40" i="4" s="1"/>
  <c r="E10" i="4" a="1"/>
  <c r="E10" i="4" s="1"/>
  <c r="E36" i="4" s="1"/>
  <c r="AH14" i="4" a="1"/>
  <c r="AH14" i="4" s="1"/>
  <c r="AH40" i="4" s="1"/>
  <c r="K11" i="4" a="1"/>
  <c r="K11" i="4" s="1"/>
  <c r="K37" i="4" s="1"/>
  <c r="T8" i="4" a="1"/>
  <c r="T8" i="4" s="1"/>
  <c r="AE12" i="4" a="1"/>
  <c r="AE12" i="4" s="1"/>
  <c r="AE38" i="4" s="1"/>
  <c r="AC12" i="4" a="1"/>
  <c r="AC12" i="4" s="1"/>
  <c r="AC38" i="4" s="1"/>
  <c r="AW9" i="4" a="1"/>
  <c r="AW9" i="4" s="1"/>
  <c r="AW35" i="4" s="1"/>
  <c r="H11" i="4" a="1"/>
  <c r="H11" i="4" s="1"/>
  <c r="H37" i="4" s="1"/>
  <c r="O9" i="4" a="1"/>
  <c r="O9" i="4" s="1"/>
  <c r="O35" i="4" s="1"/>
  <c r="Y11" i="4" a="1"/>
  <c r="Y11" i="4" s="1"/>
  <c r="Y37" i="4" s="1"/>
  <c r="G8" i="4" a="1"/>
  <c r="G8" i="4" s="1"/>
  <c r="F10" i="4" a="1"/>
  <c r="F10" i="4" s="1"/>
  <c r="F36" i="4" s="1"/>
  <c r="AH9" i="4" a="1"/>
  <c r="AH9" i="4" s="1"/>
  <c r="AH35" i="4" s="1"/>
  <c r="L9" i="4" a="1"/>
  <c r="L9" i="4" s="1"/>
  <c r="L35" i="4" s="1"/>
  <c r="Y14" i="4" a="1"/>
  <c r="Y14" i="4" s="1"/>
  <c r="Y40" i="4" s="1"/>
  <c r="T9" i="4" a="1"/>
  <c r="T9" i="4" s="1"/>
  <c r="T35" i="4" s="1"/>
  <c r="X12" i="4" a="1"/>
  <c r="X12" i="4" s="1"/>
  <c r="X38" i="4" s="1"/>
  <c r="L10" i="4" a="1"/>
  <c r="L10" i="4" s="1"/>
  <c r="L36" i="4" s="1"/>
  <c r="AT13" i="4" a="1"/>
  <c r="AT13" i="4" s="1"/>
  <c r="AT39" i="4" s="1"/>
  <c r="AW8" i="4" a="1"/>
  <c r="AW8" i="4" s="1"/>
  <c r="Q12" i="4" a="1"/>
  <c r="Q12" i="4" s="1"/>
  <c r="Q38" i="4" s="1"/>
  <c r="G10" i="4" a="1"/>
  <c r="G10" i="4" s="1"/>
  <c r="G36" i="4" s="1"/>
  <c r="AC13" i="4" a="1"/>
  <c r="AC13" i="4" s="1"/>
  <c r="AC39" i="4" s="1"/>
  <c r="AG11" i="4" a="1"/>
  <c r="AG11" i="4" s="1"/>
  <c r="AG37" i="4" s="1"/>
  <c r="AL12" i="4" a="1"/>
  <c r="AL12" i="4" s="1"/>
  <c r="AL38" i="4" s="1"/>
  <c r="AB8" i="4" a="1"/>
  <c r="AB8" i="4" s="1"/>
  <c r="BB8" i="4" a="1"/>
  <c r="BB8" i="4" s="1"/>
  <c r="AR14" i="4" a="1"/>
  <c r="AR14" i="4" s="1"/>
  <c r="AR40" i="4" s="1"/>
  <c r="AZ13" i="4" a="1"/>
  <c r="AZ13" i="4" s="1"/>
  <c r="AZ39" i="4" s="1"/>
  <c r="AA14" i="4" a="1"/>
  <c r="AA14" i="4" s="1"/>
  <c r="AA40" i="4" s="1"/>
  <c r="M10" i="4" a="1"/>
  <c r="M10" i="4" s="1"/>
  <c r="M36" i="4" s="1"/>
  <c r="AG12" i="4" a="1"/>
  <c r="AG12" i="4" s="1"/>
  <c r="AG38" i="4" s="1"/>
  <c r="AV11" i="4" a="1"/>
  <c r="AV11" i="4" s="1"/>
  <c r="AV37" i="4" s="1"/>
  <c r="T12" i="4" a="1"/>
  <c r="T12" i="4" s="1"/>
  <c r="T38" i="4" s="1"/>
  <c r="BA14" i="4" a="1"/>
  <c r="BA14" i="4" s="1"/>
  <c r="BA40" i="4" s="1"/>
  <c r="AL8" i="4" a="1"/>
  <c r="AL8" i="4" s="1"/>
  <c r="BC10" i="4" a="1"/>
  <c r="BC10" i="4" s="1"/>
  <c r="BC36" i="4" s="1"/>
  <c r="AR11" i="4" a="1"/>
  <c r="AR11" i="4" s="1"/>
  <c r="AR37" i="4" s="1"/>
  <c r="AL13" i="4" a="1"/>
  <c r="AL13" i="4" s="1"/>
  <c r="AL39" i="4" s="1"/>
  <c r="Y12" i="4" a="1"/>
  <c r="Y12" i="4" s="1"/>
  <c r="Y38" i="4" s="1"/>
  <c r="AP8" i="4" a="1"/>
  <c r="AP8" i="4" s="1"/>
  <c r="X14" i="4" a="1"/>
  <c r="X14" i="4" s="1"/>
  <c r="X40" i="4" s="1"/>
  <c r="AU8" i="4" a="1"/>
  <c r="AU8" i="4" s="1"/>
  <c r="AU12" i="4" a="1"/>
  <c r="AU12" i="4" s="1"/>
  <c r="AU38" i="4" s="1"/>
  <c r="L14" i="4" a="1"/>
  <c r="L14" i="4" s="1"/>
  <c r="L40" i="4" s="1"/>
  <c r="H12" i="4" a="1"/>
  <c r="H12" i="4" s="1"/>
  <c r="H38" i="4" s="1"/>
  <c r="AI9" i="4" a="1"/>
  <c r="AI9" i="4" s="1"/>
  <c r="AI35" i="4" s="1"/>
  <c r="G12" i="4" a="1"/>
  <c r="G12" i="4" s="1"/>
  <c r="G38" i="4" s="1"/>
  <c r="U13" i="4" a="1"/>
  <c r="U13" i="4" s="1"/>
  <c r="U39" i="4" s="1"/>
  <c r="BB14" i="4" a="1"/>
  <c r="BB14" i="4" s="1"/>
  <c r="BB40" i="4" s="1"/>
  <c r="E8" i="4" a="1"/>
  <c r="E8" i="4" s="1"/>
  <c r="P11" i="4" a="1"/>
  <c r="P11" i="4" s="1"/>
  <c r="P37" i="4" s="1"/>
  <c r="AE11" i="4" a="1"/>
  <c r="AE11" i="4" s="1"/>
  <c r="AE37" i="4" s="1"/>
  <c r="AW12" i="4" a="1"/>
  <c r="AW12" i="4" s="1"/>
  <c r="AW38" i="4" s="1"/>
  <c r="BC11" i="4" a="1"/>
  <c r="BC11" i="4" s="1"/>
  <c r="BC37" i="4" s="1"/>
  <c r="J11" i="4" a="1"/>
  <c r="J11" i="4" s="1"/>
  <c r="J37" i="4" s="1"/>
  <c r="AW11" i="4" a="1"/>
  <c r="AW11" i="4" s="1"/>
  <c r="AW37" i="4" s="1"/>
  <c r="Z12" i="4" a="1"/>
  <c r="Z12" i="4" s="1"/>
  <c r="Z38" i="4" s="1"/>
  <c r="AI12" i="4" a="1"/>
  <c r="AI12" i="4" s="1"/>
  <c r="AI38" i="4" s="1"/>
  <c r="AS8" i="4" a="1"/>
  <c r="AS8" i="4" s="1"/>
  <c r="D11" i="4" a="1"/>
  <c r="D11" i="4" s="1"/>
  <c r="AD14" i="4" a="1"/>
  <c r="AD14" i="4" s="1"/>
  <c r="AD40" i="4" s="1"/>
  <c r="AJ10" i="4" a="1"/>
  <c r="AJ10" i="4" s="1"/>
  <c r="AJ36" i="4" s="1"/>
  <c r="AA11" i="4" a="1"/>
  <c r="AA11" i="4" s="1"/>
  <c r="AA37" i="4" s="1"/>
  <c r="K10" i="4" a="1"/>
  <c r="K10" i="4" s="1"/>
  <c r="K36" i="4" s="1"/>
  <c r="N9" i="4" a="1"/>
  <c r="N9" i="4" s="1"/>
  <c r="N35" i="4" s="1"/>
  <c r="J13" i="4" a="1"/>
  <c r="J13" i="4" s="1"/>
  <c r="J39" i="4" s="1"/>
  <c r="AY8" i="4" a="1"/>
  <c r="AY8" i="4" s="1"/>
  <c r="AX13" i="4" a="1"/>
  <c r="AX13" i="4" s="1"/>
  <c r="AX39" i="4" s="1"/>
  <c r="AR10" i="4" a="1"/>
  <c r="AR10" i="4" s="1"/>
  <c r="AR36" i="4" s="1"/>
  <c r="R9" i="4" a="1"/>
  <c r="R9" i="4" s="1"/>
  <c r="R35" i="4" s="1"/>
  <c r="AL11" i="4" a="1"/>
  <c r="AL11" i="4" s="1"/>
  <c r="AL37" i="4" s="1"/>
  <c r="AN10" i="4" a="1"/>
  <c r="AN10" i="4" s="1"/>
  <c r="AN36" i="4" s="1"/>
  <c r="AD10" i="4" a="1"/>
  <c r="AD10" i="4" s="1"/>
  <c r="AD36" i="4" s="1"/>
  <c r="AD13" i="4" a="1"/>
  <c r="AD13" i="4" s="1"/>
  <c r="AD39" i="4" s="1"/>
  <c r="AX11" i="4" a="1"/>
  <c r="AX11" i="4" s="1"/>
  <c r="AX37" i="4" s="1"/>
  <c r="S13" i="4" a="1"/>
  <c r="S13" i="4" s="1"/>
  <c r="S39" i="4" s="1"/>
  <c r="AQ14" i="4" a="1"/>
  <c r="AQ14" i="4" s="1"/>
  <c r="AQ40" i="4" s="1"/>
  <c r="AT14" i="4" a="1"/>
  <c r="AT14" i="4" s="1"/>
  <c r="AT40" i="4" s="1"/>
  <c r="AW14" i="4" a="1"/>
  <c r="AW14" i="4" s="1"/>
  <c r="AW40" i="4" s="1"/>
  <c r="Q8" i="4" a="1"/>
  <c r="Q8" i="4" s="1"/>
  <c r="F9" i="4" a="1"/>
  <c r="F9" i="4" s="1"/>
  <c r="F35" i="4" s="1"/>
  <c r="AH11" i="4" a="1"/>
  <c r="AH11" i="4" s="1"/>
  <c r="AH37" i="4" s="1"/>
  <c r="AG10" i="4" a="1"/>
  <c r="AG10" i="4" s="1"/>
  <c r="AG36" i="4" s="1"/>
  <c r="AB13" i="4" a="1"/>
  <c r="AB13" i="4" s="1"/>
  <c r="AB39" i="4" s="1"/>
  <c r="BB11" i="4" a="1"/>
  <c r="BB11" i="4" s="1"/>
  <c r="BB37" i="4" s="1"/>
  <c r="I8" i="4" a="1"/>
  <c r="I8" i="4" s="1"/>
  <c r="BA10" i="4" a="1"/>
  <c r="BA10" i="4" s="1"/>
  <c r="BA36" i="4" s="1"/>
  <c r="E9" i="4" a="1"/>
  <c r="E9" i="4" s="1"/>
  <c r="E35" i="4" s="1"/>
  <c r="AK13" i="4" a="1"/>
  <c r="AK13" i="4" s="1"/>
  <c r="AK39" i="4" s="1"/>
  <c r="AZ10" i="4" a="1"/>
  <c r="AZ10" i="4" s="1"/>
  <c r="AZ36" i="4" s="1"/>
  <c r="O14" i="4" a="1"/>
  <c r="O14" i="4" s="1"/>
  <c r="O40" i="4" s="1"/>
  <c r="AX14" i="4" a="1"/>
  <c r="AX14" i="4" s="1"/>
  <c r="AX40" i="4" s="1"/>
  <c r="S9" i="4" a="1"/>
  <c r="S9" i="4" s="1"/>
  <c r="S35" i="4" s="1"/>
  <c r="AY14" i="4" a="1"/>
  <c r="AY14" i="4" s="1"/>
  <c r="AY40" i="4" s="1"/>
  <c r="AS14" i="4" a="1"/>
  <c r="AS14" i="4" s="1"/>
  <c r="AS40" i="4" s="1"/>
  <c r="AP13" i="4" a="1"/>
  <c r="AP13" i="4" s="1"/>
  <c r="AP39" i="4" s="1"/>
  <c r="AS12" i="4" a="1"/>
  <c r="AS12" i="4" s="1"/>
  <c r="AS38" i="4" s="1"/>
  <c r="BC8" i="4" a="1"/>
  <c r="BC8" i="4" s="1"/>
  <c r="Z13" i="4" a="1"/>
  <c r="Z13" i="4" s="1"/>
  <c r="Z39" i="4" s="1"/>
  <c r="AV14" i="4" a="1"/>
  <c r="AV14" i="4" s="1"/>
  <c r="AV40" i="4" s="1"/>
  <c r="AN9" i="4" a="1"/>
  <c r="AN9" i="4" s="1"/>
  <c r="AN35" i="4" s="1"/>
  <c r="AV59" i="4" a="1"/>
  <c r="AV59" i="4" s="1"/>
  <c r="AV91" i="4" s="1"/>
  <c r="V11" i="4" a="1"/>
  <c r="V11" i="4" s="1"/>
  <c r="V37" i="4" s="1"/>
  <c r="W14" i="4" a="1"/>
  <c r="W14" i="4" s="1"/>
  <c r="W40" i="4" s="1"/>
  <c r="AN11" i="4" a="1"/>
  <c r="AN11" i="4" s="1"/>
  <c r="AN37" i="4" s="1"/>
  <c r="U9" i="4" a="1"/>
  <c r="U9" i="4" s="1"/>
  <c r="U35" i="4" s="1"/>
  <c r="N14" i="4" a="1"/>
  <c r="N14" i="4" s="1"/>
  <c r="N40" i="4" s="1"/>
  <c r="BC13" i="4" a="1"/>
  <c r="BC13" i="4" s="1"/>
  <c r="BC39" i="4" s="1"/>
  <c r="H8" i="4" a="1"/>
  <c r="H8" i="4" s="1"/>
  <c r="AV8" i="4" a="1"/>
  <c r="AV8" i="4" s="1"/>
  <c r="K14" i="4" a="1"/>
  <c r="K14" i="4" s="1"/>
  <c r="K40" i="4" s="1"/>
  <c r="Y10" i="4" a="1"/>
  <c r="Y10" i="4" s="1"/>
  <c r="Y36" i="4" s="1"/>
  <c r="D8" i="4" a="1"/>
  <c r="D8" i="4" s="1"/>
  <c r="W8" i="4" a="1"/>
  <c r="W8" i="4" s="1"/>
  <c r="V10" i="4" a="1"/>
  <c r="V10" i="4" s="1"/>
  <c r="V36" i="4" s="1"/>
  <c r="J14" i="4" a="1"/>
  <c r="J14" i="4" s="1"/>
  <c r="J40" i="4" s="1"/>
  <c r="H10" i="4" a="1"/>
  <c r="H10" i="4" s="1"/>
  <c r="H36" i="4" s="1"/>
  <c r="D9" i="4" a="1"/>
  <c r="D9" i="4" s="1"/>
  <c r="AJ9" i="4" a="1"/>
  <c r="AJ9" i="4" s="1"/>
  <c r="AJ35" i="4" s="1"/>
  <c r="AD8" i="4" a="1"/>
  <c r="AD8" i="4" s="1"/>
  <c r="P10" i="4" a="1"/>
  <c r="P10" i="4" s="1"/>
  <c r="P36" i="4" s="1"/>
  <c r="T14" i="4" a="1"/>
  <c r="T14" i="4" s="1"/>
  <c r="T40" i="4" s="1"/>
  <c r="AG13" i="4" a="1"/>
  <c r="AG13" i="4" s="1"/>
  <c r="AG39" i="4" s="1"/>
  <c r="P13" i="4" a="1"/>
  <c r="P13" i="4" s="1"/>
  <c r="P39" i="4" s="1"/>
  <c r="AZ8" i="4" a="1"/>
  <c r="AZ8" i="4" s="1"/>
  <c r="P12" i="4" a="1"/>
  <c r="P12" i="4" s="1"/>
  <c r="P38" i="4" s="1"/>
  <c r="X13" i="4" a="1"/>
  <c r="X13" i="4" s="1"/>
  <c r="X39" i="4" s="1"/>
  <c r="BC12" i="4" a="1"/>
  <c r="BC12" i="4" s="1"/>
  <c r="BC38" i="4" s="1"/>
  <c r="AO11" i="4" a="1"/>
  <c r="AO11" i="4" s="1"/>
  <c r="AO37" i="4" s="1"/>
  <c r="BB12" i="4" a="1"/>
  <c r="BB12" i="4" s="1"/>
  <c r="BB38" i="4" s="1"/>
  <c r="S10" i="4" a="1"/>
  <c r="S10" i="4" s="1"/>
  <c r="S36" i="4" s="1"/>
  <c r="AO12" i="4" a="1"/>
  <c r="AO12" i="4" s="1"/>
  <c r="AO38" i="4" s="1"/>
  <c r="AP11" i="4" a="1"/>
  <c r="AP11" i="4" s="1"/>
  <c r="AP37" i="4" s="1"/>
  <c r="AC8" i="4" a="1"/>
  <c r="AC8" i="4" s="1"/>
  <c r="AG8" i="4" a="1"/>
  <c r="AG8" i="4" s="1"/>
  <c r="S12" i="4" a="1"/>
  <c r="S12" i="4" s="1"/>
  <c r="S38" i="4" s="1"/>
  <c r="AO8" i="4" a="1"/>
  <c r="AO8" i="4" s="1"/>
  <c r="AZ11" i="4" a="1"/>
  <c r="AZ11" i="4" s="1"/>
  <c r="AZ37" i="4" s="1"/>
  <c r="AB59" i="4" a="1"/>
  <c r="AB59" i="4" s="1"/>
  <c r="AB91" i="4" s="1"/>
  <c r="G272" i="6"/>
  <c r="AE59" i="4" a="1"/>
  <c r="AE59" i="4" s="1"/>
  <c r="AE75" i="4" s="1"/>
  <c r="E59" i="4" a="1"/>
  <c r="E59" i="4" s="1"/>
  <c r="E91" i="4" s="1"/>
  <c r="AI59" i="4" a="1"/>
  <c r="AI59" i="4" s="1"/>
  <c r="AI83" i="4" s="1"/>
  <c r="AM12" i="6" s="1"/>
  <c r="L59" i="4" a="1"/>
  <c r="L59" i="4" s="1"/>
  <c r="L91" i="4" s="1"/>
  <c r="M59" i="4" a="1"/>
  <c r="M59" i="4" s="1"/>
  <c r="M91" i="4" s="1"/>
  <c r="AA59" i="4" a="1"/>
  <c r="AA59" i="4" s="1"/>
  <c r="AA83" i="4" s="1"/>
  <c r="AE12" i="6" s="1"/>
  <c r="X59" i="4" a="1"/>
  <c r="X59" i="4" s="1"/>
  <c r="X91" i="4" s="1"/>
  <c r="V59" i="4" a="1"/>
  <c r="V59" i="4" s="1"/>
  <c r="V91" i="4" s="1"/>
  <c r="T59" i="4" a="1"/>
  <c r="T59" i="4" s="1"/>
  <c r="T91" i="4" s="1"/>
  <c r="W59" i="4" a="1"/>
  <c r="W59" i="4" s="1"/>
  <c r="W75" i="4" s="1"/>
  <c r="AS59" i="4" a="1"/>
  <c r="AS59" i="4" s="1"/>
  <c r="AS75" i="4" s="1"/>
  <c r="AK59" i="4" a="1"/>
  <c r="AK59" i="4" s="1"/>
  <c r="AK83" i="4" s="1"/>
  <c r="AO12" i="6" s="1"/>
  <c r="AC59" i="4" a="1"/>
  <c r="AC59" i="4" s="1"/>
  <c r="AC75" i="4" s="1"/>
  <c r="AT59" i="4" a="1"/>
  <c r="AT59" i="4" s="1"/>
  <c r="AT91" i="4" s="1"/>
  <c r="AY59" i="4" a="1"/>
  <c r="AY59" i="4" s="1"/>
  <c r="AY83" i="4" s="1"/>
  <c r="BC12" i="6" s="1"/>
  <c r="AU59" i="4" a="1"/>
  <c r="AU59" i="4" s="1"/>
  <c r="AU83" i="4" s="1"/>
  <c r="AY12" i="6" s="1"/>
  <c r="I59" i="4" a="1"/>
  <c r="I59" i="4" s="1"/>
  <c r="I75" i="4" s="1"/>
  <c r="R59" i="4" a="1"/>
  <c r="R59" i="4" s="1"/>
  <c r="R91" i="4" s="1"/>
  <c r="K59" i="4" a="1"/>
  <c r="K59" i="4" s="1"/>
  <c r="K91" i="4" s="1"/>
  <c r="AX59" i="4" a="1"/>
  <c r="AX59" i="4" s="1"/>
  <c r="AX83" i="4" s="1"/>
  <c r="BB12" i="6" s="1"/>
  <c r="Q59" i="4" a="1"/>
  <c r="Q59" i="4" s="1"/>
  <c r="Q91" i="4" s="1"/>
  <c r="AO59" i="4" a="1"/>
  <c r="AO59" i="4" s="1"/>
  <c r="AO75" i="4" s="1"/>
  <c r="BC59" i="4" a="1"/>
  <c r="BC59" i="4" s="1"/>
  <c r="BC91" i="4" s="1"/>
  <c r="D59" i="4" a="1"/>
  <c r="D59" i="4" s="1"/>
  <c r="D91" i="4" s="1"/>
  <c r="AL59" i="4" a="1"/>
  <c r="AL59" i="4" s="1"/>
  <c r="AL83" i="4" s="1"/>
  <c r="AP12" i="6" s="1"/>
  <c r="O59" i="4" a="1"/>
  <c r="O59" i="4" s="1"/>
  <c r="O75" i="4" s="1"/>
  <c r="J59" i="4" a="1"/>
  <c r="J59" i="4" s="1"/>
  <c r="J75" i="4" s="1"/>
  <c r="S59" i="4" a="1"/>
  <c r="S59" i="4" s="1"/>
  <c r="S75" i="4" s="1"/>
  <c r="H59" i="4" a="1"/>
  <c r="H59" i="4" s="1"/>
  <c r="AR59" i="4" a="1"/>
  <c r="AR59" i="4" s="1"/>
  <c r="AR83" i="4" s="1"/>
  <c r="AV12" i="6" s="1"/>
  <c r="AD59" i="4" a="1"/>
  <c r="AD59" i="4" s="1"/>
  <c r="AD91" i="4" s="1"/>
  <c r="AJ59" i="4" a="1"/>
  <c r="AJ59" i="4" s="1"/>
  <c r="AJ75" i="4" s="1"/>
  <c r="Z59" i="4" a="1"/>
  <c r="Z59" i="4" s="1"/>
  <c r="Z83" i="4" s="1"/>
  <c r="AD12" i="6" s="1"/>
  <c r="U59" i="4" a="1"/>
  <c r="U59" i="4" s="1"/>
  <c r="U83" i="4" s="1"/>
  <c r="Y12" i="6" s="1"/>
  <c r="P59" i="4" a="1"/>
  <c r="P59" i="4" s="1"/>
  <c r="P83" i="4" s="1"/>
  <c r="AW59" i="4" a="1"/>
  <c r="AW59" i="4" s="1"/>
  <c r="AW83" i="4" s="1"/>
  <c r="BA12" i="6" s="1"/>
  <c r="AP59" i="4" a="1"/>
  <c r="AP59" i="4" s="1"/>
  <c r="AP83" i="4" s="1"/>
  <c r="AT12" i="6" s="1"/>
  <c r="Y59" i="4" a="1"/>
  <c r="Y59" i="4" s="1"/>
  <c r="Y83" i="4" s="1"/>
  <c r="AC12" i="6" s="1"/>
  <c r="F59" i="4" a="1"/>
  <c r="F59" i="4" s="1"/>
  <c r="F83" i="4" s="1"/>
  <c r="J12" i="6" s="1"/>
  <c r="G59" i="4" a="1"/>
  <c r="G59" i="4" s="1"/>
  <c r="G91" i="4" s="1"/>
  <c r="AZ59" i="4" a="1"/>
  <c r="AZ59" i="4" s="1"/>
  <c r="AZ83" i="4" s="1"/>
  <c r="BD12" i="6" s="1"/>
  <c r="AH59" i="4" a="1"/>
  <c r="AH59" i="4" s="1"/>
  <c r="AH75" i="4" s="1"/>
  <c r="BB59" i="4" a="1"/>
  <c r="BB59" i="4" s="1"/>
  <c r="BB91" i="4" s="1"/>
  <c r="AG59" i="4" a="1"/>
  <c r="AG59" i="4" s="1"/>
  <c r="AG75" i="4" s="1"/>
  <c r="AF59" i="4" a="1"/>
  <c r="AF59" i="4" s="1"/>
  <c r="AF75" i="4" s="1"/>
  <c r="AM59" i="4" a="1"/>
  <c r="AM59" i="4" s="1"/>
  <c r="AM83" i="4" s="1"/>
  <c r="AQ12" i="6" s="1"/>
  <c r="AN59" i="4" a="1"/>
  <c r="AN59" i="4" s="1"/>
  <c r="AN83" i="4" s="1"/>
  <c r="AR12" i="6" s="1"/>
  <c r="AQ59" i="4" a="1"/>
  <c r="AQ59" i="4" s="1"/>
  <c r="AQ83" i="4" s="1"/>
  <c r="AU12" i="6" s="1"/>
  <c r="N59" i="4" a="1"/>
  <c r="N59" i="4" s="1"/>
  <c r="N75" i="4" s="1"/>
  <c r="BA59" i="4" a="1"/>
  <c r="BA59" i="4" s="1"/>
  <c r="Y146" i="7"/>
  <c r="Z146" i="7"/>
  <c r="Y180" i="7"/>
  <c r="Z180" i="7"/>
  <c r="C10" i="4" l="1"/>
  <c r="B10" i="4"/>
  <c r="D36" i="4"/>
  <c r="C36" i="4" s="1"/>
  <c r="P18" i="4"/>
  <c r="P35" i="4"/>
  <c r="AT18" i="4"/>
  <c r="AT34" i="4"/>
  <c r="AZ18" i="4"/>
  <c r="AZ34" i="4"/>
  <c r="B11" i="4"/>
  <c r="C11" i="4"/>
  <c r="D37" i="4"/>
  <c r="R18" i="4"/>
  <c r="R34" i="4"/>
  <c r="L18" i="4"/>
  <c r="L34" i="4"/>
  <c r="AS18" i="4"/>
  <c r="AS34" i="4"/>
  <c r="AV75" i="4"/>
  <c r="BC18" i="4"/>
  <c r="BC34" i="4"/>
  <c r="BB18" i="4"/>
  <c r="BB34" i="4"/>
  <c r="BA18" i="4"/>
  <c r="BA34" i="4"/>
  <c r="AB18" i="4"/>
  <c r="AB34" i="4"/>
  <c r="U18" i="4"/>
  <c r="U34" i="4"/>
  <c r="S18" i="4"/>
  <c r="S34" i="4"/>
  <c r="X18" i="4"/>
  <c r="X34" i="4"/>
  <c r="AA18" i="4"/>
  <c r="AA34" i="4"/>
  <c r="J18" i="4"/>
  <c r="J34" i="4"/>
  <c r="Y18" i="4"/>
  <c r="Y34" i="4"/>
  <c r="AH18" i="4"/>
  <c r="AH34" i="4"/>
  <c r="C14" i="4"/>
  <c r="B14" i="4"/>
  <c r="D40" i="4"/>
  <c r="AQ18" i="4"/>
  <c r="AQ34" i="4"/>
  <c r="N18" i="4"/>
  <c r="N34" i="4"/>
  <c r="AI18" i="4"/>
  <c r="AI34" i="4"/>
  <c r="M18" i="4"/>
  <c r="M34" i="4"/>
  <c r="AC18" i="4"/>
  <c r="AC34" i="4"/>
  <c r="B9" i="4"/>
  <c r="C9" i="4"/>
  <c r="D35" i="4"/>
  <c r="AJ18" i="4"/>
  <c r="AJ34" i="4"/>
  <c r="E18" i="4"/>
  <c r="E34" i="4"/>
  <c r="AX18" i="4"/>
  <c r="AX34" i="4"/>
  <c r="W18" i="4"/>
  <c r="W34" i="4"/>
  <c r="AE18" i="4"/>
  <c r="AE34" i="4"/>
  <c r="Q18" i="4"/>
  <c r="Q34" i="4"/>
  <c r="V18" i="4"/>
  <c r="V34" i="4"/>
  <c r="AL18" i="4"/>
  <c r="AL34" i="4"/>
  <c r="B12" i="4"/>
  <c r="F38" i="4"/>
  <c r="AR18" i="4"/>
  <c r="AR34" i="4"/>
  <c r="I18" i="4"/>
  <c r="I34" i="4"/>
  <c r="AW18" i="4"/>
  <c r="AW34" i="4"/>
  <c r="Z18" i="4"/>
  <c r="Z34" i="4"/>
  <c r="K18" i="4"/>
  <c r="K34" i="4"/>
  <c r="AY18" i="4"/>
  <c r="AY34" i="4"/>
  <c r="C8" i="4"/>
  <c r="B8" i="4"/>
  <c r="D18" i="4"/>
  <c r="D34" i="4"/>
  <c r="AV18" i="4"/>
  <c r="AV34" i="4"/>
  <c r="H18" i="4"/>
  <c r="H34" i="4"/>
  <c r="AK18" i="4"/>
  <c r="AK34" i="4"/>
  <c r="O18" i="4"/>
  <c r="O34" i="4"/>
  <c r="B13" i="4"/>
  <c r="C13" i="4"/>
  <c r="D39" i="4"/>
  <c r="AU18" i="4"/>
  <c r="AU34" i="4"/>
  <c r="G18" i="4"/>
  <c r="G34" i="4"/>
  <c r="D38" i="4"/>
  <c r="C12" i="4"/>
  <c r="AF18" i="4"/>
  <c r="AF34" i="4"/>
  <c r="T18" i="4"/>
  <c r="T34" i="4"/>
  <c r="AO18" i="4"/>
  <c r="AO34" i="4"/>
  <c r="F18" i="4"/>
  <c r="F34" i="4"/>
  <c r="AD18" i="4"/>
  <c r="AD34" i="4"/>
  <c r="AP18" i="4"/>
  <c r="AP34" i="4"/>
  <c r="AM18" i="4"/>
  <c r="AM34" i="4"/>
  <c r="AV83" i="4"/>
  <c r="AZ12" i="6" s="1"/>
  <c r="AG18" i="4"/>
  <c r="AG34" i="4"/>
  <c r="AN18" i="4"/>
  <c r="AN34" i="4"/>
  <c r="AB75" i="4"/>
  <c r="AB83" i="4"/>
  <c r="AF12" i="6" s="1"/>
  <c r="L83" i="4"/>
  <c r="P12" i="6" s="1"/>
  <c r="L75" i="4"/>
  <c r="M83" i="4"/>
  <c r="Q12" i="6" s="1"/>
  <c r="M75" i="4"/>
  <c r="AA75" i="4"/>
  <c r="AA91" i="4"/>
  <c r="E75" i="4"/>
  <c r="AE83" i="4"/>
  <c r="AI12" i="6" s="1"/>
  <c r="AE91" i="4"/>
  <c r="AI75" i="4"/>
  <c r="AI91" i="4"/>
  <c r="E83" i="4"/>
  <c r="I12" i="6" s="1"/>
  <c r="BC83" i="4"/>
  <c r="BG12" i="6" s="1"/>
  <c r="BC75" i="4"/>
  <c r="Q75" i="4"/>
  <c r="AZ91" i="4"/>
  <c r="AZ75" i="4"/>
  <c r="R83" i="4"/>
  <c r="V12" i="6" s="1"/>
  <c r="R75" i="4"/>
  <c r="S83" i="4"/>
  <c r="W12" i="6" s="1"/>
  <c r="AX91" i="4"/>
  <c r="AX75" i="4"/>
  <c r="G83" i="4"/>
  <c r="K12" i="6" s="1"/>
  <c r="AC91" i="4"/>
  <c r="AF83" i="4"/>
  <c r="AJ12" i="6" s="1"/>
  <c r="B59" i="4"/>
  <c r="AW75" i="4"/>
  <c r="F91" i="4"/>
  <c r="AY91" i="4"/>
  <c r="V83" i="4"/>
  <c r="Z12" i="6" s="1"/>
  <c r="V75" i="4"/>
  <c r="AT75" i="4"/>
  <c r="AT83" i="4"/>
  <c r="AX12" i="6" s="1"/>
  <c r="AW91" i="4"/>
  <c r="F75" i="4"/>
  <c r="AY75" i="4"/>
  <c r="AC83" i="4"/>
  <c r="AG12" i="6" s="1"/>
  <c r="AK91" i="4"/>
  <c r="AN75" i="4"/>
  <c r="AF91" i="4"/>
  <c r="I83" i="4"/>
  <c r="M12" i="6" s="1"/>
  <c r="X75" i="4"/>
  <c r="I91" i="4"/>
  <c r="X83" i="4"/>
  <c r="AB12" i="6" s="1"/>
  <c r="AU75" i="4"/>
  <c r="O83" i="4"/>
  <c r="S12" i="6" s="1"/>
  <c r="AU91" i="4"/>
  <c r="O91" i="4"/>
  <c r="AL91" i="4"/>
  <c r="AM75" i="4"/>
  <c r="AL75" i="4"/>
  <c r="J83" i="4"/>
  <c r="N12" i="6" s="1"/>
  <c r="AM91" i="4"/>
  <c r="AK75" i="4"/>
  <c r="AN91" i="4"/>
  <c r="S91" i="4"/>
  <c r="Q83" i="4"/>
  <c r="U12" i="6" s="1"/>
  <c r="AG83" i="4"/>
  <c r="AK12" i="6" s="1"/>
  <c r="AG91" i="4"/>
  <c r="W91" i="4"/>
  <c r="Z91" i="4"/>
  <c r="Z75" i="4"/>
  <c r="AP75" i="4"/>
  <c r="AS83" i="4"/>
  <c r="AW12" i="6" s="1"/>
  <c r="P91" i="4"/>
  <c r="T83" i="4"/>
  <c r="X12" i="6" s="1"/>
  <c r="AO83" i="4"/>
  <c r="AS12" i="6" s="1"/>
  <c r="AH83" i="4"/>
  <c r="AL12" i="6" s="1"/>
  <c r="D75" i="4"/>
  <c r="W83" i="4"/>
  <c r="AA12" i="6" s="1"/>
  <c r="AP91" i="4"/>
  <c r="AR91" i="4"/>
  <c r="T75" i="4"/>
  <c r="C59" i="4"/>
  <c r="K75" i="4"/>
  <c r="G75" i="4"/>
  <c r="AS91" i="4"/>
  <c r="AR75" i="4"/>
  <c r="AD75" i="4"/>
  <c r="BB75" i="4"/>
  <c r="AD83" i="4"/>
  <c r="AH12" i="6" s="1"/>
  <c r="BB83" i="4"/>
  <c r="BF12" i="6" s="1"/>
  <c r="K83" i="4"/>
  <c r="O12" i="6" s="1"/>
  <c r="AH91" i="4"/>
  <c r="AJ83" i="4"/>
  <c r="AN12" i="6" s="1"/>
  <c r="AJ91" i="4"/>
  <c r="AQ75" i="4"/>
  <c r="AQ91" i="4"/>
  <c r="Y91" i="4"/>
  <c r="H91" i="4"/>
  <c r="P75" i="4"/>
  <c r="AO91" i="4"/>
  <c r="Y75" i="4"/>
  <c r="D83" i="4"/>
  <c r="H12" i="6" s="1"/>
  <c r="H83" i="4"/>
  <c r="L12" i="6" s="1"/>
  <c r="U91" i="4"/>
  <c r="J91" i="4"/>
  <c r="U75" i="4"/>
  <c r="H75" i="4"/>
  <c r="BA75" i="4"/>
  <c r="BA83" i="4"/>
  <c r="BE12" i="6" s="1"/>
  <c r="N91" i="4"/>
  <c r="B83" i="4"/>
  <c r="N83" i="4"/>
  <c r="R12" i="6" s="1"/>
  <c r="BA91" i="4"/>
  <c r="T12" i="6"/>
  <c r="B36" i="4" l="1"/>
  <c r="AN47" i="4"/>
  <c r="AN44" i="4"/>
  <c r="AN48" i="4" s="1"/>
  <c r="AN49" i="4" s="1"/>
  <c r="H44" i="4"/>
  <c r="H48" i="4" s="1"/>
  <c r="H49" i="4" s="1"/>
  <c r="H47" i="4"/>
  <c r="AG44" i="4"/>
  <c r="AG48" i="4" s="1"/>
  <c r="AG49" i="4" s="1"/>
  <c r="AG47" i="4"/>
  <c r="AY47" i="4"/>
  <c r="AY44" i="4"/>
  <c r="AY48" i="4" s="1"/>
  <c r="AY49" i="4" s="1"/>
  <c r="BC47" i="4"/>
  <c r="BC44" i="4"/>
  <c r="BC48" i="4" s="1"/>
  <c r="BC49" i="4" s="1"/>
  <c r="B40" i="4"/>
  <c r="C40" i="4"/>
  <c r="G47" i="4"/>
  <c r="G44" i="4"/>
  <c r="G48" i="4" s="1"/>
  <c r="G49" i="4" s="1"/>
  <c r="AK44" i="4"/>
  <c r="AK48" i="4" s="1"/>
  <c r="AK49" i="4" s="1"/>
  <c r="AK47" i="4"/>
  <c r="X44" i="4"/>
  <c r="X48" i="4" s="1"/>
  <c r="X49" i="4" s="1"/>
  <c r="X47" i="4"/>
  <c r="S47" i="4"/>
  <c r="S44" i="4"/>
  <c r="S48" i="4" s="1"/>
  <c r="S49" i="4" s="1"/>
  <c r="AV44" i="4"/>
  <c r="AV48" i="4" s="1"/>
  <c r="AV49" i="4" s="1"/>
  <c r="AV47" i="4"/>
  <c r="B34" i="4"/>
  <c r="C34" i="4"/>
  <c r="B18" i="4"/>
  <c r="C18" i="4"/>
  <c r="D44" i="4"/>
  <c r="B47" i="4"/>
  <c r="D47" i="4"/>
  <c r="BA47" i="4"/>
  <c r="BA44" i="4"/>
  <c r="BA48" i="4" s="1"/>
  <c r="BA49" i="4" s="1"/>
  <c r="AO44" i="4"/>
  <c r="AO48" i="4" s="1"/>
  <c r="AO49" i="4" s="1"/>
  <c r="AO47" i="4"/>
  <c r="AI44" i="4"/>
  <c r="AI48" i="4" s="1"/>
  <c r="AI49" i="4" s="1"/>
  <c r="AI47" i="4"/>
  <c r="AW44" i="4"/>
  <c r="AW48" i="4" s="1"/>
  <c r="AW49" i="4" s="1"/>
  <c r="AW47" i="4"/>
  <c r="N44" i="4"/>
  <c r="N48" i="4" s="1"/>
  <c r="N49" i="4" s="1"/>
  <c r="N47" i="4"/>
  <c r="AF47" i="4"/>
  <c r="AF44" i="4"/>
  <c r="AF48" i="4" s="1"/>
  <c r="AF49" i="4" s="1"/>
  <c r="AR47" i="4"/>
  <c r="AR44" i="4"/>
  <c r="AR48" i="4" s="1"/>
  <c r="AR49" i="4" s="1"/>
  <c r="AU47" i="4"/>
  <c r="AU44" i="4"/>
  <c r="AU48" i="4" s="1"/>
  <c r="AU49" i="4" s="1"/>
  <c r="U47" i="4"/>
  <c r="U44" i="4"/>
  <c r="U48" i="4" s="1"/>
  <c r="U49" i="4" s="1"/>
  <c r="AJ47" i="4"/>
  <c r="AJ44" i="4"/>
  <c r="AJ48" i="4" s="1"/>
  <c r="AJ49" i="4" s="1"/>
  <c r="Z44" i="4"/>
  <c r="Z48" i="4" s="1"/>
  <c r="Z49" i="4" s="1"/>
  <c r="Z47" i="4"/>
  <c r="T47" i="4"/>
  <c r="T44" i="4"/>
  <c r="T48" i="4" s="1"/>
  <c r="T49" i="4" s="1"/>
  <c r="AQ47" i="4"/>
  <c r="AQ44" i="4"/>
  <c r="AQ48" i="4" s="1"/>
  <c r="AQ49" i="4" s="1"/>
  <c r="AH47" i="4"/>
  <c r="AH44" i="4"/>
  <c r="AH48" i="4" s="1"/>
  <c r="AH49" i="4" s="1"/>
  <c r="V44" i="4"/>
  <c r="V48" i="4" s="1"/>
  <c r="V49" i="4" s="1"/>
  <c r="V47" i="4"/>
  <c r="AT47" i="4"/>
  <c r="AT44" i="4"/>
  <c r="AT48" i="4" s="1"/>
  <c r="AT49" i="4" s="1"/>
  <c r="Q47" i="4"/>
  <c r="Q44" i="4"/>
  <c r="Q48" i="4" s="1"/>
  <c r="Q49" i="4" s="1"/>
  <c r="J47" i="4"/>
  <c r="J44" i="4"/>
  <c r="J48" i="4" s="1"/>
  <c r="J49" i="4" s="1"/>
  <c r="P47" i="4"/>
  <c r="P44" i="4"/>
  <c r="P48" i="4" s="1"/>
  <c r="P49" i="4" s="1"/>
  <c r="AX47" i="4"/>
  <c r="AX44" i="4"/>
  <c r="AX48" i="4" s="1"/>
  <c r="AX49" i="4" s="1"/>
  <c r="E44" i="4"/>
  <c r="E48" i="4" s="1"/>
  <c r="E49" i="4" s="1"/>
  <c r="E47" i="4"/>
  <c r="AB47" i="4"/>
  <c r="AB44" i="4"/>
  <c r="AB48" i="4" s="1"/>
  <c r="AB49" i="4" s="1"/>
  <c r="AD44" i="4"/>
  <c r="AD48" i="4" s="1"/>
  <c r="AD49" i="4" s="1"/>
  <c r="AD47" i="4"/>
  <c r="AC44" i="4"/>
  <c r="AC48" i="4" s="1"/>
  <c r="AC49" i="4" s="1"/>
  <c r="AC47" i="4"/>
  <c r="F47" i="4"/>
  <c r="F44" i="4"/>
  <c r="F48" i="4" s="1"/>
  <c r="F49" i="4" s="1"/>
  <c r="I44" i="4"/>
  <c r="I48" i="4" s="1"/>
  <c r="I49" i="4" s="1"/>
  <c r="I47" i="4"/>
  <c r="C37" i="4"/>
  <c r="B37" i="4"/>
  <c r="AL47" i="4"/>
  <c r="AL44" i="4"/>
  <c r="AL48" i="4" s="1"/>
  <c r="AL49" i="4" s="1"/>
  <c r="O44" i="4"/>
  <c r="O48" i="4" s="1"/>
  <c r="O49" i="4" s="1"/>
  <c r="O47" i="4"/>
  <c r="W47" i="4"/>
  <c r="W44" i="4"/>
  <c r="W48" i="4" s="1"/>
  <c r="W49" i="4" s="1"/>
  <c r="AM47" i="4"/>
  <c r="AM44" i="4"/>
  <c r="AM48" i="4" s="1"/>
  <c r="AM49" i="4" s="1"/>
  <c r="C35" i="4"/>
  <c r="B35" i="4"/>
  <c r="AP47" i="4"/>
  <c r="AP44" i="4"/>
  <c r="AP48" i="4" s="1"/>
  <c r="AP49" i="4" s="1"/>
  <c r="BB47" i="4"/>
  <c r="BB44" i="4"/>
  <c r="BB48" i="4" s="1"/>
  <c r="BB49" i="4" s="1"/>
  <c r="K47" i="4"/>
  <c r="K44" i="4"/>
  <c r="K48" i="4" s="1"/>
  <c r="K49" i="4" s="1"/>
  <c r="M47" i="4"/>
  <c r="M44" i="4"/>
  <c r="M48" i="4" s="1"/>
  <c r="M49" i="4" s="1"/>
  <c r="AS47" i="4"/>
  <c r="AS44" i="4"/>
  <c r="AS48" i="4" s="1"/>
  <c r="AS49" i="4" s="1"/>
  <c r="L47" i="4"/>
  <c r="L44" i="4"/>
  <c r="L48" i="4" s="1"/>
  <c r="L49" i="4" s="1"/>
  <c r="R47" i="4"/>
  <c r="R44" i="4"/>
  <c r="R48" i="4" s="1"/>
  <c r="R49" i="4" s="1"/>
  <c r="B38" i="4"/>
  <c r="C38" i="4"/>
  <c r="AZ44" i="4"/>
  <c r="AZ48" i="4" s="1"/>
  <c r="AZ49" i="4" s="1"/>
  <c r="AZ47" i="4"/>
  <c r="C39" i="4"/>
  <c r="B39" i="4"/>
  <c r="Y44" i="4"/>
  <c r="Y48" i="4" s="1"/>
  <c r="Y49" i="4" s="1"/>
  <c r="Y47" i="4"/>
  <c r="AE44" i="4"/>
  <c r="AE48" i="4" s="1"/>
  <c r="AE49" i="4" s="1"/>
  <c r="AE47" i="4"/>
  <c r="AA44" i="4"/>
  <c r="AA48" i="4" s="1"/>
  <c r="AA49" i="4" s="1"/>
  <c r="AA47" i="4"/>
  <c r="B75" i="4"/>
  <c r="E29" i="1"/>
  <c r="B91" i="4"/>
  <c r="C75" i="4"/>
  <c r="G29" i="1" a="1"/>
  <c r="G29" i="1" s="1"/>
  <c r="H29" i="1" s="1"/>
  <c r="C91" i="4"/>
  <c r="F29" i="1" s="1"/>
  <c r="D29" i="1"/>
  <c r="C83" i="4"/>
  <c r="G12" i="6" s="1"/>
  <c r="D48" i="4" l="1"/>
  <c r="B44" i="4"/>
  <c r="C44" i="4"/>
  <c r="C47" i="4"/>
  <c r="C29" i="1"/>
  <c r="I29" i="1"/>
  <c r="A6" i="5"/>
  <c r="A7" i="5"/>
  <c r="A13" i="5"/>
  <c r="A14" i="5"/>
  <c r="A15" i="5"/>
  <c r="A17"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C19" i="2"/>
  <c r="F19" i="2" s="1"/>
  <c r="C17" i="2"/>
  <c r="B28" i="1" s="1"/>
  <c r="C16" i="2"/>
  <c r="B27" i="1" s="1"/>
  <c r="C15" i="2"/>
  <c r="B26" i="1" s="1"/>
  <c r="K56" i="5"/>
  <c r="K60" i="5"/>
  <c r="K62" i="5"/>
  <c r="K64" i="5"/>
  <c r="K68" i="5"/>
  <c r="K70" i="5"/>
  <c r="K74" i="5"/>
  <c r="K75" i="5"/>
  <c r="K76" i="5"/>
  <c r="K78" i="5"/>
  <c r="K79" i="5"/>
  <c r="K80" i="5"/>
  <c r="K82" i="5"/>
  <c r="K83" i="5"/>
  <c r="K88" i="5"/>
  <c r="K92" i="5"/>
  <c r="K94" i="5"/>
  <c r="K96" i="5"/>
  <c r="K100" i="5"/>
  <c r="L95" i="5"/>
  <c r="L92" i="5"/>
  <c r="L91" i="5"/>
  <c r="L84" i="5"/>
  <c r="L83" i="5"/>
  <c r="L80" i="5"/>
  <c r="L79" i="5"/>
  <c r="L76" i="5"/>
  <c r="L75" i="5"/>
  <c r="L74" i="5"/>
  <c r="L72" i="5"/>
  <c r="L71" i="5"/>
  <c r="L63" i="5"/>
  <c r="L60" i="5"/>
  <c r="L59" i="5"/>
  <c r="I101" i="5"/>
  <c r="J101" i="5" s="1"/>
  <c r="H101" i="5"/>
  <c r="G101" i="5"/>
  <c r="L101" i="5" s="1"/>
  <c r="F101" i="5"/>
  <c r="E101" i="5"/>
  <c r="D101" i="5"/>
  <c r="C101" i="5"/>
  <c r="J100" i="5"/>
  <c r="I100" i="5"/>
  <c r="H100" i="5"/>
  <c r="G100" i="5"/>
  <c r="L100" i="5" s="1"/>
  <c r="F100" i="5"/>
  <c r="E100" i="5"/>
  <c r="D100" i="5"/>
  <c r="C100" i="5"/>
  <c r="I99" i="5"/>
  <c r="J99" i="5" s="1"/>
  <c r="H99" i="5"/>
  <c r="G99" i="5"/>
  <c r="L99" i="5" s="1"/>
  <c r="F99" i="5"/>
  <c r="E99" i="5"/>
  <c r="D99" i="5"/>
  <c r="C99" i="5"/>
  <c r="I98" i="5"/>
  <c r="K98" i="5" s="1"/>
  <c r="H98" i="5"/>
  <c r="G98" i="5"/>
  <c r="L98" i="5" s="1"/>
  <c r="F98" i="5"/>
  <c r="E98" i="5"/>
  <c r="D98" i="5"/>
  <c r="C98" i="5"/>
  <c r="I97" i="5"/>
  <c r="K97" i="5" s="1"/>
  <c r="H97" i="5"/>
  <c r="G97" i="5"/>
  <c r="L97" i="5" s="1"/>
  <c r="F97" i="5"/>
  <c r="E97" i="5"/>
  <c r="D97" i="5"/>
  <c r="C97" i="5"/>
  <c r="J96" i="5"/>
  <c r="I96" i="5"/>
  <c r="H96" i="5"/>
  <c r="G96" i="5"/>
  <c r="L96" i="5" s="1"/>
  <c r="F96" i="5"/>
  <c r="E96" i="5"/>
  <c r="D96" i="5"/>
  <c r="C96" i="5"/>
  <c r="I95" i="5"/>
  <c r="K95" i="5" s="1"/>
  <c r="H95" i="5"/>
  <c r="G95" i="5"/>
  <c r="F95" i="5"/>
  <c r="E95" i="5"/>
  <c r="D95" i="5"/>
  <c r="C95" i="5"/>
  <c r="I94" i="5"/>
  <c r="J94" i="5" s="1"/>
  <c r="H94" i="5"/>
  <c r="G94" i="5"/>
  <c r="L94" i="5" s="1"/>
  <c r="F94" i="5"/>
  <c r="E94" i="5"/>
  <c r="D94" i="5"/>
  <c r="C94" i="5"/>
  <c r="I93" i="5"/>
  <c r="K93" i="5" s="1"/>
  <c r="H93" i="5"/>
  <c r="G93" i="5"/>
  <c r="L93" i="5" s="1"/>
  <c r="F93" i="5"/>
  <c r="E93" i="5"/>
  <c r="D93" i="5"/>
  <c r="C93" i="5"/>
  <c r="J92" i="5"/>
  <c r="I92" i="5"/>
  <c r="H92" i="5"/>
  <c r="G92" i="5"/>
  <c r="F92" i="5"/>
  <c r="E92" i="5"/>
  <c r="D92" i="5"/>
  <c r="C92" i="5"/>
  <c r="I91" i="5"/>
  <c r="J91" i="5" s="1"/>
  <c r="H91" i="5"/>
  <c r="G91" i="5"/>
  <c r="F91" i="5"/>
  <c r="E91" i="5"/>
  <c r="D91" i="5"/>
  <c r="C91" i="5"/>
  <c r="I90" i="5"/>
  <c r="K90" i="5" s="1"/>
  <c r="H90" i="5"/>
  <c r="G90" i="5"/>
  <c r="L90" i="5" s="1"/>
  <c r="F90" i="5"/>
  <c r="E90" i="5"/>
  <c r="D90" i="5"/>
  <c r="C90" i="5"/>
  <c r="I89" i="5"/>
  <c r="K89" i="5" s="1"/>
  <c r="H89" i="5"/>
  <c r="G89" i="5"/>
  <c r="L89" i="5" s="1"/>
  <c r="F89" i="5"/>
  <c r="E89" i="5"/>
  <c r="D89" i="5"/>
  <c r="C89" i="5"/>
  <c r="J88" i="5"/>
  <c r="I88" i="5"/>
  <c r="H88" i="5"/>
  <c r="G88" i="5"/>
  <c r="L88" i="5" s="1"/>
  <c r="F88" i="5"/>
  <c r="E88" i="5"/>
  <c r="D88" i="5"/>
  <c r="C88" i="5"/>
  <c r="I87" i="5"/>
  <c r="K87" i="5" s="1"/>
  <c r="H87" i="5"/>
  <c r="G87" i="5"/>
  <c r="L87" i="5" s="1"/>
  <c r="F87" i="5"/>
  <c r="E87" i="5"/>
  <c r="D87" i="5"/>
  <c r="C87" i="5"/>
  <c r="I86" i="5"/>
  <c r="K86" i="5" s="1"/>
  <c r="H86" i="5"/>
  <c r="G86" i="5"/>
  <c r="L86" i="5" s="1"/>
  <c r="F86" i="5"/>
  <c r="E86" i="5"/>
  <c r="D86" i="5"/>
  <c r="C86" i="5"/>
  <c r="I85" i="5"/>
  <c r="K85" i="5" s="1"/>
  <c r="H85" i="5"/>
  <c r="G85" i="5"/>
  <c r="L85" i="5" s="1"/>
  <c r="F85" i="5"/>
  <c r="E85" i="5"/>
  <c r="D85" i="5"/>
  <c r="C85" i="5"/>
  <c r="J84" i="5"/>
  <c r="I84" i="5"/>
  <c r="K84" i="5" s="1"/>
  <c r="H84" i="5"/>
  <c r="G84" i="5"/>
  <c r="F84" i="5"/>
  <c r="E84" i="5"/>
  <c r="D84" i="5"/>
  <c r="C84" i="5"/>
  <c r="I83" i="5"/>
  <c r="J83" i="5" s="1"/>
  <c r="H83" i="5"/>
  <c r="G83" i="5"/>
  <c r="F83" i="5"/>
  <c r="E83" i="5"/>
  <c r="D83" i="5"/>
  <c r="C83" i="5"/>
  <c r="I82" i="5"/>
  <c r="J82" i="5" s="1"/>
  <c r="H82" i="5"/>
  <c r="G82" i="5"/>
  <c r="L82" i="5" s="1"/>
  <c r="F82" i="5"/>
  <c r="E82" i="5"/>
  <c r="D82" i="5"/>
  <c r="C82" i="5"/>
  <c r="I81" i="5"/>
  <c r="J81" i="5" s="1"/>
  <c r="H81" i="5"/>
  <c r="G81" i="5"/>
  <c r="L81" i="5" s="1"/>
  <c r="F81" i="5"/>
  <c r="E81" i="5"/>
  <c r="D81" i="5"/>
  <c r="C81" i="5"/>
  <c r="J80" i="5"/>
  <c r="I80" i="5"/>
  <c r="H80" i="5"/>
  <c r="G80" i="5"/>
  <c r="F80" i="5"/>
  <c r="E80" i="5"/>
  <c r="D80" i="5"/>
  <c r="C80" i="5"/>
  <c r="I79" i="5"/>
  <c r="J79" i="5" s="1"/>
  <c r="H79" i="5"/>
  <c r="G79" i="5"/>
  <c r="F79" i="5"/>
  <c r="E79" i="5"/>
  <c r="D79" i="5"/>
  <c r="C79" i="5"/>
  <c r="I78" i="5"/>
  <c r="J78" i="5" s="1"/>
  <c r="H78" i="5"/>
  <c r="G78" i="5"/>
  <c r="L78" i="5" s="1"/>
  <c r="F78" i="5"/>
  <c r="E78" i="5"/>
  <c r="D78" i="5"/>
  <c r="C78" i="5"/>
  <c r="I77" i="5"/>
  <c r="J77" i="5" s="1"/>
  <c r="H77" i="5"/>
  <c r="G77" i="5"/>
  <c r="L77" i="5" s="1"/>
  <c r="F77" i="5"/>
  <c r="E77" i="5"/>
  <c r="D77" i="5"/>
  <c r="C77" i="5"/>
  <c r="J76" i="5"/>
  <c r="I76" i="5"/>
  <c r="H76" i="5"/>
  <c r="G76" i="5"/>
  <c r="F76" i="5"/>
  <c r="E76" i="5"/>
  <c r="D76" i="5"/>
  <c r="C76" i="5"/>
  <c r="I75" i="5"/>
  <c r="J75" i="5" s="1"/>
  <c r="H75" i="5"/>
  <c r="G75" i="5"/>
  <c r="F75" i="5"/>
  <c r="E75" i="5"/>
  <c r="D75" i="5"/>
  <c r="C75" i="5"/>
  <c r="I74" i="5"/>
  <c r="J74" i="5" s="1"/>
  <c r="H74" i="5"/>
  <c r="G74" i="5"/>
  <c r="F74" i="5"/>
  <c r="E74" i="5"/>
  <c r="D74" i="5"/>
  <c r="C74" i="5"/>
  <c r="I73" i="5"/>
  <c r="J73" i="5" s="1"/>
  <c r="H73" i="5"/>
  <c r="G73" i="5"/>
  <c r="L73" i="5" s="1"/>
  <c r="F73" i="5"/>
  <c r="E73" i="5"/>
  <c r="D73" i="5"/>
  <c r="C73" i="5"/>
  <c r="I72" i="5"/>
  <c r="K72" i="5" s="1"/>
  <c r="H72" i="5"/>
  <c r="J72" i="5" s="1"/>
  <c r="G72" i="5"/>
  <c r="F72" i="5"/>
  <c r="E72" i="5"/>
  <c r="D72" i="5"/>
  <c r="C72" i="5"/>
  <c r="I71" i="5"/>
  <c r="J71" i="5" s="1"/>
  <c r="H71" i="5"/>
  <c r="G71" i="5"/>
  <c r="F71" i="5"/>
  <c r="E71" i="5"/>
  <c r="D71" i="5"/>
  <c r="C71" i="5"/>
  <c r="I70" i="5"/>
  <c r="J70" i="5" s="1"/>
  <c r="H70" i="5"/>
  <c r="G70" i="5"/>
  <c r="L70" i="5" s="1"/>
  <c r="F70" i="5"/>
  <c r="E70" i="5"/>
  <c r="D70" i="5"/>
  <c r="C70" i="5"/>
  <c r="I69" i="5"/>
  <c r="J69" i="5" s="1"/>
  <c r="H69" i="5"/>
  <c r="G69" i="5"/>
  <c r="L69" i="5" s="1"/>
  <c r="F69" i="5"/>
  <c r="E69" i="5"/>
  <c r="D69" i="5"/>
  <c r="C69" i="5"/>
  <c r="I68" i="5"/>
  <c r="H68" i="5"/>
  <c r="J68" i="5" s="1"/>
  <c r="G68" i="5"/>
  <c r="L68" i="5" s="1"/>
  <c r="F68" i="5"/>
  <c r="E68" i="5"/>
  <c r="D68" i="5"/>
  <c r="C68" i="5"/>
  <c r="I67" i="5"/>
  <c r="J67" i="5" s="1"/>
  <c r="H67" i="5"/>
  <c r="G67" i="5"/>
  <c r="L67" i="5" s="1"/>
  <c r="F67" i="5"/>
  <c r="E67" i="5"/>
  <c r="D67" i="5"/>
  <c r="C67" i="5"/>
  <c r="I66" i="5"/>
  <c r="K66" i="5" s="1"/>
  <c r="H66" i="5"/>
  <c r="G66" i="5"/>
  <c r="L66" i="5" s="1"/>
  <c r="F66" i="5"/>
  <c r="E66" i="5"/>
  <c r="D66" i="5"/>
  <c r="C66" i="5"/>
  <c r="I65" i="5"/>
  <c r="K65" i="5" s="1"/>
  <c r="H65" i="5"/>
  <c r="G65" i="5"/>
  <c r="L65" i="5" s="1"/>
  <c r="F65" i="5"/>
  <c r="E65" i="5"/>
  <c r="D65" i="5"/>
  <c r="C65" i="5"/>
  <c r="I64" i="5"/>
  <c r="H64" i="5"/>
  <c r="J64" i="5" s="1"/>
  <c r="G64" i="5"/>
  <c r="L64" i="5" s="1"/>
  <c r="F64" i="5"/>
  <c r="E64" i="5"/>
  <c r="D64" i="5"/>
  <c r="C64" i="5"/>
  <c r="I63" i="5"/>
  <c r="K63" i="5" s="1"/>
  <c r="H63" i="5"/>
  <c r="G63" i="5"/>
  <c r="F63" i="5"/>
  <c r="E63" i="5"/>
  <c r="D63" i="5"/>
  <c r="C63" i="5"/>
  <c r="I62" i="5"/>
  <c r="J62" i="5" s="1"/>
  <c r="H62" i="5"/>
  <c r="G62" i="5"/>
  <c r="L62" i="5" s="1"/>
  <c r="F62" i="5"/>
  <c r="E62" i="5"/>
  <c r="D62" i="5"/>
  <c r="C62" i="5"/>
  <c r="I61" i="5"/>
  <c r="K61" i="5" s="1"/>
  <c r="H61" i="5"/>
  <c r="G61" i="5"/>
  <c r="L61" i="5" s="1"/>
  <c r="F61" i="5"/>
  <c r="E61" i="5"/>
  <c r="D61" i="5"/>
  <c r="C61" i="5"/>
  <c r="I60" i="5"/>
  <c r="H60" i="5"/>
  <c r="J60" i="5" s="1"/>
  <c r="G60" i="5"/>
  <c r="F60" i="5"/>
  <c r="E60" i="5"/>
  <c r="D60" i="5"/>
  <c r="C60" i="5"/>
  <c r="I59" i="5"/>
  <c r="J59" i="5" s="1"/>
  <c r="H59" i="5"/>
  <c r="G59" i="5"/>
  <c r="F59" i="5"/>
  <c r="E59" i="5"/>
  <c r="D59" i="5"/>
  <c r="C59" i="5"/>
  <c r="I58" i="5"/>
  <c r="K58" i="5" s="1"/>
  <c r="H58" i="5"/>
  <c r="G58" i="5"/>
  <c r="L58" i="5" s="1"/>
  <c r="F58" i="5"/>
  <c r="E58" i="5"/>
  <c r="D58" i="5"/>
  <c r="C58" i="5"/>
  <c r="I57" i="5"/>
  <c r="K57" i="5" s="1"/>
  <c r="H57" i="5"/>
  <c r="G57" i="5"/>
  <c r="L57" i="5" s="1"/>
  <c r="F57" i="5"/>
  <c r="E57" i="5"/>
  <c r="D57" i="5"/>
  <c r="C57" i="5"/>
  <c r="I56" i="5"/>
  <c r="H56" i="5"/>
  <c r="J56" i="5" s="1"/>
  <c r="G56" i="5"/>
  <c r="L56" i="5" s="1"/>
  <c r="F56" i="5"/>
  <c r="E56" i="5"/>
  <c r="D56" i="5"/>
  <c r="C56" i="5"/>
  <c r="A17" i="1"/>
  <c r="A18" i="1"/>
  <c r="A19" i="1"/>
  <c r="A21" i="1"/>
  <c r="F15" i="1"/>
  <c r="D15" i="1"/>
  <c r="B15" i="1"/>
  <c r="A26" i="1"/>
  <c r="A27" i="1"/>
  <c r="A28" i="1"/>
  <c r="A30" i="1"/>
  <c r="C17" i="5"/>
  <c r="C15" i="5"/>
  <c r="C14" i="5"/>
  <c r="C13" i="5"/>
  <c r="D4" i="4"/>
  <c r="H4" i="6" s="1"/>
  <c r="H6" i="6" s="1"/>
  <c r="E4" i="4"/>
  <c r="I4" i="6" s="1"/>
  <c r="I6" i="6" s="1"/>
  <c r="D5" i="4"/>
  <c r="H5" i="6" s="1"/>
  <c r="A2" i="4"/>
  <c r="C5" i="2"/>
  <c r="B48" i="4" l="1"/>
  <c r="D49" i="4"/>
  <c r="C48" i="4"/>
  <c r="F4" i="4"/>
  <c r="F16" i="2"/>
  <c r="AI65" i="4" s="1"/>
  <c r="F15" i="2"/>
  <c r="M64" i="4" s="1"/>
  <c r="H3" i="6"/>
  <c r="H18" i="6"/>
  <c r="F17" i="2"/>
  <c r="K66" i="4" s="1"/>
  <c r="E64" i="4"/>
  <c r="D64" i="4"/>
  <c r="AZ65" i="4"/>
  <c r="Y65" i="4"/>
  <c r="O68" i="4"/>
  <c r="AB68" i="4"/>
  <c r="AG68" i="4"/>
  <c r="AH68" i="4"/>
  <c r="AI68" i="4"/>
  <c r="AP68" i="4"/>
  <c r="AZ66" i="4"/>
  <c r="B30" i="1"/>
  <c r="C20" i="2"/>
  <c r="K77" i="5"/>
  <c r="K73" i="5"/>
  <c r="J58" i="5"/>
  <c r="J66" i="5"/>
  <c r="J86" i="5"/>
  <c r="J90" i="5"/>
  <c r="J98" i="5"/>
  <c r="K71" i="5"/>
  <c r="K101" i="5"/>
  <c r="K69" i="5"/>
  <c r="K99" i="5"/>
  <c r="K67" i="5"/>
  <c r="J57" i="5"/>
  <c r="K91" i="5"/>
  <c r="K59" i="5"/>
  <c r="K81" i="5"/>
  <c r="J65" i="5"/>
  <c r="J85" i="5"/>
  <c r="J89" i="5"/>
  <c r="J97" i="5"/>
  <c r="J95" i="5"/>
  <c r="J61" i="5"/>
  <c r="J93" i="5"/>
  <c r="J63" i="5"/>
  <c r="J87" i="5"/>
  <c r="AW66" i="4"/>
  <c r="AV66" i="4"/>
  <c r="I68" i="4"/>
  <c r="J68" i="4"/>
  <c r="H68" i="4"/>
  <c r="G68" i="4"/>
  <c r="E68" i="4"/>
  <c r="AR66" i="4"/>
  <c r="D68" i="4"/>
  <c r="AQ66" i="4"/>
  <c r="L68" i="4"/>
  <c r="AK64" i="4"/>
  <c r="Q66" i="4"/>
  <c r="AJ64" i="4"/>
  <c r="P66" i="4"/>
  <c r="AX66" i="4"/>
  <c r="AO64" i="4"/>
  <c r="K68" i="4"/>
  <c r="AD64" i="4"/>
  <c r="I64" i="4"/>
  <c r="V66" i="4"/>
  <c r="N66" i="4"/>
  <c r="AB64" i="4"/>
  <c r="AP64" i="4"/>
  <c r="AN64" i="4"/>
  <c r="AI64" i="4"/>
  <c r="L66" i="4"/>
  <c r="G64" i="4"/>
  <c r="AR68" i="4"/>
  <c r="T66" i="4"/>
  <c r="S66" i="4"/>
  <c r="AL64" i="4"/>
  <c r="AC64" i="4"/>
  <c r="F64" i="4"/>
  <c r="AQ68" i="4"/>
  <c r="F68" i="4"/>
  <c r="AO68" i="4"/>
  <c r="AN68" i="4"/>
  <c r="AM68" i="4"/>
  <c r="AL68" i="4"/>
  <c r="AK68" i="4"/>
  <c r="AJ68" i="4"/>
  <c r="BC65" i="4"/>
  <c r="BB65" i="4"/>
  <c r="BA65" i="4"/>
  <c r="AY65" i="4"/>
  <c r="AF65" i="4"/>
  <c r="AE65" i="4"/>
  <c r="AD65" i="4"/>
  <c r="AC65" i="4"/>
  <c r="AB65" i="4"/>
  <c r="AA65" i="4"/>
  <c r="Z65" i="4"/>
  <c r="S65" i="4"/>
  <c r="X65" i="4"/>
  <c r="W65" i="4"/>
  <c r="V65" i="4"/>
  <c r="U65" i="4"/>
  <c r="T65" i="4"/>
  <c r="R65" i="4"/>
  <c r="AH64" i="4"/>
  <c r="AG64" i="4"/>
  <c r="AF64" i="4"/>
  <c r="AE64" i="4"/>
  <c r="AF68" i="4"/>
  <c r="AE68" i="4"/>
  <c r="P65" i="4"/>
  <c r="O65" i="4"/>
  <c r="N65" i="4"/>
  <c r="AR64" i="4"/>
  <c r="L64" i="4"/>
  <c r="AH65" i="4"/>
  <c r="AT68" i="4"/>
  <c r="N68" i="4"/>
  <c r="AQ64" i="4"/>
  <c r="K64" i="4"/>
  <c r="AG65" i="4"/>
  <c r="BC66" i="4"/>
  <c r="W66" i="4"/>
  <c r="AS68" i="4"/>
  <c r="M68" i="4"/>
  <c r="Z68" i="4"/>
  <c r="AA64" i="4"/>
  <c r="AK66" i="4"/>
  <c r="X64" i="4"/>
  <c r="AS65" i="4"/>
  <c r="AI66" i="4"/>
  <c r="BB64" i="4"/>
  <c r="AR65" i="4"/>
  <c r="L65" i="4"/>
  <c r="X68" i="4"/>
  <c r="BA64" i="4"/>
  <c r="K65" i="4"/>
  <c r="BC68" i="4"/>
  <c r="AZ64" i="4"/>
  <c r="AF66" i="4"/>
  <c r="AY64" i="4"/>
  <c r="S64" i="4"/>
  <c r="AO65" i="4"/>
  <c r="I65" i="4"/>
  <c r="BA68" i="4"/>
  <c r="U68" i="4"/>
  <c r="AX64" i="4"/>
  <c r="R64" i="4"/>
  <c r="AN65" i="4"/>
  <c r="H65" i="4"/>
  <c r="AD66" i="4"/>
  <c r="AZ68" i="4"/>
  <c r="T68" i="4"/>
  <c r="AW64" i="4"/>
  <c r="Q64" i="4"/>
  <c r="AM65" i="4"/>
  <c r="G65" i="4"/>
  <c r="AY68" i="4"/>
  <c r="S68" i="4"/>
  <c r="AV64" i="4"/>
  <c r="P64" i="4"/>
  <c r="AL65" i="4"/>
  <c r="F65" i="4"/>
  <c r="AB66" i="4"/>
  <c r="AX68" i="4"/>
  <c r="R68" i="4"/>
  <c r="AW65" i="4"/>
  <c r="AC68" i="4"/>
  <c r="Z64" i="4"/>
  <c r="AU65" i="4"/>
  <c r="AD68" i="4"/>
  <c r="W64" i="4"/>
  <c r="AO66" i="4"/>
  <c r="AX65" i="4"/>
  <c r="Q65" i="4"/>
  <c r="AV65" i="4"/>
  <c r="AA68" i="4"/>
  <c r="BC64" i="4"/>
  <c r="M65" i="4"/>
  <c r="Y68" i="4"/>
  <c r="V64" i="4"/>
  <c r="AQ65" i="4"/>
  <c r="W68" i="4"/>
  <c r="T64" i="4"/>
  <c r="AP65" i="4"/>
  <c r="J65" i="4"/>
  <c r="BB68" i="4"/>
  <c r="V68" i="4"/>
  <c r="AU64" i="4"/>
  <c r="O64" i="4"/>
  <c r="AK65" i="4"/>
  <c r="E65" i="4"/>
  <c r="AA66" i="4"/>
  <c r="AW68" i="4"/>
  <c r="Q68" i="4"/>
  <c r="AT64" i="4"/>
  <c r="N64" i="4"/>
  <c r="D65" i="4"/>
  <c r="AV68" i="4"/>
  <c r="P68" i="4"/>
  <c r="AS64" i="4"/>
  <c r="AU68" i="4"/>
  <c r="E5" i="4"/>
  <c r="I5" i="6" s="1"/>
  <c r="AG66" i="4" l="1"/>
  <c r="U66" i="4"/>
  <c r="AT66" i="4"/>
  <c r="R66" i="4"/>
  <c r="AS66" i="4"/>
  <c r="AH66" i="4"/>
  <c r="AC66" i="4"/>
  <c r="AC69" i="4" s="1"/>
  <c r="AL66" i="4"/>
  <c r="AL69" i="4" s="1"/>
  <c r="AU66" i="4"/>
  <c r="G66" i="4"/>
  <c r="H66" i="4"/>
  <c r="AN66" i="4"/>
  <c r="H64" i="4"/>
  <c r="H69" i="4" s="1"/>
  <c r="B49" i="4"/>
  <c r="C49" i="4"/>
  <c r="A50" i="4"/>
  <c r="AY66" i="4"/>
  <c r="AY69" i="4" s="1"/>
  <c r="X66" i="4"/>
  <c r="BA66" i="4"/>
  <c r="BA69" i="4" s="1"/>
  <c r="M66" i="4"/>
  <c r="M69" i="4" s="1"/>
  <c r="O66" i="4"/>
  <c r="J66" i="4"/>
  <c r="AJ66" i="4"/>
  <c r="AE66" i="4"/>
  <c r="AE69" i="4" s="1"/>
  <c r="AM66" i="4"/>
  <c r="I66" i="4"/>
  <c r="E66" i="4"/>
  <c r="AP66" i="4"/>
  <c r="AP69" i="4" s="1"/>
  <c r="F66" i="4"/>
  <c r="F69" i="4" s="1"/>
  <c r="Z66" i="4"/>
  <c r="Z69" i="4" s="1"/>
  <c r="D66" i="4"/>
  <c r="AT65" i="4"/>
  <c r="AJ65" i="4"/>
  <c r="C65" i="4" s="1"/>
  <c r="F20" i="2"/>
  <c r="Y64" i="4"/>
  <c r="J64" i="4"/>
  <c r="J69" i="4" s="1"/>
  <c r="U64" i="4"/>
  <c r="U69" i="4" s="1"/>
  <c r="AM64" i="4"/>
  <c r="J4" i="6"/>
  <c r="J6" i="6" s="1"/>
  <c r="G4" i="4"/>
  <c r="AI69" i="4"/>
  <c r="I3" i="6"/>
  <c r="I18" i="6"/>
  <c r="Y66" i="4"/>
  <c r="Y69" i="4" s="1"/>
  <c r="BB66" i="4"/>
  <c r="BB69" i="4" s="1"/>
  <c r="AM69" i="4"/>
  <c r="G69" i="4"/>
  <c r="AB69" i="4"/>
  <c r="A22" i="5" a="1"/>
  <c r="I29" i="5" s="1"/>
  <c r="AV69" i="4"/>
  <c r="AD69" i="4"/>
  <c r="S69" i="4"/>
  <c r="AF69" i="4"/>
  <c r="C68" i="4"/>
  <c r="AZ69" i="4"/>
  <c r="E69" i="4"/>
  <c r="AK69" i="4"/>
  <c r="AG69" i="4"/>
  <c r="AA69" i="4"/>
  <c r="I69" i="4"/>
  <c r="AN69" i="4"/>
  <c r="AO69" i="4"/>
  <c r="O69" i="4"/>
  <c r="N69" i="4"/>
  <c r="AT69" i="4"/>
  <c r="AU69" i="4"/>
  <c r="T69" i="4"/>
  <c r="R69" i="4"/>
  <c r="AQ69" i="4"/>
  <c r="AX69" i="4"/>
  <c r="K69" i="4"/>
  <c r="B68" i="4"/>
  <c r="AH69" i="4"/>
  <c r="L69" i="4"/>
  <c r="AR69" i="4"/>
  <c r="P69" i="4"/>
  <c r="BC69" i="4"/>
  <c r="B64" i="4"/>
  <c r="Q69" i="4"/>
  <c r="AS69" i="4"/>
  <c r="W69" i="4"/>
  <c r="X69" i="4"/>
  <c r="C64" i="4"/>
  <c r="D69" i="4"/>
  <c r="V69" i="4"/>
  <c r="AW69" i="4"/>
  <c r="F5" i="4"/>
  <c r="J5" i="6" s="1"/>
  <c r="AJ69" i="4" l="1"/>
  <c r="B66" i="4"/>
  <c r="B65" i="4"/>
  <c r="C66" i="4"/>
  <c r="H4" i="4"/>
  <c r="K4" i="6"/>
  <c r="K6" i="6" s="1"/>
  <c r="J3" i="6"/>
  <c r="J18" i="6"/>
  <c r="A7" i="6"/>
  <c r="B45" i="5"/>
  <c r="C30" i="5"/>
  <c r="I30" i="5"/>
  <c r="I47" i="5"/>
  <c r="E44" i="5"/>
  <c r="E55" i="5"/>
  <c r="E24" i="5"/>
  <c r="E35" i="5"/>
  <c r="C33" i="5"/>
  <c r="I25" i="5"/>
  <c r="K25" i="5" s="1"/>
  <c r="C23" i="5"/>
  <c r="I51" i="5"/>
  <c r="C54" i="5"/>
  <c r="E37" i="5"/>
  <c r="I44" i="5"/>
  <c r="C37" i="5"/>
  <c r="B35" i="5"/>
  <c r="I46" i="5"/>
  <c r="I34" i="5"/>
  <c r="K34" i="5" s="1"/>
  <c r="I39" i="5"/>
  <c r="I38" i="5"/>
  <c r="K38" i="5" s="1"/>
  <c r="C41" i="5"/>
  <c r="E26" i="5"/>
  <c r="B46" i="5"/>
  <c r="E32" i="5"/>
  <c r="E27" i="5"/>
  <c r="C32" i="5"/>
  <c r="C46" i="5"/>
  <c r="D54" i="5"/>
  <c r="F55" i="5"/>
  <c r="F30" i="5"/>
  <c r="I27" i="5"/>
  <c r="K27" i="5" s="1"/>
  <c r="C45" i="5"/>
  <c r="B54" i="5"/>
  <c r="B55" i="5"/>
  <c r="C34" i="5"/>
  <c r="C39" i="5"/>
  <c r="E40" i="5"/>
  <c r="B39" i="5"/>
  <c r="E45" i="5"/>
  <c r="E46" i="5"/>
  <c r="E54" i="5"/>
  <c r="D55" i="5"/>
  <c r="E34" i="5"/>
  <c r="E29" i="5"/>
  <c r="B33" i="5"/>
  <c r="F54" i="5"/>
  <c r="G55" i="5"/>
  <c r="L55" i="5" s="1"/>
  <c r="I28" i="5"/>
  <c r="K28" i="5" s="1"/>
  <c r="C25" i="5"/>
  <c r="B32" i="5"/>
  <c r="I45" i="5"/>
  <c r="I54" i="5"/>
  <c r="K54" i="5" s="1"/>
  <c r="I55" i="5"/>
  <c r="K55" i="5" s="1"/>
  <c r="I42" i="5"/>
  <c r="I36" i="5"/>
  <c r="B31" i="5"/>
  <c r="C48" i="5"/>
  <c r="B50" i="5"/>
  <c r="C55" i="5"/>
  <c r="E43" i="5"/>
  <c r="B30" i="5"/>
  <c r="C50" i="5"/>
  <c r="E33" i="5"/>
  <c r="B27" i="5"/>
  <c r="E48" i="5"/>
  <c r="B26" i="5"/>
  <c r="E50" i="5"/>
  <c r="C31" i="5"/>
  <c r="C35" i="5"/>
  <c r="C40" i="5"/>
  <c r="E36" i="5"/>
  <c r="B34" i="5"/>
  <c r="I48" i="5"/>
  <c r="F53" i="5"/>
  <c r="E41" i="5"/>
  <c r="I24" i="5"/>
  <c r="K24" i="5" s="1"/>
  <c r="B44" i="5"/>
  <c r="B48" i="5"/>
  <c r="I50" i="5"/>
  <c r="E53" i="5"/>
  <c r="B43" i="5"/>
  <c r="E49" i="5"/>
  <c r="I53" i="5"/>
  <c r="K53" i="5" s="1"/>
  <c r="B42" i="5"/>
  <c r="B53" i="5"/>
  <c r="C38" i="5"/>
  <c r="I40" i="5"/>
  <c r="K40" i="5" s="1"/>
  <c r="B41" i="5"/>
  <c r="C49" i="5"/>
  <c r="C53" i="5"/>
  <c r="E39" i="5"/>
  <c r="C44" i="5"/>
  <c r="E30" i="5"/>
  <c r="C29" i="5"/>
  <c r="E38" i="5"/>
  <c r="B40" i="5"/>
  <c r="C47" i="5"/>
  <c r="C51" i="5"/>
  <c r="D53" i="5"/>
  <c r="I37" i="5"/>
  <c r="K37" i="5" s="1"/>
  <c r="C43" i="5"/>
  <c r="E23" i="5"/>
  <c r="B38" i="5"/>
  <c r="B49" i="5"/>
  <c r="D51" i="5"/>
  <c r="I31" i="5"/>
  <c r="K31" i="5" s="1"/>
  <c r="B37" i="5"/>
  <c r="B47" i="5"/>
  <c r="I49" i="5"/>
  <c r="E51" i="5"/>
  <c r="I41" i="5"/>
  <c r="I26" i="5"/>
  <c r="K26" i="5" s="1"/>
  <c r="B36" i="5"/>
  <c r="E47" i="5"/>
  <c r="F51" i="5"/>
  <c r="I33" i="5"/>
  <c r="K33" i="5" s="1"/>
  <c r="C36" i="5"/>
  <c r="B29" i="5"/>
  <c r="F47" i="5"/>
  <c r="B51" i="5"/>
  <c r="I52" i="5"/>
  <c r="K52" i="5" s="1"/>
  <c r="I35" i="5"/>
  <c r="K35" i="5" s="1"/>
  <c r="C42" i="5"/>
  <c r="I43" i="5"/>
  <c r="E31" i="5"/>
  <c r="B28" i="5"/>
  <c r="D52" i="5"/>
  <c r="C26" i="5"/>
  <c r="I23" i="5"/>
  <c r="B25" i="5"/>
  <c r="F52" i="5"/>
  <c r="B24" i="5"/>
  <c r="B52" i="5"/>
  <c r="C24" i="5"/>
  <c r="E42" i="5"/>
  <c r="B23" i="5"/>
  <c r="E52" i="5"/>
  <c r="C27" i="5"/>
  <c r="A22" i="5"/>
  <c r="B22" i="5" s="1"/>
  <c r="C52" i="5"/>
  <c r="I32" i="5"/>
  <c r="K32" i="5" s="1"/>
  <c r="C28" i="5"/>
  <c r="E25" i="5"/>
  <c r="D30" i="5"/>
  <c r="E28" i="5"/>
  <c r="H55" i="5"/>
  <c r="G54" i="5"/>
  <c r="L54" i="5" s="1"/>
  <c r="H54" i="5"/>
  <c r="H53" i="5"/>
  <c r="G52" i="5"/>
  <c r="L52" i="5" s="1"/>
  <c r="G53" i="5"/>
  <c r="L53" i="5" s="1"/>
  <c r="H52" i="5"/>
  <c r="G51" i="5"/>
  <c r="H51" i="5"/>
  <c r="H30" i="5"/>
  <c r="G30" i="5"/>
  <c r="B69" i="4"/>
  <c r="C69" i="4"/>
  <c r="G5" i="4"/>
  <c r="I4" i="4" l="1"/>
  <c r="L4" i="6"/>
  <c r="L6" i="6" s="1"/>
  <c r="K5" i="6"/>
  <c r="K18" i="6" s="1"/>
  <c r="K30" i="5"/>
  <c r="C22" i="5"/>
  <c r="E22" i="5"/>
  <c r="J55" i="5"/>
  <c r="I22" i="5"/>
  <c r="J54" i="5"/>
  <c r="J51" i="5"/>
  <c r="L51" i="5" s="1"/>
  <c r="J52" i="5"/>
  <c r="J53" i="5"/>
  <c r="K43" i="5"/>
  <c r="K51" i="5"/>
  <c r="J30" i="5"/>
  <c r="L30" i="5" s="1"/>
  <c r="H5" i="4"/>
  <c r="J4" i="4" l="1"/>
  <c r="M4" i="6"/>
  <c r="M6" i="6" s="1"/>
  <c r="AD60" i="4" a="1"/>
  <c r="AD60" i="4" s="1"/>
  <c r="BB58" i="4" a="1"/>
  <c r="BB58" i="4" s="1"/>
  <c r="X60" i="4" a="1"/>
  <c r="X60" i="4" s="1"/>
  <c r="Q57" i="4" a="1"/>
  <c r="Q57" i="4" s="1"/>
  <c r="AB56" i="4" a="1"/>
  <c r="AB56" i="4" s="1"/>
  <c r="AB57" i="4" a="1"/>
  <c r="AB57" i="4" s="1"/>
  <c r="AL56" i="4" a="1"/>
  <c r="AL56" i="4" s="1"/>
  <c r="X58" i="4" a="1"/>
  <c r="X58" i="4" s="1"/>
  <c r="M56" i="4" a="1"/>
  <c r="M56" i="4" s="1"/>
  <c r="AD56" i="4" a="1"/>
  <c r="AD56" i="4" s="1"/>
  <c r="R57" i="4" a="1"/>
  <c r="R57" i="4" s="1"/>
  <c r="AV60" i="4" a="1"/>
  <c r="AV60" i="4" s="1"/>
  <c r="J58" i="4" a="1"/>
  <c r="J58" i="4" s="1"/>
  <c r="AQ57" i="4" a="1"/>
  <c r="AQ57" i="4" s="1"/>
  <c r="AX57" i="4" a="1"/>
  <c r="AX57" i="4" s="1"/>
  <c r="AM56" i="4" a="1"/>
  <c r="AM56" i="4" s="1"/>
  <c r="R56" i="4" a="1"/>
  <c r="R56" i="4" s="1"/>
  <c r="Q58" i="4" a="1"/>
  <c r="Q58" i="4" s="1"/>
  <c r="AO57" i="4" a="1"/>
  <c r="AO57" i="4" s="1"/>
  <c r="AH58" i="4" a="1"/>
  <c r="AH58" i="4" s="1"/>
  <c r="AA60" i="4" a="1"/>
  <c r="AA60" i="4" s="1"/>
  <c r="J56" i="4" a="1"/>
  <c r="J56" i="4" s="1"/>
  <c r="T58" i="4" a="1"/>
  <c r="T58" i="4" s="1"/>
  <c r="AP57" i="4" a="1"/>
  <c r="AP57" i="4" s="1"/>
  <c r="AM58" i="4" a="1"/>
  <c r="AM58" i="4" s="1"/>
  <c r="F60" i="4" a="1"/>
  <c r="F60" i="4" s="1"/>
  <c r="BB60" i="4" a="1"/>
  <c r="BB60" i="4" s="1"/>
  <c r="BC60" i="4" a="1"/>
  <c r="BC60" i="4" s="1"/>
  <c r="E57" i="4" a="1"/>
  <c r="E57" i="4" s="1"/>
  <c r="N60" i="4" a="1"/>
  <c r="N60" i="4" s="1"/>
  <c r="AU58" i="4" a="1"/>
  <c r="AU58" i="4" s="1"/>
  <c r="AS58" i="4" a="1"/>
  <c r="AS58" i="4" s="1"/>
  <c r="BA57" i="4" a="1"/>
  <c r="BA57" i="4" s="1"/>
  <c r="AH56" i="4" a="1"/>
  <c r="AH56" i="4" s="1"/>
  <c r="BA56" i="4" a="1"/>
  <c r="BA56" i="4" s="1"/>
  <c r="W57" i="4" a="1"/>
  <c r="W57" i="4" s="1"/>
  <c r="Y57" i="4" a="1"/>
  <c r="Y57" i="4" s="1"/>
  <c r="G56" i="4" a="1"/>
  <c r="G56" i="4" s="1"/>
  <c r="AL60" i="4" a="1"/>
  <c r="AL60" i="4" s="1"/>
  <c r="AA58" i="4" a="1"/>
  <c r="AA58" i="4" s="1"/>
  <c r="BB57" i="4" a="1"/>
  <c r="BB57" i="4" s="1"/>
  <c r="AW57" i="4" a="1"/>
  <c r="AW57" i="4" s="1"/>
  <c r="AU57" i="4" a="1"/>
  <c r="AU57" i="4" s="1"/>
  <c r="AE56" i="4" a="1"/>
  <c r="AE56" i="4" s="1"/>
  <c r="AU56" i="4" a="1"/>
  <c r="AU56" i="4" s="1"/>
  <c r="AC56" i="4" a="1"/>
  <c r="AC56" i="4" s="1"/>
  <c r="AC57" i="4" a="1"/>
  <c r="AC57" i="4" s="1"/>
  <c r="L57" i="4" a="1"/>
  <c r="L57" i="4" s="1"/>
  <c r="J57" i="4" a="1"/>
  <c r="J57" i="4" s="1"/>
  <c r="AG56" i="4" a="1"/>
  <c r="AG56" i="4" s="1"/>
  <c r="X57" i="4" a="1"/>
  <c r="X57" i="4" s="1"/>
  <c r="K58" i="4" a="1"/>
  <c r="K58" i="4" s="1"/>
  <c r="AZ56" i="4" a="1"/>
  <c r="AZ56" i="4" s="1"/>
  <c r="AY57" i="4" a="1"/>
  <c r="AY57" i="4" s="1"/>
  <c r="AI56" i="4" a="1"/>
  <c r="AI56" i="4" s="1"/>
  <c r="D58" i="4" a="1"/>
  <c r="D58" i="4" s="1"/>
  <c r="AI60" i="4" a="1"/>
  <c r="AI60" i="4" s="1"/>
  <c r="AO58" i="4" a="1"/>
  <c r="AO58" i="4" s="1"/>
  <c r="D57" i="4" a="1"/>
  <c r="D57" i="4" s="1"/>
  <c r="V57" i="4" a="1"/>
  <c r="V57" i="4" s="1"/>
  <c r="U58" i="4" a="1"/>
  <c r="U58" i="4" s="1"/>
  <c r="AT56" i="4" a="1"/>
  <c r="AT56" i="4" s="1"/>
  <c r="U56" i="4" a="1"/>
  <c r="U56" i="4" s="1"/>
  <c r="AJ60" i="4" a="1"/>
  <c r="AJ60" i="4" s="1"/>
  <c r="Z57" i="4" a="1"/>
  <c r="Z57" i="4" s="1"/>
  <c r="K57" i="4" a="1"/>
  <c r="K57" i="4" s="1"/>
  <c r="AR57" i="4" a="1"/>
  <c r="AR57" i="4" s="1"/>
  <c r="AR58" i="4" a="1"/>
  <c r="AR58" i="4" s="1"/>
  <c r="AI58" i="4" a="1"/>
  <c r="AI58" i="4" s="1"/>
  <c r="AQ56" i="4" a="1"/>
  <c r="AQ56" i="4" s="1"/>
  <c r="Z58" i="4" a="1"/>
  <c r="Z58" i="4" s="1"/>
  <c r="AO56" i="4" a="1"/>
  <c r="AO56" i="4" s="1"/>
  <c r="D56" i="4" a="1"/>
  <c r="D56" i="4" s="1"/>
  <c r="N58" i="4" a="1"/>
  <c r="N58" i="4" s="1"/>
  <c r="N56" i="4" a="1"/>
  <c r="N56" i="4" s="1"/>
  <c r="Y60" i="4" a="1"/>
  <c r="Y60" i="4" s="1"/>
  <c r="AN56" i="4" a="1"/>
  <c r="AN56" i="4" s="1"/>
  <c r="N57" i="4" a="1"/>
  <c r="N57" i="4" s="1"/>
  <c r="AP56" i="4" a="1"/>
  <c r="AP56" i="4" s="1"/>
  <c r="S60" i="4" a="1"/>
  <c r="S60" i="4" s="1"/>
  <c r="R58" i="4" a="1"/>
  <c r="R58" i="4" s="1"/>
  <c r="AJ58" i="4" a="1"/>
  <c r="AJ58" i="4" s="1"/>
  <c r="AK56" i="4" a="1"/>
  <c r="AK56" i="4" s="1"/>
  <c r="AL57" i="4" a="1"/>
  <c r="AL57" i="4" s="1"/>
  <c r="AJ57" i="4" a="1"/>
  <c r="AJ57" i="4" s="1"/>
  <c r="V56" i="4" a="1"/>
  <c r="V56" i="4" s="1"/>
  <c r="X56" i="4" a="1"/>
  <c r="X56" i="4" s="1"/>
  <c r="AG57" i="4" a="1"/>
  <c r="AG57" i="4" s="1"/>
  <c r="AE60" i="4" a="1"/>
  <c r="AE60" i="4" s="1"/>
  <c r="G57" i="4" a="1"/>
  <c r="G57" i="4" s="1"/>
  <c r="AW60" i="4" a="1"/>
  <c r="AW60" i="4" s="1"/>
  <c r="V60" i="4" a="1"/>
  <c r="V60" i="4" s="1"/>
  <c r="AR56" i="4" a="1"/>
  <c r="AR56" i="4" s="1"/>
  <c r="I58" i="4" a="1"/>
  <c r="I58" i="4" s="1"/>
  <c r="AW56" i="4" a="1"/>
  <c r="AW56" i="4" s="1"/>
  <c r="H56" i="4" a="1"/>
  <c r="H56" i="4" s="1"/>
  <c r="AZ57" i="4" a="1"/>
  <c r="AZ57" i="4" s="1"/>
  <c r="O60" i="4" a="1"/>
  <c r="O60" i="4" s="1"/>
  <c r="V58" i="4" a="1"/>
  <c r="V58" i="4" s="1"/>
  <c r="AZ58" i="4" a="1"/>
  <c r="AZ58" i="4" s="1"/>
  <c r="AF58" i="4" a="1"/>
  <c r="AF58" i="4" s="1"/>
  <c r="G58" i="4" a="1"/>
  <c r="G58" i="4" s="1"/>
  <c r="AE58" i="4" a="1"/>
  <c r="AE58" i="4" s="1"/>
  <c r="AZ60" i="4" a="1"/>
  <c r="AZ60" i="4" s="1"/>
  <c r="AS57" i="4" a="1"/>
  <c r="AS57" i="4" s="1"/>
  <c r="K60" i="4" a="1"/>
  <c r="K60" i="4" s="1"/>
  <c r="S56" i="4" a="1"/>
  <c r="S56" i="4" s="1"/>
  <c r="Z56" i="4" a="1"/>
  <c r="Z56" i="4" s="1"/>
  <c r="AG58" i="4" a="1"/>
  <c r="AG58" i="4" s="1"/>
  <c r="BA58" i="4" a="1"/>
  <c r="BA58" i="4" s="1"/>
  <c r="AN58" i="4" a="1"/>
  <c r="AN58" i="4" s="1"/>
  <c r="AF60" i="4" a="1"/>
  <c r="AF60" i="4" s="1"/>
  <c r="O56" i="4" a="1"/>
  <c r="O56" i="4" s="1"/>
  <c r="AN57" i="4" a="1"/>
  <c r="AN57" i="4" s="1"/>
  <c r="AC58" i="4" a="1"/>
  <c r="AC58" i="4" s="1"/>
  <c r="S57" i="4" a="1"/>
  <c r="S57" i="4" s="1"/>
  <c r="R60" i="4" a="1"/>
  <c r="R60" i="4" s="1"/>
  <c r="Z60" i="4" a="1"/>
  <c r="Z60" i="4" s="1"/>
  <c r="L58" i="4" a="1"/>
  <c r="L58" i="4" s="1"/>
  <c r="AK58" i="4" a="1"/>
  <c r="AK58" i="4" s="1"/>
  <c r="G60" i="4" a="1"/>
  <c r="G60" i="4" s="1"/>
  <c r="AM57" i="4" a="1"/>
  <c r="AM57" i="4" s="1"/>
  <c r="E56" i="4" a="1"/>
  <c r="E56" i="4" s="1"/>
  <c r="L56" i="4" a="1"/>
  <c r="L56" i="4" s="1"/>
  <c r="P56" i="4" a="1"/>
  <c r="P56" i="4" s="1"/>
  <c r="AY58" i="4" a="1"/>
  <c r="AY58" i="4" s="1"/>
  <c r="P58" i="4" a="1"/>
  <c r="P58" i="4" s="1"/>
  <c r="I56" i="4" a="1"/>
  <c r="I56" i="4" s="1"/>
  <c r="AX60" i="4" a="1"/>
  <c r="AX60" i="4" s="1"/>
  <c r="AA56" i="4" a="1"/>
  <c r="AA56" i="4" s="1"/>
  <c r="AA57" i="4" a="1"/>
  <c r="AA57" i="4" s="1"/>
  <c r="W58" i="4" a="1"/>
  <c r="W58" i="4" s="1"/>
  <c r="AS60" i="4" a="1"/>
  <c r="AS60" i="4" s="1"/>
  <c r="AG60" i="4" a="1"/>
  <c r="AG60" i="4" s="1"/>
  <c r="AL58" i="4" a="1"/>
  <c r="AL58" i="4" s="1"/>
  <c r="BC58" i="4" a="1"/>
  <c r="BC58" i="4" s="1"/>
  <c r="AX56" i="4" a="1"/>
  <c r="AX56" i="4" s="1"/>
  <c r="AQ58" i="4" a="1"/>
  <c r="AQ58" i="4" s="1"/>
  <c r="P60" i="4" a="1"/>
  <c r="P60" i="4" s="1"/>
  <c r="AR60" i="4" a="1"/>
  <c r="AR60" i="4" s="1"/>
  <c r="BB56" i="4" a="1"/>
  <c r="BB56" i="4" s="1"/>
  <c r="J60" i="4" a="1"/>
  <c r="J60" i="4" s="1"/>
  <c r="D60" i="4" a="1"/>
  <c r="D60" i="4" s="1"/>
  <c r="T57" i="4" a="1"/>
  <c r="T57" i="4" s="1"/>
  <c r="AK60" i="4" a="1"/>
  <c r="AK60" i="4" s="1"/>
  <c r="AO60" i="4" a="1"/>
  <c r="AO60" i="4" s="1"/>
  <c r="Y58" i="4" a="1"/>
  <c r="Y58" i="4" s="1"/>
  <c r="M57" i="4" a="1"/>
  <c r="M57" i="4" s="1"/>
  <c r="L60" i="4" a="1"/>
  <c r="L60" i="4" s="1"/>
  <c r="K56" i="4" a="1"/>
  <c r="K56" i="4" s="1"/>
  <c r="M58" i="4" a="1"/>
  <c r="M58" i="4" s="1"/>
  <c r="E60" i="4" a="1"/>
  <c r="E60" i="4" s="1"/>
  <c r="AM60" i="4" a="1"/>
  <c r="AM60" i="4" s="1"/>
  <c r="Q56" i="4" a="1"/>
  <c r="Q56" i="4" s="1"/>
  <c r="AU60" i="4" a="1"/>
  <c r="AU60" i="4" s="1"/>
  <c r="AI57" i="4" a="1"/>
  <c r="AI57" i="4" s="1"/>
  <c r="M60" i="4" a="1"/>
  <c r="M60" i="4" s="1"/>
  <c r="S58" i="4" a="1"/>
  <c r="S58" i="4" s="1"/>
  <c r="H60" i="4" a="1"/>
  <c r="H60" i="4" s="1"/>
  <c r="AC60" i="4" a="1"/>
  <c r="AC60" i="4" s="1"/>
  <c r="AD57" i="4" a="1"/>
  <c r="AD57" i="4" s="1"/>
  <c r="AF57" i="4" a="1"/>
  <c r="AF57" i="4" s="1"/>
  <c r="F56" i="4" a="1"/>
  <c r="F56" i="4" s="1"/>
  <c r="E58" i="4" a="1"/>
  <c r="E58" i="4" s="1"/>
  <c r="BC57" i="4" a="1"/>
  <c r="BC57" i="4" s="1"/>
  <c r="AV58" i="4" a="1"/>
  <c r="AV58" i="4" s="1"/>
  <c r="AT57" i="4" a="1"/>
  <c r="AT57" i="4" s="1"/>
  <c r="BA60" i="4" a="1"/>
  <c r="BA60" i="4" s="1"/>
  <c r="AE57" i="4" a="1"/>
  <c r="AE57" i="4" s="1"/>
  <c r="T56" i="4" a="1"/>
  <c r="T56" i="4" s="1"/>
  <c r="AB58" i="4" a="1"/>
  <c r="AB58" i="4" s="1"/>
  <c r="T60" i="4" a="1"/>
  <c r="T60" i="4" s="1"/>
  <c r="AH57" i="4" a="1"/>
  <c r="AH57" i="4" s="1"/>
  <c r="I60" i="4" a="1"/>
  <c r="I60" i="4" s="1"/>
  <c r="BC56" i="4" a="1"/>
  <c r="BC56" i="4" s="1"/>
  <c r="AN60" i="4" a="1"/>
  <c r="AN60" i="4" s="1"/>
  <c r="Q60" i="4" a="1"/>
  <c r="Q60" i="4" s="1"/>
  <c r="F57" i="4" a="1"/>
  <c r="F57" i="4" s="1"/>
  <c r="AX58" i="4" a="1"/>
  <c r="AX58" i="4" s="1"/>
  <c r="O57" i="4" a="1"/>
  <c r="O57" i="4" s="1"/>
  <c r="W56" i="4" a="1"/>
  <c r="W56" i="4" s="1"/>
  <c r="AF56" i="4" a="1"/>
  <c r="AF56" i="4" s="1"/>
  <c r="AQ60" i="4" a="1"/>
  <c r="AQ60" i="4" s="1"/>
  <c r="H57" i="4" a="1"/>
  <c r="H57" i="4" s="1"/>
  <c r="AP60" i="4" a="1"/>
  <c r="AP60" i="4" s="1"/>
  <c r="U60" i="4" a="1"/>
  <c r="U60" i="4" s="1"/>
  <c r="AK57" i="4" a="1"/>
  <c r="AK57" i="4" s="1"/>
  <c r="AS56" i="4" a="1"/>
  <c r="AS56" i="4" s="1"/>
  <c r="AH60" i="4" a="1"/>
  <c r="AH60" i="4" s="1"/>
  <c r="AY56" i="4" a="1"/>
  <c r="AY56" i="4" s="1"/>
  <c r="I57" i="4" a="1"/>
  <c r="I57" i="4" s="1"/>
  <c r="H58" i="4" a="1"/>
  <c r="H58" i="4" s="1"/>
  <c r="AT60" i="4" a="1"/>
  <c r="AT60" i="4" s="1"/>
  <c r="F58" i="4" a="1"/>
  <c r="F58" i="4" s="1"/>
  <c r="P57" i="4" a="1"/>
  <c r="P57" i="4" s="1"/>
  <c r="AP58" i="4" a="1"/>
  <c r="AP58" i="4" s="1"/>
  <c r="U57" i="4" a="1"/>
  <c r="U57" i="4" s="1"/>
  <c r="AT58" i="4" a="1"/>
  <c r="AT58" i="4" s="1"/>
  <c r="AB60" i="4" a="1"/>
  <c r="AB60" i="4" s="1"/>
  <c r="AV56" i="4" a="1"/>
  <c r="AV56" i="4" s="1"/>
  <c r="O58" i="4" a="1"/>
  <c r="O58" i="4" s="1"/>
  <c r="AY60" i="4" a="1"/>
  <c r="AY60" i="4" s="1"/>
  <c r="W60" i="4" a="1"/>
  <c r="W60" i="4" s="1"/>
  <c r="AD58" i="4" a="1"/>
  <c r="AD58" i="4" s="1"/>
  <c r="Y56" i="4" a="1"/>
  <c r="Y56" i="4" s="1"/>
  <c r="AV57" i="4" a="1"/>
  <c r="AV57" i="4" s="1"/>
  <c r="AJ56" i="4" a="1"/>
  <c r="AJ56" i="4" s="1"/>
  <c r="AW58" i="4" a="1"/>
  <c r="AW58" i="4" s="1"/>
  <c r="L5" i="6"/>
  <c r="L18" i="6" s="1"/>
  <c r="K3" i="6"/>
  <c r="I5" i="4"/>
  <c r="K4" i="4" l="1"/>
  <c r="N4" i="6"/>
  <c r="N6" i="6" s="1"/>
  <c r="M5" i="6"/>
  <c r="M18" i="6" s="1"/>
  <c r="L3" i="6"/>
  <c r="J5" i="4"/>
  <c r="L4" i="4" l="1"/>
  <c r="O4" i="6"/>
  <c r="O6" i="6" s="1"/>
  <c r="N5" i="6"/>
  <c r="N18" i="6" s="1"/>
  <c r="M3" i="6"/>
  <c r="K5" i="4"/>
  <c r="M4" i="4" l="1"/>
  <c r="P4" i="6"/>
  <c r="P6" i="6" s="1"/>
  <c r="O5" i="6"/>
  <c r="O18" i="6" s="1"/>
  <c r="N3" i="6"/>
  <c r="L5" i="4"/>
  <c r="N4" i="4" l="1"/>
  <c r="Q4" i="6"/>
  <c r="Q6" i="6" s="1"/>
  <c r="P5" i="6"/>
  <c r="P18" i="6" s="1"/>
  <c r="O3" i="6"/>
  <c r="M5" i="4"/>
  <c r="O4" i="4" l="1"/>
  <c r="R4" i="6"/>
  <c r="R6" i="6" s="1"/>
  <c r="Q5" i="6"/>
  <c r="Q18" i="6" s="1"/>
  <c r="P3" i="6"/>
  <c r="N5" i="4"/>
  <c r="P4" i="4" l="1"/>
  <c r="S4" i="6"/>
  <c r="S6" i="6" s="1"/>
  <c r="R5" i="6"/>
  <c r="R18" i="6" s="1"/>
  <c r="Q3" i="6"/>
  <c r="O5" i="4"/>
  <c r="Q4" i="4" l="1"/>
  <c r="T4" i="6"/>
  <c r="T6" i="6" s="1"/>
  <c r="S5" i="6"/>
  <c r="S18" i="6" s="1"/>
  <c r="R3" i="6"/>
  <c r="P5" i="4"/>
  <c r="R4" i="4" l="1"/>
  <c r="U4" i="6"/>
  <c r="U6" i="6" s="1"/>
  <c r="T5" i="6"/>
  <c r="T18" i="6" s="1"/>
  <c r="S3" i="6"/>
  <c r="Q5" i="4"/>
  <c r="S4" i="4" l="1"/>
  <c r="V4" i="6"/>
  <c r="V6" i="6" s="1"/>
  <c r="U5" i="6"/>
  <c r="U18" i="6" s="1"/>
  <c r="T3" i="6"/>
  <c r="R5" i="4"/>
  <c r="T4" i="4" l="1"/>
  <c r="W4" i="6"/>
  <c r="W6" i="6" s="1"/>
  <c r="V5" i="6"/>
  <c r="V18" i="6" s="1"/>
  <c r="U3" i="6"/>
  <c r="S5" i="4"/>
  <c r="U4" i="4" l="1"/>
  <c r="X4" i="6"/>
  <c r="X6" i="6" s="1"/>
  <c r="W5" i="6"/>
  <c r="W18" i="6" s="1"/>
  <c r="V3" i="6"/>
  <c r="T5" i="4"/>
  <c r="V4" i="4" l="1"/>
  <c r="Y4" i="6"/>
  <c r="Y6" i="6" s="1"/>
  <c r="X5" i="6"/>
  <c r="X18" i="6" s="1"/>
  <c r="W3" i="6"/>
  <c r="U5" i="4"/>
  <c r="W4" i="4" l="1"/>
  <c r="Z4" i="6"/>
  <c r="Z6" i="6" s="1"/>
  <c r="X3" i="6"/>
  <c r="Y5" i="6"/>
  <c r="Y18" i="6" s="1"/>
  <c r="V5" i="4"/>
  <c r="X4" i="4" l="1"/>
  <c r="AA4" i="6"/>
  <c r="AA6" i="6" s="1"/>
  <c r="Z5" i="6"/>
  <c r="Z18" i="6" s="1"/>
  <c r="Y3" i="6"/>
  <c r="W5" i="4"/>
  <c r="Y4" i="4" l="1"/>
  <c r="AB4" i="6"/>
  <c r="AB6" i="6" s="1"/>
  <c r="AA5" i="6"/>
  <c r="AA18" i="6" s="1"/>
  <c r="Z3" i="6"/>
  <c r="X5" i="4"/>
  <c r="Z4" i="4" l="1"/>
  <c r="AC4" i="6"/>
  <c r="AC6" i="6" s="1"/>
  <c r="AB5" i="6"/>
  <c r="AB18" i="6" s="1"/>
  <c r="AA3" i="6"/>
  <c r="Y5" i="4"/>
  <c r="AA4" i="4" l="1"/>
  <c r="AD4" i="6"/>
  <c r="AD6" i="6" s="1"/>
  <c r="AC5" i="6"/>
  <c r="AC18" i="6" s="1"/>
  <c r="AB3" i="6"/>
  <c r="Z5" i="4"/>
  <c r="AB4" i="4" l="1"/>
  <c r="AE4" i="6"/>
  <c r="AE6" i="6" s="1"/>
  <c r="AD5" i="6"/>
  <c r="AD18" i="6" s="1"/>
  <c r="AC3" i="6"/>
  <c r="AA5" i="4"/>
  <c r="AC4" i="4" l="1"/>
  <c r="AF4" i="6"/>
  <c r="AF6" i="6" s="1"/>
  <c r="AE5" i="6"/>
  <c r="AE18" i="6" s="1"/>
  <c r="AD3" i="6"/>
  <c r="AB5" i="4"/>
  <c r="AD4" i="4" l="1"/>
  <c r="AG4" i="6"/>
  <c r="AG6" i="6" s="1"/>
  <c r="AF5" i="6"/>
  <c r="AF18" i="6" s="1"/>
  <c r="AE3" i="6"/>
  <c r="AC5" i="4"/>
  <c r="AE4" i="4" l="1"/>
  <c r="AH4" i="6"/>
  <c r="AH6" i="6" s="1"/>
  <c r="AG5" i="6"/>
  <c r="AG18" i="6" s="1"/>
  <c r="AF3" i="6"/>
  <c r="AD5" i="4"/>
  <c r="AF4" i="4" l="1"/>
  <c r="AI4" i="6"/>
  <c r="AI6" i="6" s="1"/>
  <c r="AH5" i="6"/>
  <c r="AH18" i="6" s="1"/>
  <c r="AG3" i="6"/>
  <c r="AE5" i="4"/>
  <c r="AG4" i="4" l="1"/>
  <c r="AJ4" i="6"/>
  <c r="AJ6" i="6" s="1"/>
  <c r="AI5" i="6"/>
  <c r="AI18" i="6" s="1"/>
  <c r="AH3" i="6"/>
  <c r="AF5" i="4"/>
  <c r="AH4" i="4" l="1"/>
  <c r="AK4" i="6"/>
  <c r="AK6" i="6" s="1"/>
  <c r="AJ5" i="6"/>
  <c r="AJ18" i="6" s="1"/>
  <c r="AI3" i="6"/>
  <c r="AG5" i="4"/>
  <c r="AI4" i="4" l="1"/>
  <c r="AL4" i="6"/>
  <c r="AL6" i="6" s="1"/>
  <c r="AK5" i="6"/>
  <c r="AK18" i="6" s="1"/>
  <c r="AJ3" i="6"/>
  <c r="AH5" i="4"/>
  <c r="AJ4" i="4" l="1"/>
  <c r="AM4" i="6"/>
  <c r="AM6" i="6" s="1"/>
  <c r="AL5" i="6"/>
  <c r="AL18" i="6" s="1"/>
  <c r="AK3" i="6"/>
  <c r="AI5" i="4"/>
  <c r="AK4" i="4" l="1"/>
  <c r="AN4" i="6"/>
  <c r="AN6" i="6" s="1"/>
  <c r="AM5" i="6"/>
  <c r="AM18" i="6" s="1"/>
  <c r="AL3" i="6"/>
  <c r="AJ5" i="4"/>
  <c r="AL4" i="4" l="1"/>
  <c r="AO4" i="6"/>
  <c r="AO6" i="6" s="1"/>
  <c r="AN5" i="6"/>
  <c r="AN18" i="6" s="1"/>
  <c r="AM3" i="6"/>
  <c r="AK5" i="4"/>
  <c r="AM4" i="4" l="1"/>
  <c r="AP4" i="6"/>
  <c r="AP6" i="6" s="1"/>
  <c r="AO5" i="6"/>
  <c r="AO18" i="6" s="1"/>
  <c r="AN3" i="6"/>
  <c r="AL5" i="4"/>
  <c r="AN4" i="4" l="1"/>
  <c r="AQ4" i="6"/>
  <c r="AQ6" i="6" s="1"/>
  <c r="AP5" i="6"/>
  <c r="AP18" i="6" s="1"/>
  <c r="AO3" i="6"/>
  <c r="AM5" i="4"/>
  <c r="AO4" i="4" l="1"/>
  <c r="AR4" i="6"/>
  <c r="AR6" i="6" s="1"/>
  <c r="AQ5" i="6"/>
  <c r="AQ18" i="6" s="1"/>
  <c r="AP3" i="6"/>
  <c r="AN5" i="4"/>
  <c r="AP4" i="4" l="1"/>
  <c r="AS4" i="6"/>
  <c r="AS6" i="6" s="1"/>
  <c r="AR5" i="6"/>
  <c r="AR18" i="6" s="1"/>
  <c r="AQ3" i="6"/>
  <c r="AO5" i="4"/>
  <c r="AQ4" i="4" l="1"/>
  <c r="AT4" i="6"/>
  <c r="AT6" i="6" s="1"/>
  <c r="AS5" i="6"/>
  <c r="AS18" i="6" s="1"/>
  <c r="AR3" i="6"/>
  <c r="AP5" i="4"/>
  <c r="AR4" i="4" l="1"/>
  <c r="AU4" i="6"/>
  <c r="AU6" i="6" s="1"/>
  <c r="AT5" i="6"/>
  <c r="AT18" i="6" s="1"/>
  <c r="AS3" i="6"/>
  <c r="AQ5" i="4"/>
  <c r="AS4" i="4" l="1"/>
  <c r="AV4" i="6"/>
  <c r="AV6" i="6" s="1"/>
  <c r="AU5" i="6"/>
  <c r="AU18" i="6" s="1"/>
  <c r="AT3" i="6"/>
  <c r="AR5" i="4"/>
  <c r="AT4" i="4" l="1"/>
  <c r="AW4" i="6"/>
  <c r="AW6" i="6" s="1"/>
  <c r="AV5" i="6"/>
  <c r="AV18" i="6" s="1"/>
  <c r="AU3" i="6"/>
  <c r="AS5" i="4"/>
  <c r="AU4" i="4" l="1"/>
  <c r="AX4" i="6"/>
  <c r="AX6" i="6" s="1"/>
  <c r="AW5" i="6"/>
  <c r="AW18" i="6" s="1"/>
  <c r="AV3" i="6"/>
  <c r="AT5" i="4"/>
  <c r="AV4" i="4" l="1"/>
  <c r="AY4" i="6"/>
  <c r="AY6" i="6" s="1"/>
  <c r="AX5" i="6"/>
  <c r="AX18" i="6" s="1"/>
  <c r="AW3" i="6"/>
  <c r="AU5" i="4"/>
  <c r="AW4" i="4" l="1"/>
  <c r="AZ4" i="6"/>
  <c r="AZ6" i="6" s="1"/>
  <c r="AY5" i="6"/>
  <c r="AY18" i="6" s="1"/>
  <c r="AX3" i="6"/>
  <c r="AV5" i="4"/>
  <c r="AX4" i="4" l="1"/>
  <c r="BA4" i="6"/>
  <c r="BA6" i="6" s="1"/>
  <c r="AZ5" i="6"/>
  <c r="AZ18" i="6" s="1"/>
  <c r="AY3" i="6"/>
  <c r="AW5" i="4"/>
  <c r="AY4" i="4" l="1"/>
  <c r="BB4" i="6"/>
  <c r="BB6" i="6" s="1"/>
  <c r="BA5" i="6"/>
  <c r="BA18" i="6" s="1"/>
  <c r="AZ3" i="6"/>
  <c r="AX5" i="4"/>
  <c r="AZ4" i="4" l="1"/>
  <c r="BC4" i="6"/>
  <c r="BC6" i="6" s="1"/>
  <c r="BB5" i="6"/>
  <c r="BB18" i="6" s="1"/>
  <c r="BA3" i="6"/>
  <c r="AY5" i="4"/>
  <c r="BA4" i="4" l="1"/>
  <c r="BD4" i="6"/>
  <c r="BD6" i="6" s="1"/>
  <c r="BC5" i="6"/>
  <c r="BC18" i="6" s="1"/>
  <c r="BB3" i="6"/>
  <c r="AZ5" i="4"/>
  <c r="BB4" i="4" l="1"/>
  <c r="BE4" i="6"/>
  <c r="BE6" i="6" s="1"/>
  <c r="BD5" i="6"/>
  <c r="BD18" i="6" s="1"/>
  <c r="BC3" i="6"/>
  <c r="BA5" i="4"/>
  <c r="BC4" i="4" l="1"/>
  <c r="BF4" i="6"/>
  <c r="BF6" i="6" s="1"/>
  <c r="BE5" i="6"/>
  <c r="BE18" i="6" s="1"/>
  <c r="BD3" i="6"/>
  <c r="BB5" i="4"/>
  <c r="BG4" i="6" l="1"/>
  <c r="BG6" i="6" s="1"/>
  <c r="E20" i="1"/>
  <c r="D20" i="1"/>
  <c r="G20" i="1"/>
  <c r="B20" i="1"/>
  <c r="F20" i="1"/>
  <c r="C20" i="1"/>
  <c r="BF5" i="6"/>
  <c r="BF18" i="6" s="1"/>
  <c r="BE3" i="6"/>
  <c r="BC5" i="4"/>
  <c r="BG5" i="6" l="1"/>
  <c r="BG18" i="6" s="1"/>
  <c r="Q147" i="7" s="1" a="1"/>
  <c r="Q147" i="7" s="1"/>
  <c r="BF3" i="6"/>
  <c r="A2" i="1"/>
  <c r="Q146" i="7" l="1"/>
  <c r="R146" i="7" s="1"/>
  <c r="R147" i="7"/>
  <c r="AB147" i="7" s="1"/>
  <c r="AB146" i="7" s="1"/>
  <c r="Q167" i="7" a="1"/>
  <c r="Q167" i="7" s="1"/>
  <c r="Q113" i="7" a="1"/>
  <c r="Q113" i="7" s="1"/>
  <c r="Q114" i="7" a="1"/>
  <c r="Q114" i="7" s="1"/>
  <c r="R114" i="7" s="1"/>
  <c r="AB114" i="7" s="1"/>
  <c r="Q115" i="7" a="1"/>
  <c r="Q115" i="7" s="1"/>
  <c r="R115" i="7" s="1"/>
  <c r="AB115" i="7" s="1"/>
  <c r="Q116" i="7" a="1"/>
  <c r="Q116" i="7" s="1"/>
  <c r="R116" i="7" s="1"/>
  <c r="AB116" i="7" s="1"/>
  <c r="Q155" i="7" a="1"/>
  <c r="Q155" i="7" s="1"/>
  <c r="R155" i="7" s="1"/>
  <c r="AB155" i="7" s="1"/>
  <c r="Q190" i="7" a="1"/>
  <c r="Q190" i="7" s="1"/>
  <c r="R190" i="7" s="1"/>
  <c r="AB190" i="7" s="1"/>
  <c r="Q189" i="7" a="1"/>
  <c r="Q189" i="7" s="1"/>
  <c r="Q154" i="7" a="1"/>
  <c r="Q154" i="7" s="1"/>
  <c r="Q136" i="7" a="1"/>
  <c r="Q136" i="7" s="1"/>
  <c r="Q195" i="7" a="1"/>
  <c r="Q195" i="7" s="1"/>
  <c r="R195" i="7" s="1"/>
  <c r="AB195" i="7" s="1"/>
  <c r="Q66" i="7" a="1"/>
  <c r="Q66" i="7" s="1"/>
  <c r="Q198" i="7" a="1"/>
  <c r="Q198" i="7" s="1"/>
  <c r="R198" i="7" s="1"/>
  <c r="Q197" i="7" a="1"/>
  <c r="Q197" i="7" s="1"/>
  <c r="R197" i="7" s="1"/>
  <c r="Q192" i="7" a="1"/>
  <c r="Q192" i="7" s="1"/>
  <c r="R192" i="7" s="1"/>
  <c r="Q191" i="7" a="1"/>
  <c r="Q191" i="7" s="1"/>
  <c r="R191" i="7" s="1"/>
  <c r="Q196" i="7" a="1"/>
  <c r="Q196" i="7" s="1"/>
  <c r="R196" i="7" s="1"/>
  <c r="AB196" i="7" s="1"/>
  <c r="Q194" i="7" a="1"/>
  <c r="Q194" i="7" s="1"/>
  <c r="Q199" i="7" a="1"/>
  <c r="Q199" i="7" s="1"/>
  <c r="R199" i="7" s="1"/>
  <c r="Q178" i="7" a="1"/>
  <c r="Q178" i="7" s="1"/>
  <c r="Q179" i="7" a="1"/>
  <c r="Q179" i="7" s="1"/>
  <c r="R179" i="7" s="1"/>
  <c r="AB179" i="7" s="1"/>
  <c r="Q6" i="7" a="1"/>
  <c r="Q6" i="7" s="1"/>
  <c r="BG3" i="6"/>
  <c r="F41" i="5"/>
  <c r="F29" i="5"/>
  <c r="F31" i="5"/>
  <c r="F35" i="5"/>
  <c r="F36" i="5"/>
  <c r="F45" i="5"/>
  <c r="F32" i="5"/>
  <c r="F26" i="5"/>
  <c r="F34" i="5"/>
  <c r="F50" i="5"/>
  <c r="F37" i="5"/>
  <c r="F46" i="5"/>
  <c r="F23" i="5"/>
  <c r="F39" i="5"/>
  <c r="F27" i="5"/>
  <c r="F42" i="5"/>
  <c r="F40" i="5"/>
  <c r="F25" i="5"/>
  <c r="F28" i="5"/>
  <c r="F44" i="5"/>
  <c r="F48" i="5"/>
  <c r="F43" i="5"/>
  <c r="F38" i="5"/>
  <c r="F24" i="5"/>
  <c r="F33" i="5"/>
  <c r="F49" i="5"/>
  <c r="F22" i="5"/>
  <c r="R113" i="7" l="1"/>
  <c r="AB113" i="7" s="1"/>
  <c r="AB112" i="7" s="1"/>
  <c r="Q112" i="7"/>
  <c r="R112" i="7" s="1"/>
  <c r="R167" i="7"/>
  <c r="AB167" i="7" s="1"/>
  <c r="AB166" i="7" s="1"/>
  <c r="Q166" i="7"/>
  <c r="R166" i="7" s="1"/>
  <c r="Q5" i="7"/>
  <c r="R5" i="7" s="1"/>
  <c r="R6" i="7"/>
  <c r="AB6" i="7" s="1"/>
  <c r="AB5" i="7" s="1"/>
  <c r="Q177" i="7"/>
  <c r="R177" i="7" s="1"/>
  <c r="R178" i="7"/>
  <c r="AB178" i="7" s="1"/>
  <c r="AB177" i="7" s="1"/>
  <c r="Q193" i="7"/>
  <c r="R193" i="7" s="1"/>
  <c r="R194" i="7"/>
  <c r="AB194" i="7" s="1"/>
  <c r="AB193" i="7" s="1"/>
  <c r="Q65" i="7"/>
  <c r="R65" i="7" s="1"/>
  <c r="R66" i="7"/>
  <c r="AB66" i="7" s="1"/>
  <c r="AB65" i="7" s="1"/>
  <c r="R136" i="7"/>
  <c r="AB136" i="7" s="1"/>
  <c r="AB135" i="7" s="1"/>
  <c r="Q135" i="7"/>
  <c r="R135" i="7" s="1"/>
  <c r="R154" i="7"/>
  <c r="AB154" i="7" s="1"/>
  <c r="AB153" i="7" s="1"/>
  <c r="Q153" i="7"/>
  <c r="R153" i="7" s="1"/>
  <c r="Q188" i="7"/>
  <c r="R188" i="7" s="1"/>
  <c r="R189" i="7"/>
  <c r="AB189" i="7" s="1"/>
  <c r="AB188" i="7" s="1"/>
  <c r="D33" i="5"/>
  <c r="D37" i="5"/>
  <c r="D46" i="5"/>
  <c r="D27" i="5"/>
  <c r="D22" i="5"/>
  <c r="D25" i="5"/>
  <c r="D47" i="5"/>
  <c r="D36" i="5"/>
  <c r="D49" i="5"/>
  <c r="D34" i="5" l="1"/>
  <c r="D43" i="5"/>
  <c r="D40" i="5"/>
  <c r="D32" i="5"/>
  <c r="D26" i="5"/>
  <c r="D38" i="5"/>
  <c r="E13" i="5"/>
  <c r="E14" i="5"/>
  <c r="F7" i="5"/>
  <c r="H7" i="5" s="1"/>
  <c r="D7" i="5"/>
  <c r="D41" i="5"/>
  <c r="D31" i="5"/>
  <c r="D24" i="5"/>
  <c r="D29" i="5"/>
  <c r="D45" i="5"/>
  <c r="E15" i="5"/>
  <c r="E7" i="5"/>
  <c r="C6" i="5"/>
  <c r="E17" i="5"/>
  <c r="D42" i="5"/>
  <c r="F6" i="5"/>
  <c r="D39" i="5"/>
  <c r="D23" i="5"/>
  <c r="D28" i="5"/>
  <c r="G50" i="5"/>
  <c r="L50" i="5" s="1"/>
  <c r="G42" i="5"/>
  <c r="D48" i="5"/>
  <c r="D35" i="5"/>
  <c r="C7" i="5"/>
  <c r="G36" i="5"/>
  <c r="D50" i="5"/>
  <c r="D44" i="5"/>
  <c r="G47" i="5" l="1"/>
  <c r="G38" i="5"/>
  <c r="L38" i="5" s="1"/>
  <c r="H38" i="5"/>
  <c r="J38" i="5" s="1"/>
  <c r="G31" i="5"/>
  <c r="L31" i="5" s="1"/>
  <c r="G25" i="5"/>
  <c r="L25" i="5" s="1"/>
  <c r="G44" i="5"/>
  <c r="H37" i="5"/>
  <c r="J37" i="5" s="1"/>
  <c r="H42" i="5"/>
  <c r="J42" i="5" s="1"/>
  <c r="L42" i="5" s="1"/>
  <c r="H47" i="5"/>
  <c r="G32" i="5"/>
  <c r="L32" i="5" s="1"/>
  <c r="AF81" i="4"/>
  <c r="AJ10" i="6" s="1"/>
  <c r="AB82" i="4"/>
  <c r="G7" i="5"/>
  <c r="E92" i="4"/>
  <c r="M72" i="4"/>
  <c r="P90" i="4"/>
  <c r="BC73" i="4"/>
  <c r="AO84" i="4"/>
  <c r="AS13" i="6" s="1"/>
  <c r="AY76" i="4"/>
  <c r="AC73" i="4"/>
  <c r="S73" i="4"/>
  <c r="AA84" i="4"/>
  <c r="AE13" i="6" s="1"/>
  <c r="AS90" i="4"/>
  <c r="AC88" i="4"/>
  <c r="C9" i="5"/>
  <c r="AV84" i="4"/>
  <c r="AZ13" i="6" s="1"/>
  <c r="AV92" i="4"/>
  <c r="AV76" i="4"/>
  <c r="AH84" i="4"/>
  <c r="AL13" i="6" s="1"/>
  <c r="AH92" i="4"/>
  <c r="AH76" i="4"/>
  <c r="G22" i="5"/>
  <c r="D6" i="5"/>
  <c r="D9" i="5" s="1"/>
  <c r="G27" i="5"/>
  <c r="L27" i="5" s="1"/>
  <c r="AG80" i="4"/>
  <c r="AG88" i="4"/>
  <c r="AG72" i="4"/>
  <c r="AZ90" i="4"/>
  <c r="AZ74" i="4"/>
  <c r="AZ82" i="4"/>
  <c r="BD11" i="6" s="1"/>
  <c r="D89" i="4"/>
  <c r="D73" i="4"/>
  <c r="D81" i="4"/>
  <c r="G41" i="5"/>
  <c r="O84" i="4"/>
  <c r="S13" i="6" s="1"/>
  <c r="O76" i="4"/>
  <c r="O92" i="4"/>
  <c r="G24" i="5"/>
  <c r="L24" i="5" s="1"/>
  <c r="BB92" i="4"/>
  <c r="BB76" i="4"/>
  <c r="BB84" i="4"/>
  <c r="BF13" i="6" s="1"/>
  <c r="G35" i="5"/>
  <c r="L35" i="5" s="1"/>
  <c r="G33" i="5"/>
  <c r="L33" i="5" s="1"/>
  <c r="G28" i="5"/>
  <c r="L28" i="5" s="1"/>
  <c r="H44" i="5"/>
  <c r="AE72" i="4"/>
  <c r="AE80" i="4"/>
  <c r="AE88" i="4"/>
  <c r="G40" i="5"/>
  <c r="L40" i="5" s="1"/>
  <c r="G37" i="5"/>
  <c r="L37" i="5" s="1"/>
  <c r="H32" i="5"/>
  <c r="J32" i="5" s="1"/>
  <c r="H22" i="5"/>
  <c r="E6" i="5"/>
  <c r="E9" i="5" s="1"/>
  <c r="B11" i="1" s="1"/>
  <c r="G34" i="5"/>
  <c r="L34" i="5" s="1"/>
  <c r="H26" i="5"/>
  <c r="J26" i="5" s="1"/>
  <c r="H40" i="5"/>
  <c r="J40" i="5" s="1"/>
  <c r="I82" i="4"/>
  <c r="M11" i="6" s="1"/>
  <c r="I74" i="4"/>
  <c r="I90" i="4"/>
  <c r="G43" i="5"/>
  <c r="L43" i="5" s="1"/>
  <c r="H39" i="5"/>
  <c r="H25" i="5"/>
  <c r="J25" i="5" s="1"/>
  <c r="G39" i="5"/>
  <c r="H43" i="5"/>
  <c r="J43" i="5" s="1"/>
  <c r="E18" i="5"/>
  <c r="F16" i="5" s="1"/>
  <c r="B5" i="1"/>
  <c r="G29" i="5"/>
  <c r="L29" i="5" s="1"/>
  <c r="H35" i="5"/>
  <c r="J35" i="5" s="1"/>
  <c r="H31" i="5"/>
  <c r="J31" i="5" s="1"/>
  <c r="H28" i="5"/>
  <c r="J28" i="5" s="1"/>
  <c r="H41" i="5"/>
  <c r="D18" i="5"/>
  <c r="H29" i="5"/>
  <c r="H33" i="5"/>
  <c r="J33" i="5" s="1"/>
  <c r="G26" i="5"/>
  <c r="L26" i="5" s="1"/>
  <c r="G48" i="5"/>
  <c r="F9" i="5"/>
  <c r="H36" i="5"/>
  <c r="H46" i="5"/>
  <c r="H45" i="5"/>
  <c r="H23" i="5"/>
  <c r="H48" i="5"/>
  <c r="H24" i="5"/>
  <c r="J24" i="5" s="1"/>
  <c r="H50" i="5"/>
  <c r="H49" i="5"/>
  <c r="G46" i="5"/>
  <c r="G23" i="5"/>
  <c r="G45" i="5"/>
  <c r="L45" i="5" s="1"/>
  <c r="G49" i="5"/>
  <c r="H27" i="5"/>
  <c r="J27" i="5" s="1"/>
  <c r="AO80" i="4"/>
  <c r="AO72" i="4"/>
  <c r="AO88" i="4"/>
  <c r="H34" i="5"/>
  <c r="J34" i="5" s="1"/>
  <c r="J39" i="5" l="1"/>
  <c r="L39" i="5" s="1"/>
  <c r="K39" i="5"/>
  <c r="J23" i="5"/>
  <c r="K23" i="5"/>
  <c r="L23" i="5"/>
  <c r="AO92" i="4"/>
  <c r="P74" i="4"/>
  <c r="BC81" i="4"/>
  <c r="BG10" i="6" s="1"/>
  <c r="BC89" i="4"/>
  <c r="P82" i="4"/>
  <c r="T11" i="6" s="1"/>
  <c r="E76" i="4"/>
  <c r="AY92" i="4"/>
  <c r="AO76" i="4"/>
  <c r="AY84" i="4"/>
  <c r="BC13" i="6" s="1"/>
  <c r="AB90" i="4"/>
  <c r="AB74" i="4"/>
  <c r="AS74" i="4"/>
  <c r="AS82" i="4"/>
  <c r="AW11" i="6" s="1"/>
  <c r="AC89" i="4"/>
  <c r="E84" i="4"/>
  <c r="I13" i="6" s="1"/>
  <c r="K42" i="5"/>
  <c r="AF73" i="4"/>
  <c r="AF89" i="4"/>
  <c r="J46" i="5"/>
  <c r="L46" i="5" s="1"/>
  <c r="K46" i="5"/>
  <c r="J47" i="5"/>
  <c r="L47" i="5" s="1"/>
  <c r="K47" i="5"/>
  <c r="S81" i="4"/>
  <c r="W10" i="6" s="1"/>
  <c r="AC81" i="4"/>
  <c r="AG10" i="6" s="1"/>
  <c r="AC72" i="4"/>
  <c r="S89" i="4"/>
  <c r="AC80" i="4"/>
  <c r="AG9" i="6" s="1"/>
  <c r="M88" i="4"/>
  <c r="M80" i="4"/>
  <c r="Q9" i="6" s="1"/>
  <c r="AA76" i="4"/>
  <c r="AA92" i="4"/>
  <c r="H6" i="5"/>
  <c r="AE61" i="4"/>
  <c r="AE85" i="4" s="1"/>
  <c r="AI14" i="6" s="1"/>
  <c r="AG61" i="4"/>
  <c r="AG77" i="4" s="1"/>
  <c r="G6" i="5"/>
  <c r="AU82" i="4"/>
  <c r="AY11" i="6" s="1"/>
  <c r="AU74" i="4"/>
  <c r="AU90" i="4"/>
  <c r="U72" i="4"/>
  <c r="U80" i="4"/>
  <c r="U88" i="4"/>
  <c r="U61" i="4"/>
  <c r="AB81" i="4"/>
  <c r="AB89" i="4"/>
  <c r="AB73" i="4"/>
  <c r="AT82" i="4"/>
  <c r="AX11" i="6" s="1"/>
  <c r="AT74" i="4"/>
  <c r="AT90" i="4"/>
  <c r="K48" i="5"/>
  <c r="J48" i="5"/>
  <c r="L48" i="5" s="1"/>
  <c r="Q80" i="4"/>
  <c r="Q61" i="4"/>
  <c r="Q88" i="4"/>
  <c r="Q72" i="4"/>
  <c r="D76" i="4"/>
  <c r="D92" i="4"/>
  <c r="C60" i="4"/>
  <c r="B60" i="4"/>
  <c r="B84" i="4"/>
  <c r="D84" i="4"/>
  <c r="V82" i="4"/>
  <c r="Z11" i="6" s="1"/>
  <c r="V74" i="4"/>
  <c r="V90" i="4"/>
  <c r="M90" i="4"/>
  <c r="M82" i="4"/>
  <c r="Q11" i="6" s="1"/>
  <c r="M74" i="4"/>
  <c r="AO74" i="4"/>
  <c r="AO90" i="4"/>
  <c r="AO82" i="4"/>
  <c r="AS11" i="6" s="1"/>
  <c r="AC74" i="4"/>
  <c r="AC90" i="4"/>
  <c r="AC82" i="4"/>
  <c r="AG11" i="6" s="1"/>
  <c r="K44" i="5"/>
  <c r="J44" i="5"/>
  <c r="L44" i="5" s="1"/>
  <c r="Y61" i="4"/>
  <c r="Y80" i="4"/>
  <c r="Y88" i="4"/>
  <c r="Y72" i="4"/>
  <c r="AP74" i="4"/>
  <c r="AP90" i="4"/>
  <c r="AP82" i="4"/>
  <c r="AT11" i="6" s="1"/>
  <c r="X92" i="4"/>
  <c r="X76" i="4"/>
  <c r="X84" i="4"/>
  <c r="AB13" i="6" s="1"/>
  <c r="R81" i="4"/>
  <c r="V10" i="6" s="1"/>
  <c r="R73" i="4"/>
  <c r="R89" i="4"/>
  <c r="E73" i="4"/>
  <c r="E81" i="4"/>
  <c r="I10" i="6" s="1"/>
  <c r="E89" i="4"/>
  <c r="AH73" i="4"/>
  <c r="AH81" i="4"/>
  <c r="AL10" i="6" s="1"/>
  <c r="AH89" i="4"/>
  <c r="V84" i="4"/>
  <c r="Z13" i="6" s="1"/>
  <c r="V92" i="4"/>
  <c r="V76" i="4"/>
  <c r="AL61" i="4"/>
  <c r="AL80" i="4"/>
  <c r="AL88" i="4"/>
  <c r="AL72" i="4"/>
  <c r="AQ61" i="4"/>
  <c r="AQ72" i="4"/>
  <c r="AQ80" i="4"/>
  <c r="AQ88" i="4"/>
  <c r="AX84" i="4"/>
  <c r="BB13" i="6" s="1"/>
  <c r="AX76" i="4"/>
  <c r="AX92" i="4"/>
  <c r="G88" i="4"/>
  <c r="G72" i="4"/>
  <c r="G80" i="4"/>
  <c r="G61" i="4"/>
  <c r="AJ84" i="4"/>
  <c r="AN13" i="6" s="1"/>
  <c r="AJ76" i="4"/>
  <c r="AJ92" i="4"/>
  <c r="AR61" i="4"/>
  <c r="AR88" i="4"/>
  <c r="AR80" i="4"/>
  <c r="AR72" i="4"/>
  <c r="AR81" i="4"/>
  <c r="AV10" i="6" s="1"/>
  <c r="AR89" i="4"/>
  <c r="AR73" i="4"/>
  <c r="Y89" i="4"/>
  <c r="Y73" i="4"/>
  <c r="Y81" i="4"/>
  <c r="AC10" i="6" s="1"/>
  <c r="AS88" i="4"/>
  <c r="AS72" i="4"/>
  <c r="AS61" i="4"/>
  <c r="AS80" i="4"/>
  <c r="AA82" i="4"/>
  <c r="AE11" i="6" s="1"/>
  <c r="AA90" i="4"/>
  <c r="AA74" i="4"/>
  <c r="L72" i="4"/>
  <c r="L88" i="4"/>
  <c r="L80" i="4"/>
  <c r="L61" i="4"/>
  <c r="H74" i="4"/>
  <c r="H82" i="4"/>
  <c r="L11" i="6" s="1"/>
  <c r="H90" i="4"/>
  <c r="AP80" i="4"/>
  <c r="AP61" i="4"/>
  <c r="AP88" i="4"/>
  <c r="AP72" i="4"/>
  <c r="P80" i="4"/>
  <c r="P72" i="4"/>
  <c r="P88" i="4"/>
  <c r="P61" i="4"/>
  <c r="T92" i="4"/>
  <c r="T84" i="4"/>
  <c r="X13" i="6" s="1"/>
  <c r="T76" i="4"/>
  <c r="U92" i="4"/>
  <c r="U84" i="4"/>
  <c r="Y13" i="6" s="1"/>
  <c r="U76" i="4"/>
  <c r="N88" i="4"/>
  <c r="N61" i="4"/>
  <c r="N72" i="4"/>
  <c r="N80" i="4"/>
  <c r="P81" i="4"/>
  <c r="P89" i="4"/>
  <c r="P73" i="4"/>
  <c r="AC61" i="4"/>
  <c r="AK88" i="4"/>
  <c r="AK61" i="4"/>
  <c r="AK72" i="4"/>
  <c r="AK80" i="4"/>
  <c r="E88" i="4"/>
  <c r="E72" i="4"/>
  <c r="E80" i="4"/>
  <c r="E61" i="4"/>
  <c r="W84" i="4"/>
  <c r="AA13" i="6" s="1"/>
  <c r="W76" i="4"/>
  <c r="W92" i="4"/>
  <c r="AF11" i="6"/>
  <c r="N74" i="4"/>
  <c r="N90" i="4"/>
  <c r="N82" i="4"/>
  <c r="R11" i="6" s="1"/>
  <c r="D90" i="4"/>
  <c r="D74" i="4"/>
  <c r="C58" i="4"/>
  <c r="D82" i="4"/>
  <c r="B58" i="4"/>
  <c r="B82" i="4"/>
  <c r="Z84" i="4"/>
  <c r="AD13" i="6" s="1"/>
  <c r="Z92" i="4"/>
  <c r="Z76" i="4"/>
  <c r="AK76" i="4"/>
  <c r="AK84" i="4"/>
  <c r="AO13" i="6" s="1"/>
  <c r="AK92" i="4"/>
  <c r="M84" i="4"/>
  <c r="Q13" i="6" s="1"/>
  <c r="M76" i="4"/>
  <c r="M92" i="4"/>
  <c r="W82" i="4"/>
  <c r="AA11" i="6" s="1"/>
  <c r="W90" i="4"/>
  <c r="W74" i="4"/>
  <c r="AJ80" i="4"/>
  <c r="AJ61" i="4"/>
  <c r="AJ88" i="4"/>
  <c r="AJ72" i="4"/>
  <c r="AF82" i="4"/>
  <c r="AJ11" i="6" s="1"/>
  <c r="AF90" i="4"/>
  <c r="AF74" i="4"/>
  <c r="AU73" i="4"/>
  <c r="AU89" i="4"/>
  <c r="AU81" i="4"/>
  <c r="AY10" i="6" s="1"/>
  <c r="K45" i="5"/>
  <c r="J45" i="5"/>
  <c r="AV73" i="4"/>
  <c r="AV89" i="4"/>
  <c r="AV81" i="4"/>
  <c r="AZ10" i="6" s="1"/>
  <c r="X90" i="4"/>
  <c r="X82" i="4"/>
  <c r="AB11" i="6" s="1"/>
  <c r="X74" i="4"/>
  <c r="AN74" i="4"/>
  <c r="AN90" i="4"/>
  <c r="AN82" i="4"/>
  <c r="AR11" i="6" s="1"/>
  <c r="AZ88" i="4"/>
  <c r="AZ80" i="4"/>
  <c r="AZ61" i="4"/>
  <c r="AZ72" i="4"/>
  <c r="K92" i="4"/>
  <c r="K76" i="4"/>
  <c r="K84" i="4"/>
  <c r="O13" i="6" s="1"/>
  <c r="AN84" i="4"/>
  <c r="AR13" i="6" s="1"/>
  <c r="AN76" i="4"/>
  <c r="AN92" i="4"/>
  <c r="AK9" i="6"/>
  <c r="BA72" i="4"/>
  <c r="BA80" i="4"/>
  <c r="BA88" i="4"/>
  <c r="BA61" i="4"/>
  <c r="N81" i="4"/>
  <c r="R10" i="6" s="1"/>
  <c r="N89" i="4"/>
  <c r="N73" i="4"/>
  <c r="AR92" i="4"/>
  <c r="AR84" i="4"/>
  <c r="AV13" i="6" s="1"/>
  <c r="AR76" i="4"/>
  <c r="AA89" i="4"/>
  <c r="AA73" i="4"/>
  <c r="AA81" i="4"/>
  <c r="AE10" i="6" s="1"/>
  <c r="BC74" i="4"/>
  <c r="BC90" i="4"/>
  <c r="BC82" i="4"/>
  <c r="BG11" i="6" s="1"/>
  <c r="G84" i="4"/>
  <c r="K13" i="6" s="1"/>
  <c r="G76" i="4"/>
  <c r="G92" i="4"/>
  <c r="AX90" i="4"/>
  <c r="AX82" i="4"/>
  <c r="BB11" i="6" s="1"/>
  <c r="AX74" i="4"/>
  <c r="AC76" i="4"/>
  <c r="AC84" i="4"/>
  <c r="AG13" i="6" s="1"/>
  <c r="AC92" i="4"/>
  <c r="Z90" i="4"/>
  <c r="Z82" i="4"/>
  <c r="AD11" i="6" s="1"/>
  <c r="Z74" i="4"/>
  <c r="BC80" i="4"/>
  <c r="BC88" i="4"/>
  <c r="BC72" i="4"/>
  <c r="BC61" i="4"/>
  <c r="AG89" i="4"/>
  <c r="AG81" i="4"/>
  <c r="AK10" i="6" s="1"/>
  <c r="AG73" i="4"/>
  <c r="AM80" i="4"/>
  <c r="AM61" i="4"/>
  <c r="AM88" i="4"/>
  <c r="AM72" i="4"/>
  <c r="AB92" i="4"/>
  <c r="AB84" i="4"/>
  <c r="AB76" i="4"/>
  <c r="R92" i="4"/>
  <c r="R84" i="4"/>
  <c r="V13" i="6" s="1"/>
  <c r="R76" i="4"/>
  <c r="AH72" i="4"/>
  <c r="AH61" i="4"/>
  <c r="AH80" i="4"/>
  <c r="AH88" i="4"/>
  <c r="AD92" i="4"/>
  <c r="AD84" i="4"/>
  <c r="AH13" i="6" s="1"/>
  <c r="AD76" i="4"/>
  <c r="AM81" i="4"/>
  <c r="AQ10" i="6" s="1"/>
  <c r="AM89" i="4"/>
  <c r="AM73" i="4"/>
  <c r="AW74" i="4"/>
  <c r="AW82" i="4"/>
  <c r="BA11" i="6" s="1"/>
  <c r="AW90" i="4"/>
  <c r="AQ92" i="4"/>
  <c r="AQ76" i="4"/>
  <c r="AQ84" i="4"/>
  <c r="AU13" i="6" s="1"/>
  <c r="AU92" i="4"/>
  <c r="AU84" i="4"/>
  <c r="AY13" i="6" s="1"/>
  <c r="AU76" i="4"/>
  <c r="AG74" i="4"/>
  <c r="AG82" i="4"/>
  <c r="AK11" i="6" s="1"/>
  <c r="AG90" i="4"/>
  <c r="J84" i="4"/>
  <c r="N13" i="6" s="1"/>
  <c r="J76" i="4"/>
  <c r="J92" i="4"/>
  <c r="P92" i="4"/>
  <c r="P84" i="4"/>
  <c r="P76" i="4"/>
  <c r="AE92" i="4"/>
  <c r="AE76" i="4"/>
  <c r="AE84" i="4"/>
  <c r="AI13" i="6" s="1"/>
  <c r="AR74" i="4"/>
  <c r="AR82" i="4"/>
  <c r="AV11" i="6" s="1"/>
  <c r="AR90" i="4"/>
  <c r="AN80" i="4"/>
  <c r="AN61" i="4"/>
  <c r="AN72" i="4"/>
  <c r="AN88" i="4"/>
  <c r="Q92" i="4"/>
  <c r="Q84" i="4"/>
  <c r="U13" i="6" s="1"/>
  <c r="Q76" i="4"/>
  <c r="AV74" i="4"/>
  <c r="AV90" i="4"/>
  <c r="AV82" i="4"/>
  <c r="AZ11" i="6" s="1"/>
  <c r="F90" i="4"/>
  <c r="F82" i="4"/>
  <c r="J11" i="6" s="1"/>
  <c r="F74" i="4"/>
  <c r="L74" i="4"/>
  <c r="L90" i="4"/>
  <c r="L82" i="4"/>
  <c r="P11" i="6" s="1"/>
  <c r="O74" i="4"/>
  <c r="O82" i="4"/>
  <c r="S11" i="6" s="1"/>
  <c r="O90" i="4"/>
  <c r="AI61" i="4"/>
  <c r="AI80" i="4"/>
  <c r="AI72" i="4"/>
  <c r="AI88" i="4"/>
  <c r="G89" i="4"/>
  <c r="G73" i="4"/>
  <c r="G81" i="4"/>
  <c r="K10" i="6" s="1"/>
  <c r="AI82" i="4"/>
  <c r="AM11" i="6" s="1"/>
  <c r="AI74" i="4"/>
  <c r="AI90" i="4"/>
  <c r="AX89" i="4"/>
  <c r="AX81" i="4"/>
  <c r="BB10" i="6" s="1"/>
  <c r="AX73" i="4"/>
  <c r="AW89" i="4"/>
  <c r="AW81" i="4"/>
  <c r="BA10" i="6" s="1"/>
  <c r="AW73" i="4"/>
  <c r="AK82" i="4"/>
  <c r="AO11" i="6" s="1"/>
  <c r="AK90" i="4"/>
  <c r="AK74" i="4"/>
  <c r="AW76" i="4"/>
  <c r="AW84" i="4"/>
  <c r="BA13" i="6" s="1"/>
  <c r="AW92" i="4"/>
  <c r="AP73" i="4"/>
  <c r="AP89" i="4"/>
  <c r="AP81" i="4"/>
  <c r="AT10" i="6" s="1"/>
  <c r="AV72" i="4"/>
  <c r="AV80" i="4"/>
  <c r="AV61" i="4"/>
  <c r="AV88" i="4"/>
  <c r="J89" i="4"/>
  <c r="J81" i="4"/>
  <c r="N10" i="6" s="1"/>
  <c r="J73" i="4"/>
  <c r="R80" i="4"/>
  <c r="R61" i="4"/>
  <c r="R88" i="4"/>
  <c r="R72" i="4"/>
  <c r="AS73" i="4"/>
  <c r="AS89" i="4"/>
  <c r="AS81" i="4"/>
  <c r="AW10" i="6" s="1"/>
  <c r="AI92" i="4"/>
  <c r="AI84" i="4"/>
  <c r="AM13" i="6" s="1"/>
  <c r="AI76" i="4"/>
  <c r="AM84" i="4"/>
  <c r="AQ13" i="6" s="1"/>
  <c r="AM76" i="4"/>
  <c r="AM92" i="4"/>
  <c r="S80" i="4"/>
  <c r="S88" i="4"/>
  <c r="S72" i="4"/>
  <c r="S61" i="4"/>
  <c r="AI89" i="4"/>
  <c r="AI73" i="4"/>
  <c r="AI81" i="4"/>
  <c r="AM10" i="6" s="1"/>
  <c r="F92" i="4"/>
  <c r="F76" i="4"/>
  <c r="F84" i="4"/>
  <c r="J13" i="6" s="1"/>
  <c r="H92" i="4"/>
  <c r="H84" i="4"/>
  <c r="L13" i="6" s="1"/>
  <c r="H76" i="4"/>
  <c r="G74" i="4"/>
  <c r="G82" i="4"/>
  <c r="K11" i="6" s="1"/>
  <c r="G90" i="4"/>
  <c r="H81" i="4"/>
  <c r="L10" i="6" s="1"/>
  <c r="H73" i="4"/>
  <c r="H89" i="4"/>
  <c r="Q89" i="4"/>
  <c r="Q73" i="4"/>
  <c r="Q81" i="4"/>
  <c r="U10" i="6" s="1"/>
  <c r="AS92" i="4"/>
  <c r="AS84" i="4"/>
  <c r="AW13" i="6" s="1"/>
  <c r="AS76" i="4"/>
  <c r="BC84" i="4"/>
  <c r="BG13" i="6" s="1"/>
  <c r="BC92" i="4"/>
  <c r="BC76" i="4"/>
  <c r="AP76" i="4"/>
  <c r="AP84" i="4"/>
  <c r="AT13" i="6" s="1"/>
  <c r="AP92" i="4"/>
  <c r="B57" i="4"/>
  <c r="T81" i="4"/>
  <c r="X10" i="6" s="1"/>
  <c r="T73" i="4"/>
  <c r="T89" i="4"/>
  <c r="AF92" i="4"/>
  <c r="AF76" i="4"/>
  <c r="AF84" i="4"/>
  <c r="AJ13" i="6" s="1"/>
  <c r="O61" i="4"/>
  <c r="O80" i="4"/>
  <c r="O88" i="4"/>
  <c r="O72" i="4"/>
  <c r="BB90" i="4"/>
  <c r="BB74" i="4"/>
  <c r="BB82" i="4"/>
  <c r="BF11" i="6" s="1"/>
  <c r="Y90" i="4"/>
  <c r="Y74" i="4"/>
  <c r="Y82" i="4"/>
  <c r="AC11" i="6" s="1"/>
  <c r="AF61" i="4"/>
  <c r="AF80" i="4"/>
  <c r="AF88" i="4"/>
  <c r="AF72" i="4"/>
  <c r="C57" i="4"/>
  <c r="AM82" i="4"/>
  <c r="AQ11" i="6" s="1"/>
  <c r="AM90" i="4"/>
  <c r="AM74" i="4"/>
  <c r="K82" i="4"/>
  <c r="O11" i="6" s="1"/>
  <c r="K74" i="4"/>
  <c r="K90" i="4"/>
  <c r="K72" i="4"/>
  <c r="K80" i="4"/>
  <c r="K88" i="4"/>
  <c r="K61" i="4"/>
  <c r="F72" i="4"/>
  <c r="F88" i="4"/>
  <c r="F80" i="4"/>
  <c r="F61" i="4"/>
  <c r="T90" i="4"/>
  <c r="T74" i="4"/>
  <c r="T82" i="4"/>
  <c r="X11" i="6" s="1"/>
  <c r="AO73" i="4"/>
  <c r="AO81" i="4"/>
  <c r="AS10" i="6" s="1"/>
  <c r="AO89" i="4"/>
  <c r="H10" i="6"/>
  <c r="AD81" i="4"/>
  <c r="AH10" i="6" s="1"/>
  <c r="AD89" i="4"/>
  <c r="AD73" i="4"/>
  <c r="J29" i="5"/>
  <c r="K29" i="5"/>
  <c r="BB73" i="4"/>
  <c r="BB81" i="4"/>
  <c r="BF10" i="6" s="1"/>
  <c r="BB89" i="4"/>
  <c r="K41" i="5"/>
  <c r="J41" i="5"/>
  <c r="L41" i="5" s="1"/>
  <c r="AL90" i="4"/>
  <c r="AL74" i="4"/>
  <c r="AL82" i="4"/>
  <c r="AP11" i="6" s="1"/>
  <c r="AW61" i="4"/>
  <c r="AW88" i="4"/>
  <c r="AW80" i="4"/>
  <c r="AW72" i="4"/>
  <c r="AG92" i="4"/>
  <c r="AG76" i="4"/>
  <c r="AG84" i="4"/>
  <c r="AK13" i="6" s="1"/>
  <c r="AI9" i="6"/>
  <c r="AQ81" i="4"/>
  <c r="AU10" i="6" s="1"/>
  <c r="AQ73" i="4"/>
  <c r="AQ89" i="4"/>
  <c r="B81" i="4"/>
  <c r="X81" i="4"/>
  <c r="AB10" i="6" s="1"/>
  <c r="X73" i="4"/>
  <c r="X89" i="4"/>
  <c r="AT76" i="4"/>
  <c r="AT92" i="4"/>
  <c r="AT84" i="4"/>
  <c r="AX13" i="6" s="1"/>
  <c r="K36" i="5"/>
  <c r="J36" i="5"/>
  <c r="L36" i="5" s="1"/>
  <c r="K50" i="5"/>
  <c r="J50" i="5"/>
  <c r="F81" i="4"/>
  <c r="J10" i="6" s="1"/>
  <c r="F73" i="4"/>
  <c r="F89" i="4"/>
  <c r="W81" i="4"/>
  <c r="AA10" i="6" s="1"/>
  <c r="W73" i="4"/>
  <c r="W89" i="4"/>
  <c r="H72" i="4"/>
  <c r="H88" i="4"/>
  <c r="H61" i="4"/>
  <c r="H80" i="4"/>
  <c r="M89" i="4"/>
  <c r="M73" i="4"/>
  <c r="M81" i="4"/>
  <c r="Q10" i="6" s="1"/>
  <c r="AJ81" i="4"/>
  <c r="AN10" i="6" s="1"/>
  <c r="AJ73" i="4"/>
  <c r="AJ89" i="4"/>
  <c r="AZ92" i="4"/>
  <c r="AZ76" i="4"/>
  <c r="AZ84" i="4"/>
  <c r="BD13" i="6" s="1"/>
  <c r="AU88" i="4"/>
  <c r="AU72" i="4"/>
  <c r="AU80" i="4"/>
  <c r="AU61" i="4"/>
  <c r="I81" i="4"/>
  <c r="M10" i="6" s="1"/>
  <c r="I89" i="4"/>
  <c r="I73" i="4"/>
  <c r="C18" i="5"/>
  <c r="K49" i="5"/>
  <c r="J49" i="5"/>
  <c r="L49" i="5" s="1"/>
  <c r="S82" i="4"/>
  <c r="W11" i="6" s="1"/>
  <c r="S90" i="4"/>
  <c r="S74" i="4"/>
  <c r="R90" i="4"/>
  <c r="R82" i="4"/>
  <c r="V11" i="6" s="1"/>
  <c r="R74" i="4"/>
  <c r="AB72" i="4"/>
  <c r="AB61" i="4"/>
  <c r="AB88" i="4"/>
  <c r="AB80" i="4"/>
  <c r="AA61" i="4"/>
  <c r="AA72" i="4"/>
  <c r="AA88" i="4"/>
  <c r="AA80" i="4"/>
  <c r="T88" i="4"/>
  <c r="T61" i="4"/>
  <c r="T80" i="4"/>
  <c r="T72" i="4"/>
  <c r="M61" i="4"/>
  <c r="I92" i="4"/>
  <c r="I76" i="4"/>
  <c r="I84" i="4"/>
  <c r="M13" i="6" s="1"/>
  <c r="F15" i="5"/>
  <c r="F17" i="5"/>
  <c r="F14" i="5"/>
  <c r="F13" i="5"/>
  <c r="S76" i="4"/>
  <c r="S92" i="4"/>
  <c r="S84" i="4"/>
  <c r="W13" i="6" s="1"/>
  <c r="N76" i="4"/>
  <c r="N84" i="4"/>
  <c r="R13" i="6" s="1"/>
  <c r="N92" i="4"/>
  <c r="AY61" i="4"/>
  <c r="AY72" i="4"/>
  <c r="AY80" i="4"/>
  <c r="AY88" i="4"/>
  <c r="E74" i="4"/>
  <c r="E82" i="4"/>
  <c r="I11" i="6" s="1"/>
  <c r="E90" i="4"/>
  <c r="AE81" i="4"/>
  <c r="AI10" i="6" s="1"/>
  <c r="AE89" i="4"/>
  <c r="AE73" i="4"/>
  <c r="L84" i="4"/>
  <c r="P13" i="6" s="1"/>
  <c r="L76" i="4"/>
  <c r="L92" i="4"/>
  <c r="AY73" i="4"/>
  <c r="AY81" i="4"/>
  <c r="BC10" i="6" s="1"/>
  <c r="AY89" i="4"/>
  <c r="AY82" i="4"/>
  <c r="BC11" i="6" s="1"/>
  <c r="AY90" i="4"/>
  <c r="AY74" i="4"/>
  <c r="J90" i="4"/>
  <c r="J82" i="4"/>
  <c r="N11" i="6" s="1"/>
  <c r="J74" i="4"/>
  <c r="W88" i="4"/>
  <c r="W80" i="4"/>
  <c r="W72" i="4"/>
  <c r="W61" i="4"/>
  <c r="AZ89" i="4"/>
  <c r="AZ81" i="4"/>
  <c r="BD10" i="6" s="1"/>
  <c r="AZ73" i="4"/>
  <c r="Z81" i="4"/>
  <c r="AD10" i="6" s="1"/>
  <c r="Z89" i="4"/>
  <c r="Z73" i="4"/>
  <c r="AQ82" i="4"/>
  <c r="AU11" i="6" s="1"/>
  <c r="AQ74" i="4"/>
  <c r="AQ90" i="4"/>
  <c r="D72" i="4"/>
  <c r="D88" i="4"/>
  <c r="B56" i="4"/>
  <c r="D61" i="4"/>
  <c r="D80" i="4"/>
  <c r="C56" i="4"/>
  <c r="B80" i="4"/>
  <c r="AX72" i="4"/>
  <c r="AX80" i="4"/>
  <c r="AX88" i="4"/>
  <c r="AX61" i="4"/>
  <c r="AH82" i="4"/>
  <c r="AL11" i="6" s="1"/>
  <c r="AH90" i="4"/>
  <c r="AH74" i="4"/>
  <c r="Y84" i="4"/>
  <c r="AC13" i="6" s="1"/>
  <c r="Y76" i="4"/>
  <c r="Y92" i="4"/>
  <c r="J22" i="5"/>
  <c r="L22" i="5" s="1"/>
  <c r="K22" i="5"/>
  <c r="O73" i="4"/>
  <c r="O89" i="4"/>
  <c r="O81" i="4"/>
  <c r="S10" i="6" s="1"/>
  <c r="U74" i="4"/>
  <c r="U90" i="4"/>
  <c r="U82" i="4"/>
  <c r="Y11" i="6" s="1"/>
  <c r="AK73" i="4"/>
  <c r="AK81" i="4"/>
  <c r="AO10" i="6" s="1"/>
  <c r="AK89" i="4"/>
  <c r="AN73" i="4"/>
  <c r="AN81" i="4"/>
  <c r="AR10" i="6" s="1"/>
  <c r="AN89" i="4"/>
  <c r="BA84" i="4"/>
  <c r="BE13" i="6" s="1"/>
  <c r="BA76" i="4"/>
  <c r="BA92" i="4"/>
  <c r="BA90" i="4"/>
  <c r="BA82" i="4"/>
  <c r="BE11" i="6" s="1"/>
  <c r="BA74" i="4"/>
  <c r="Q74" i="4"/>
  <c r="Q82" i="4"/>
  <c r="U11" i="6" s="1"/>
  <c r="Q90" i="4"/>
  <c r="L89" i="4"/>
  <c r="L81" i="4"/>
  <c r="P10" i="6" s="1"/>
  <c r="L73" i="4"/>
  <c r="AT80" i="4"/>
  <c r="AT61" i="4"/>
  <c r="AT88" i="4"/>
  <c r="AT72" i="4"/>
  <c r="AD88" i="4"/>
  <c r="AD72" i="4"/>
  <c r="AD61" i="4"/>
  <c r="AD80" i="4"/>
  <c r="I80" i="4"/>
  <c r="I88" i="4"/>
  <c r="I61" i="4"/>
  <c r="I72" i="4"/>
  <c r="BA81" i="4"/>
  <c r="BE10" i="6" s="1"/>
  <c r="BA73" i="4"/>
  <c r="BA89" i="4"/>
  <c r="V81" i="4"/>
  <c r="Z10" i="6" s="1"/>
  <c r="V89" i="4"/>
  <c r="V73" i="4"/>
  <c r="AJ74" i="4"/>
  <c r="AJ90" i="4"/>
  <c r="AJ82" i="4"/>
  <c r="AN11" i="6" s="1"/>
  <c r="AE82" i="4"/>
  <c r="AI11" i="6" s="1"/>
  <c r="AE74" i="4"/>
  <c r="AE90" i="4"/>
  <c r="V88" i="4"/>
  <c r="V80" i="4"/>
  <c r="V72" i="4"/>
  <c r="V61" i="4"/>
  <c r="J61" i="4"/>
  <c r="J80" i="4"/>
  <c r="J72" i="4"/>
  <c r="J88" i="4"/>
  <c r="AL84" i="4"/>
  <c r="AP13" i="6" s="1"/>
  <c r="AL76" i="4"/>
  <c r="AL92" i="4"/>
  <c r="AO61" i="4"/>
  <c r="AS9" i="6"/>
  <c r="BB61" i="4"/>
  <c r="BB72" i="4"/>
  <c r="BB88" i="4"/>
  <c r="BB80" i="4"/>
  <c r="K81" i="4"/>
  <c r="O10" i="6" s="1"/>
  <c r="K89" i="4"/>
  <c r="K73" i="4"/>
  <c r="X80" i="4"/>
  <c r="X61" i="4"/>
  <c r="X72" i="4"/>
  <c r="X88" i="4"/>
  <c r="G9" i="5"/>
  <c r="B12" i="1" s="1"/>
  <c r="B10" i="1"/>
  <c r="H9" i="5"/>
  <c r="C12" i="1" s="1"/>
  <c r="AD90" i="4"/>
  <c r="AD74" i="4"/>
  <c r="AD82" i="4"/>
  <c r="AH11" i="6" s="1"/>
  <c r="U73" i="4"/>
  <c r="U81" i="4"/>
  <c r="Y10" i="6" s="1"/>
  <c r="U89" i="4"/>
  <c r="Z80" i="4"/>
  <c r="Z88" i="4"/>
  <c r="Z61" i="4"/>
  <c r="Z72" i="4"/>
  <c r="AT89" i="4"/>
  <c r="AT73" i="4"/>
  <c r="AT81" i="4"/>
  <c r="AX10" i="6" s="1"/>
  <c r="AL89" i="4"/>
  <c r="AL73" i="4"/>
  <c r="AL81" i="4"/>
  <c r="AP10" i="6" s="1"/>
  <c r="AO97" i="4" l="1"/>
  <c r="AO93" i="4"/>
  <c r="AO96" i="4"/>
  <c r="AS15" i="6" s="1"/>
  <c r="AG85" i="4"/>
  <c r="AK14" i="6" s="1"/>
  <c r="M93" i="4"/>
  <c r="AE93" i="4"/>
  <c r="AG93" i="4"/>
  <c r="AE77" i="4"/>
  <c r="AC93" i="4"/>
  <c r="O93" i="4"/>
  <c r="N93" i="4"/>
  <c r="AE96" i="4"/>
  <c r="AI15" i="6" s="1"/>
  <c r="G19" i="1"/>
  <c r="AE97" i="4"/>
  <c r="AS93" i="4"/>
  <c r="AN93" i="4"/>
  <c r="J93" i="4"/>
  <c r="B73" i="4"/>
  <c r="C18" i="1"/>
  <c r="E19" i="1"/>
  <c r="AY93" i="4"/>
  <c r="I93" i="4"/>
  <c r="F18" i="5"/>
  <c r="BB93" i="4"/>
  <c r="AJ93" i="4"/>
  <c r="R93" i="4"/>
  <c r="X85" i="4"/>
  <c r="AB14" i="6" s="1"/>
  <c r="X77" i="4"/>
  <c r="C74" i="4"/>
  <c r="B74" i="4"/>
  <c r="AW85" i="4"/>
  <c r="BA14" i="6" s="1"/>
  <c r="AW77" i="4"/>
  <c r="G30" i="1" a="1"/>
  <c r="G30" i="1" s="1"/>
  <c r="C92" i="4"/>
  <c r="F30" i="1" s="1"/>
  <c r="B92" i="4"/>
  <c r="C21" i="1"/>
  <c r="AD85" i="4"/>
  <c r="AH14" i="6" s="1"/>
  <c r="AD77" i="4"/>
  <c r="W93" i="4"/>
  <c r="K97" i="4"/>
  <c r="O9" i="6"/>
  <c r="K96" i="4"/>
  <c r="O15" i="6" s="1"/>
  <c r="S93" i="4"/>
  <c r="F21" i="1"/>
  <c r="AF13" i="6"/>
  <c r="P85" i="4"/>
  <c r="P77" i="4"/>
  <c r="AR97" i="4"/>
  <c r="AR96" i="4"/>
  <c r="AV15" i="6" s="1"/>
  <c r="AV9" i="6"/>
  <c r="C76" i="4"/>
  <c r="B76" i="4"/>
  <c r="F97" i="4"/>
  <c r="J9" i="6"/>
  <c r="F96" i="4"/>
  <c r="J15" i="6" s="1"/>
  <c r="BB97" i="4"/>
  <c r="BF9" i="6"/>
  <c r="BB96" i="4"/>
  <c r="BF15" i="6" s="1"/>
  <c r="AW93" i="4"/>
  <c r="S85" i="4"/>
  <c r="W14" i="6" s="1"/>
  <c r="S77" i="4"/>
  <c r="AD96" i="4"/>
  <c r="AH15" i="6" s="1"/>
  <c r="AH9" i="6"/>
  <c r="AD97" i="4"/>
  <c r="W97" i="4"/>
  <c r="W96" i="4"/>
  <c r="AA15" i="6" s="1"/>
  <c r="AA9" i="6"/>
  <c r="K93" i="4"/>
  <c r="G21" i="1"/>
  <c r="AR93" i="4"/>
  <c r="AD93" i="4"/>
  <c r="E21" i="1"/>
  <c r="AR85" i="4"/>
  <c r="AV14" i="6" s="1"/>
  <c r="AR77" i="4"/>
  <c r="AI96" i="4"/>
  <c r="AM15" i="6" s="1"/>
  <c r="AM9" i="6"/>
  <c r="AI97" i="4"/>
  <c r="AM93" i="4"/>
  <c r="D17" i="1"/>
  <c r="P96" i="4"/>
  <c r="T15" i="6" s="1"/>
  <c r="T9" i="6"/>
  <c r="P97" i="4"/>
  <c r="Q77" i="4"/>
  <c r="Q85" i="4"/>
  <c r="U14" i="6" s="1"/>
  <c r="X97" i="4"/>
  <c r="X96" i="4"/>
  <c r="AB15" i="6" s="1"/>
  <c r="AB9" i="6"/>
  <c r="AH93" i="4"/>
  <c r="AB77" i="4"/>
  <c r="AB85" i="4"/>
  <c r="H85" i="4"/>
  <c r="L14" i="6" s="1"/>
  <c r="H77" i="4"/>
  <c r="H93" i="4"/>
  <c r="K85" i="4"/>
  <c r="O14" i="6" s="1"/>
  <c r="K77" i="4"/>
  <c r="BB85" i="4"/>
  <c r="BF14" i="6" s="1"/>
  <c r="BB77" i="4"/>
  <c r="S96" i="4"/>
  <c r="W15" i="6" s="1"/>
  <c r="W9" i="6"/>
  <c r="S97" i="4"/>
  <c r="AI93" i="4"/>
  <c r="D21" i="1"/>
  <c r="T13" i="6"/>
  <c r="P93" i="4"/>
  <c r="E17" i="1"/>
  <c r="F19" i="1"/>
  <c r="Q93" i="4"/>
  <c r="AO85" i="4"/>
  <c r="AS14" i="6" s="1"/>
  <c r="AO77" i="4"/>
  <c r="AT93" i="4"/>
  <c r="AI77" i="4"/>
  <c r="AI85" i="4"/>
  <c r="AM14" i="6" s="1"/>
  <c r="AM77" i="4"/>
  <c r="AM85" i="4"/>
  <c r="AQ14" i="6" s="1"/>
  <c r="U9" i="6"/>
  <c r="Q96" i="4"/>
  <c r="U15" i="6" s="1"/>
  <c r="Q97" i="4"/>
  <c r="AS77" i="4"/>
  <c r="AS85" i="4"/>
  <c r="AW14" i="6" s="1"/>
  <c r="G17" i="1"/>
  <c r="AB93" i="4"/>
  <c r="AH77" i="4"/>
  <c r="AH85" i="4"/>
  <c r="AL14" i="6" s="1"/>
  <c r="I97" i="4"/>
  <c r="M9" i="6"/>
  <c r="I96" i="4"/>
  <c r="M15" i="6" s="1"/>
  <c r="AT85" i="4"/>
  <c r="AX14" i="6" s="1"/>
  <c r="AT77" i="4"/>
  <c r="AM96" i="4"/>
  <c r="AQ15" i="6" s="1"/>
  <c r="AM97" i="4"/>
  <c r="AQ9" i="6"/>
  <c r="BA77" i="4"/>
  <c r="BA85" i="4"/>
  <c r="BE14" i="6" s="1"/>
  <c r="AP93" i="4"/>
  <c r="AN96" i="4"/>
  <c r="AR15" i="6" s="1"/>
  <c r="AN97" i="4"/>
  <c r="AR9" i="6"/>
  <c r="H97" i="4"/>
  <c r="H96" i="4"/>
  <c r="L15" i="6" s="1"/>
  <c r="L9" i="6"/>
  <c r="AP77" i="4"/>
  <c r="AP85" i="4"/>
  <c r="AT14" i="6" s="1"/>
  <c r="M97" i="4"/>
  <c r="AG97" i="4"/>
  <c r="AJ85" i="4"/>
  <c r="AN14" i="6" s="1"/>
  <c r="AJ77" i="4"/>
  <c r="Y93" i="4"/>
  <c r="AY97" i="4"/>
  <c r="AY96" i="4"/>
  <c r="BC15" i="6" s="1"/>
  <c r="BC9" i="6"/>
  <c r="BA93" i="4"/>
  <c r="Z85" i="4"/>
  <c r="AD14" i="6" s="1"/>
  <c r="Z77" i="4"/>
  <c r="G27" i="1" a="1"/>
  <c r="G27" i="1" s="1"/>
  <c r="AF85" i="4"/>
  <c r="AJ14" i="6" s="1"/>
  <c r="AF77" i="4"/>
  <c r="BC97" i="4"/>
  <c r="BC96" i="4"/>
  <c r="BG15" i="6" s="1"/>
  <c r="BG9" i="6"/>
  <c r="AK97" i="4"/>
  <c r="AO9" i="6"/>
  <c r="AK96" i="4"/>
  <c r="AO15" i="6" s="1"/>
  <c r="L97" i="4"/>
  <c r="P9" i="6"/>
  <c r="L96" i="4"/>
  <c r="P15" i="6" s="1"/>
  <c r="Y85" i="4"/>
  <c r="AC14" i="6" s="1"/>
  <c r="Y77" i="4"/>
  <c r="F18" i="1"/>
  <c r="AF10" i="6"/>
  <c r="AV96" i="4"/>
  <c r="AZ15" i="6" s="1"/>
  <c r="AV97" i="4"/>
  <c r="AZ9" i="6"/>
  <c r="AH96" i="4"/>
  <c r="AL15" i="6" s="1"/>
  <c r="AH97" i="4"/>
  <c r="AL9" i="6"/>
  <c r="F93" i="4"/>
  <c r="C19" i="1"/>
  <c r="B90" i="4"/>
  <c r="G28" i="1" a="1"/>
  <c r="G28" i="1" s="1"/>
  <c r="C90" i="4"/>
  <c r="F28" i="1" s="1"/>
  <c r="J96" i="4"/>
  <c r="N15" i="6" s="1"/>
  <c r="N9" i="6"/>
  <c r="J97" i="4"/>
  <c r="L93" i="4"/>
  <c r="AQ93" i="4"/>
  <c r="U77" i="4"/>
  <c r="U85" i="4"/>
  <c r="Y14" i="6" s="1"/>
  <c r="B19" i="1"/>
  <c r="C82" i="4"/>
  <c r="H11" i="6"/>
  <c r="D28" i="1"/>
  <c r="E28" i="1"/>
  <c r="Y96" i="4"/>
  <c r="AC15" i="6" s="1"/>
  <c r="Y97" i="4"/>
  <c r="AC9" i="6"/>
  <c r="AK85" i="4"/>
  <c r="AO14" i="6" s="1"/>
  <c r="AK77" i="4"/>
  <c r="AQ97" i="4"/>
  <c r="AU9" i="6"/>
  <c r="AQ96" i="4"/>
  <c r="AU15" i="6" s="1"/>
  <c r="U93" i="4"/>
  <c r="G18" i="1"/>
  <c r="AK93" i="4"/>
  <c r="Y9" i="6"/>
  <c r="U97" i="4"/>
  <c r="U96" i="4"/>
  <c r="Y15" i="6" s="1"/>
  <c r="O97" i="4"/>
  <c r="S9" i="6"/>
  <c r="O96" i="4"/>
  <c r="S15" i="6" s="1"/>
  <c r="M96" i="4"/>
  <c r="Q15" i="6" s="1"/>
  <c r="AG96" i="4"/>
  <c r="AK15" i="6" s="1"/>
  <c r="T96" i="4"/>
  <c r="X15" i="6" s="1"/>
  <c r="X9" i="6"/>
  <c r="T97" i="4"/>
  <c r="AC77" i="4"/>
  <c r="AC85" i="4"/>
  <c r="AG14" i="6" s="1"/>
  <c r="AQ77" i="4"/>
  <c r="AQ85" i="4"/>
  <c r="AU14" i="6" s="1"/>
  <c r="AA85" i="4"/>
  <c r="AE14" i="6" s="1"/>
  <c r="AA77" i="4"/>
  <c r="C84" i="4"/>
  <c r="B21" i="1"/>
  <c r="H13" i="6"/>
  <c r="D30" i="1"/>
  <c r="E30" i="1"/>
  <c r="AW96" i="4"/>
  <c r="BA15" i="6" s="1"/>
  <c r="BA9" i="6"/>
  <c r="AW97" i="4"/>
  <c r="AT97" i="4"/>
  <c r="AT96" i="4"/>
  <c r="AX15" i="6" s="1"/>
  <c r="AX9" i="6"/>
  <c r="G77" i="4"/>
  <c r="G85" i="4"/>
  <c r="K14" i="6" s="1"/>
  <c r="AP97" i="4"/>
  <c r="AT9" i="6"/>
  <c r="AP96" i="4"/>
  <c r="AT15" i="6" s="1"/>
  <c r="Z93" i="4"/>
  <c r="AX85" i="4"/>
  <c r="BB14" i="6" s="1"/>
  <c r="AX77" i="4"/>
  <c r="AU77" i="4"/>
  <c r="AU85" i="4"/>
  <c r="AY14" i="6" s="1"/>
  <c r="G93" i="4"/>
  <c r="J77" i="4"/>
  <c r="J85" i="4"/>
  <c r="N14" i="6" s="1"/>
  <c r="M77" i="4"/>
  <c r="M85" i="4"/>
  <c r="Q14" i="6" s="1"/>
  <c r="AU97" i="4"/>
  <c r="AU96" i="4"/>
  <c r="AY15" i="6" s="1"/>
  <c r="AY9" i="6"/>
  <c r="AX97" i="4"/>
  <c r="AX96" i="4"/>
  <c r="BB15" i="6" s="1"/>
  <c r="BB9" i="6"/>
  <c r="B89" i="4"/>
  <c r="AJ9" i="6"/>
  <c r="AF97" i="4"/>
  <c r="AF96" i="4"/>
  <c r="AJ15" i="6" s="1"/>
  <c r="BC93" i="4"/>
  <c r="AJ96" i="4"/>
  <c r="AN15" i="6" s="1"/>
  <c r="AN9" i="6"/>
  <c r="AJ97" i="4"/>
  <c r="B18" i="1"/>
  <c r="R97" i="4"/>
  <c r="R96" i="4"/>
  <c r="V15" i="6" s="1"/>
  <c r="V9" i="6"/>
  <c r="T85" i="4"/>
  <c r="X14" i="6" s="1"/>
  <c r="T77" i="4"/>
  <c r="C81" i="4"/>
  <c r="D77" i="4"/>
  <c r="D85" i="4"/>
  <c r="B85" i="4"/>
  <c r="B7" i="1" s="1"/>
  <c r="B61" i="4"/>
  <c r="C61" i="4"/>
  <c r="D93" i="4"/>
  <c r="C17" i="1"/>
  <c r="G26" i="1" a="1"/>
  <c r="G26" i="1" s="1"/>
  <c r="C88" i="4"/>
  <c r="F26" i="1" s="1"/>
  <c r="B88" i="4"/>
  <c r="T93" i="4"/>
  <c r="D27" i="1"/>
  <c r="E18" i="1"/>
  <c r="AL93" i="4"/>
  <c r="N85" i="4"/>
  <c r="R14" i="6" s="1"/>
  <c r="N77" i="4"/>
  <c r="F77" i="4"/>
  <c r="F85" i="4"/>
  <c r="J14" i="6" s="1"/>
  <c r="I85" i="4"/>
  <c r="M14" i="6" s="1"/>
  <c r="I77" i="4"/>
  <c r="BA96" i="4"/>
  <c r="BE15" i="6" s="1"/>
  <c r="BA97" i="4"/>
  <c r="BE9" i="6"/>
  <c r="K9" i="6"/>
  <c r="G97" i="4"/>
  <c r="G96" i="4"/>
  <c r="K15" i="6" s="1"/>
  <c r="BC77" i="4"/>
  <c r="BC85" i="4"/>
  <c r="BG14" i="6" s="1"/>
  <c r="E96" i="4"/>
  <c r="I15" i="6" s="1"/>
  <c r="I9" i="6"/>
  <c r="E97" i="4"/>
  <c r="Z96" i="4"/>
  <c r="AD15" i="6" s="1"/>
  <c r="Z97" i="4"/>
  <c r="AD9" i="6"/>
  <c r="V85" i="4"/>
  <c r="Z14" i="6" s="1"/>
  <c r="V77" i="4"/>
  <c r="E93" i="4"/>
  <c r="V96" i="4"/>
  <c r="Z15" i="6" s="1"/>
  <c r="V97" i="4"/>
  <c r="Z9" i="6"/>
  <c r="V93" i="4"/>
  <c r="B72" i="4"/>
  <c r="C72" i="4"/>
  <c r="AA97" i="4"/>
  <c r="AA96" i="4"/>
  <c r="AE15" i="6" s="1"/>
  <c r="AE9" i="6"/>
  <c r="AZ77" i="4"/>
  <c r="AZ85" i="4"/>
  <c r="BD14" i="6" s="1"/>
  <c r="D18" i="1"/>
  <c r="T10" i="6"/>
  <c r="AC96" i="4"/>
  <c r="AG15" i="6" s="1"/>
  <c r="AL97" i="4"/>
  <c r="AL96" i="4"/>
  <c r="AP15" i="6" s="1"/>
  <c r="AP9" i="6"/>
  <c r="C89" i="4"/>
  <c r="F27" i="1" s="1"/>
  <c r="C73" i="4"/>
  <c r="E27" i="1"/>
  <c r="D19" i="1"/>
  <c r="AV93" i="4"/>
  <c r="AZ97" i="4"/>
  <c r="AZ96" i="4"/>
  <c r="BD15" i="6" s="1"/>
  <c r="BD9" i="6"/>
  <c r="R9" i="6"/>
  <c r="N96" i="4"/>
  <c r="R15" i="6" s="1"/>
  <c r="N97" i="4"/>
  <c r="AC97" i="4"/>
  <c r="AL77" i="4"/>
  <c r="AL85" i="4"/>
  <c r="AP14" i="6" s="1"/>
  <c r="AB97" i="4"/>
  <c r="F17" i="1"/>
  <c r="AB96" i="4"/>
  <c r="AF15" i="6" s="1"/>
  <c r="AF9" i="6"/>
  <c r="O85" i="4"/>
  <c r="S14" i="6" s="1"/>
  <c r="O77" i="4"/>
  <c r="AN85" i="4"/>
  <c r="AR14" i="6" s="1"/>
  <c r="AN77" i="4"/>
  <c r="AY85" i="4"/>
  <c r="BC14" i="6" s="1"/>
  <c r="AY77" i="4"/>
  <c r="W85" i="4"/>
  <c r="AA14" i="6" s="1"/>
  <c r="W77" i="4"/>
  <c r="E77" i="4"/>
  <c r="E85" i="4"/>
  <c r="I14" i="6" s="1"/>
  <c r="AX93" i="4"/>
  <c r="AF93" i="4"/>
  <c r="L85" i="4"/>
  <c r="P14" i="6" s="1"/>
  <c r="L77" i="4"/>
  <c r="AU93" i="4"/>
  <c r="D96" i="4"/>
  <c r="D97" i="4"/>
  <c r="C80" i="4"/>
  <c r="D26" i="1"/>
  <c r="H9" i="6"/>
  <c r="E26" i="1"/>
  <c r="B17" i="1"/>
  <c r="R85" i="4"/>
  <c r="V14" i="6" s="1"/>
  <c r="R77" i="4"/>
  <c r="AA93" i="4"/>
  <c r="X93" i="4"/>
  <c r="AV77" i="4"/>
  <c r="AV85" i="4"/>
  <c r="AZ14" i="6" s="1"/>
  <c r="AZ93" i="4"/>
  <c r="AS97" i="4"/>
  <c r="AS96" i="4"/>
  <c r="AW15" i="6" s="1"/>
  <c r="AW9" i="6"/>
  <c r="G22" i="1" l="1"/>
  <c r="H27" i="1"/>
  <c r="I27" i="1" s="1"/>
  <c r="F22" i="1"/>
  <c r="AF14" i="6"/>
  <c r="C22" i="1"/>
  <c r="B93" i="4"/>
  <c r="C93" i="4"/>
  <c r="D22" i="1"/>
  <c r="T14" i="6"/>
  <c r="H28" i="1"/>
  <c r="I28" i="1"/>
  <c r="E22" i="1"/>
  <c r="H30" i="1"/>
  <c r="I30" i="1"/>
  <c r="C85" i="4"/>
  <c r="H14" i="6"/>
  <c r="B22" i="1"/>
  <c r="C26" i="1"/>
  <c r="G9" i="6"/>
  <c r="B97" i="4"/>
  <c r="B9" i="1"/>
  <c r="C97" i="4"/>
  <c r="H26" i="1"/>
  <c r="I26" i="1"/>
  <c r="B77" i="4"/>
  <c r="C77" i="4"/>
  <c r="G13" i="6"/>
  <c r="C30" i="1"/>
  <c r="G11" i="6"/>
  <c r="C28" i="1"/>
  <c r="G10" i="6"/>
  <c r="C27" i="1"/>
  <c r="B8" i="1"/>
  <c r="B96" i="4"/>
  <c r="C96" i="4"/>
  <c r="G15" i="6" s="1"/>
  <c r="H15" i="6"/>
  <c r="C6" i="1" l="1"/>
  <c r="B6" i="1"/>
  <c r="G14"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<sst xmlns="http://schemas.openxmlformats.org/spreadsheetml/2006/main" count="645" uniqueCount="224">
  <si>
    <t>Agency Artifact — Staffing &amp; Capacity Planner: Assumptions</t>
  </si>
  <si>
    <t>Blue cells are inputs. Change them here and every other sheet recalculates.</t>
  </si>
  <si>
    <t>FORECAST SETTINGS</t>
  </si>
  <si>
    <t>Forecast start (must be a Monday)</t>
  </si>
  <si>
    <t>Scenario view</t>
  </si>
  <si>
    <t>Active + Prospective</t>
  </si>
  <si>
    <t>Active only = exclude prospective projects</t>
  </si>
  <si>
    <t>Prospective weighting</t>
  </si>
  <si>
    <t>% of prospective hours counted in the forecast when included (e.g. 50% = probability-weight)</t>
  </si>
  <si>
    <t>Understaffed flag: utilization above</t>
  </si>
  <si>
    <t>Weekly demand ÷ capacity above this = understaffed (red)</t>
  </si>
  <si>
    <t>Overstaffed flag: utilization below</t>
  </si>
  <si>
    <t>Weekly demand ÷ capacity below this = excess capacity (amber)</t>
  </si>
  <si>
    <t>Hire trigger: FTE shortfall ≥</t>
  </si>
  <si>
    <t>Shortfall (in FTEs) that counts as a hiring need</t>
  </si>
  <si>
    <t>Hiring lead time (weeks)</t>
  </si>
  <si>
    <t>Weeks needed to recruit and onboard; used for the hire-by date</t>
  </si>
  <si>
    <t>STAFF LEVELS &amp; CAPACITY</t>
  </si>
  <si>
    <t>Staff Level</t>
  </si>
  <si>
    <t>Billable Rate ($/hr)</t>
  </si>
  <si>
    <t>Headcount (FTE)</t>
  </si>
  <si>
    <t>Hours / FTE / Week</t>
  </si>
  <si>
    <t>Target Utilization</t>
  </si>
  <si>
    <t>Capacity (billable hrs/wk)</t>
  </si>
  <si>
    <t>Principal</t>
  </si>
  <si>
    <t>Director</t>
  </si>
  <si>
    <t>Senior Designer</t>
  </si>
  <si>
    <t>Project Designer</t>
  </si>
  <si>
    <t>Total</t>
  </si>
  <si>
    <t>Capacity = Headcount × Hours per FTE × Target Utilization. Use fractional FTEs for part-time staff or planned hires/departures.</t>
  </si>
  <si>
    <t>LISTS (drive dropdowns)</t>
  </si>
  <si>
    <t>Project Status</t>
  </si>
  <si>
    <t>Scenario View</t>
  </si>
  <si>
    <t>Active</t>
  </si>
  <si>
    <t>Active only</t>
  </si>
  <si>
    <t>Prospective</t>
  </si>
  <si>
    <t>Project No.</t>
  </si>
  <si>
    <t>Project Name</t>
  </si>
  <si>
    <t>Phase / Milestone</t>
  </si>
  <si>
    <t>Status</t>
  </si>
  <si>
    <t>Start Date</t>
  </si>
  <si>
    <t>End Date</t>
  </si>
  <si>
    <t>Phase Fee ($)</t>
  </si>
  <si>
    <t>Weeks</t>
  </si>
  <si>
    <t>Scenario Weight</t>
  </si>
  <si>
    <t>Input Check</t>
  </si>
  <si>
    <t>52-Week Demand vs. Capacity Forecast</t>
  </si>
  <si>
    <t>Week #</t>
  </si>
  <si>
    <t>Week Beginning (Mon)</t>
  </si>
  <si>
    <t>52-Wk Avg</t>
  </si>
  <si>
    <t>Peak / Worst</t>
  </si>
  <si>
    <t>1. DEMAND — planned hours per week</t>
  </si>
  <si>
    <t>2. CAPACITY — available billable hours per week</t>
  </si>
  <si>
    <t>3. SURPLUS / (SHORTFALL) — capacity minus demand, hours</t>
  </si>
  <si>
    <t>4. UTILIZATION — demand ÷ capacity</t>
  </si>
  <si>
    <t>5. FTE GAP — positive = FTEs short (hire); negative = spare FTEs</t>
  </si>
  <si>
    <t>Total Demand</t>
  </si>
  <si>
    <t>Total Capacity</t>
  </si>
  <si>
    <t>Total Surplus / (Shortfall)</t>
  </si>
  <si>
    <t>Total Utilization</t>
  </si>
  <si>
    <t>Total FTE Gap (net across levels)</t>
  </si>
  <si>
    <t># Levels understaffed</t>
  </si>
  <si>
    <t># Levels with excess capacity</t>
  </si>
  <si>
    <t>Max</t>
  </si>
  <si>
    <t>Legend</t>
  </si>
  <si>
    <t>Red = understaffed (demand above capacity / FTE gap at or above hire trigger)</t>
  </si>
  <si>
    <t>Amber = excess capacity (utilization below threshold) or small FTE gap under trigger</t>
  </si>
  <si>
    <t>Green = utilization within target band</t>
  </si>
  <si>
    <t>PORTFOLIO SUMMARY BY STATUS</t>
  </si>
  <si>
    <t>Phases</t>
  </si>
  <si>
    <t>Planned Hours</t>
  </si>
  <si>
    <t>BY STAFF LEVEL (all phases &amp; statuses)</t>
  </si>
  <si>
    <t>Total / blended rate</t>
  </si>
  <si>
    <t>BY PROJECT (auto-listed from the Projects sheet)</t>
  </si>
  <si>
    <t>First Start</t>
  </si>
  <si>
    <t>Last End</t>
  </si>
  <si>
    <t>Flag</t>
  </si>
  <si>
    <t>Concept</t>
  </si>
  <si>
    <t>Agency Artifact — Staffing &amp; Capacity Dashboard</t>
  </si>
  <si>
    <t>KEY METRICS</t>
  </si>
  <si>
    <t>Phases counted in scenario</t>
  </si>
  <si>
    <t>Peak firm utilization</t>
  </si>
  <si>
    <t>Average firm utilization</t>
  </si>
  <si>
    <t>Weeks with any level understaffed</t>
  </si>
  <si>
    <t>of 52 weeks</t>
  </si>
  <si>
    <t>Weeks with any level in excess capacity</t>
  </si>
  <si>
    <t>Total phase fees</t>
  </si>
  <si>
    <t>All phases on Projects sheet</t>
  </si>
  <si>
    <t>HIRING SIGNALS BY STAFF LEVEL</t>
  </si>
  <si>
    <t>Current FTE</t>
  </si>
  <si>
    <t>Peak Utilization</t>
  </si>
  <si>
    <t>Weeks Understaffed</t>
  </si>
  <si>
    <t>Weeks Excess Capacity</t>
  </si>
  <si>
    <t>Peak FTE Short</t>
  </si>
  <si>
    <t>First Hire-Trigger Week</t>
  </si>
  <si>
    <t>Hire-By Date</t>
  </si>
  <si>
    <t>Recommendation</t>
  </si>
  <si>
    <t>Hire-by date = first week FTE shortfall reaches the hire trigger minus hiring lead time (both set on Assumptions). Utilization is demand ÷ capacity (capacity already reflects target utilization).</t>
  </si>
  <si>
    <t>WEEKLY UPDATE CHECKLIST</t>
  </si>
  <si>
    <t>3. Assumptions: update headcount / utilization for hires, departures or leave.</t>
  </si>
  <si>
    <t>4. Assumptions: to roll the calendar forward, change the forecast start to a new Monday.</t>
  </si>
  <si>
    <t>6. SIGNALS — levels flagged</t>
  </si>
  <si>
    <t>PHASE / MILESTONE LIST</t>
  </si>
  <si>
    <t>Phase</t>
  </si>
  <si>
    <t>Entitlement</t>
  </si>
  <si>
    <t>SD</t>
  </si>
  <si>
    <t>DD</t>
  </si>
  <si>
    <t>CD</t>
  </si>
  <si>
    <t>Bidding</t>
  </si>
  <si>
    <t>Permitting</t>
  </si>
  <si>
    <t>CA</t>
  </si>
  <si>
    <t>Add custom phases in the first empty cell under the list — they appear in the Projects dropdown automatically.</t>
  </si>
  <si>
    <t>Master Plan</t>
  </si>
  <si>
    <t>TIMELINE HORIZONS</t>
  </si>
  <si>
    <t>Near-term: through week #</t>
  </si>
  <si>
    <t>Mid-term: through week #</t>
  </si>
  <si>
    <t>Long-range = mid-term end to week 52. Drives Timeline shading &amp; Dashboard outlook.</t>
  </si>
  <si>
    <t>Horizon</t>
  </si>
  <si>
    <t>STAFFING HEAT MAP — utilization by level (demand ÷ capacity, from Forecast)</t>
  </si>
  <si>
    <t>Peak</t>
  </si>
  <si>
    <t>Firm Total</t>
  </si>
  <si>
    <t>Start</t>
  </si>
  <si>
    <t>End</t>
  </si>
  <si>
    <t>Phase colors:</t>
  </si>
  <si>
    <t>Other/custom</t>
  </si>
  <si>
    <t>STAFFING OUTLOOK — peak utilization and FTE shortfall by time horizon</t>
  </si>
  <si>
    <t>Peak Util.</t>
  </si>
  <si>
    <t>Firm total (net FTE)</t>
  </si>
  <si>
    <t>Red = understaffed / hire-level shortfall; amber = excess capacity or minor shortfall. Detail by week: Timeline (heat map + phase bars) and Forecast.</t>
  </si>
  <si>
    <t>Project total</t>
  </si>
  <si>
    <t>Project</t>
  </si>
  <si>
    <t>Project &amp; Phase Planner — weekly input sheet</t>
  </si>
  <si>
    <t>PROJECT &amp; PHASE INPUTS</t>
  </si>
  <si>
    <t>Row Type</t>
  </si>
  <si>
    <t>1. Projects: for each project, fill the shaded header row (No., Name, Status), then one phase row per phase — pick phase, start/end dates, fee and weekly hours per level.</t>
  </si>
  <si>
    <t>2. Check that each header row's Input Check reads 'All OK'. Change a single phase's Status to Prospective if only that phase is unconfirmed.</t>
  </si>
  <si>
    <t>5. Review Dashboard outlook &amp; hiring signals, and the Timeline heat map.</t>
  </si>
  <si>
    <t>Total projected cost of planned hours</t>
  </si>
  <si>
    <t>Fee vs projected cost</t>
  </si>
  <si>
    <t>Projected Cost ($)</t>
  </si>
  <si>
    <t>Fee vs Cost ($)</t>
  </si>
  <si>
    <t>Project Economics — planned hours, projected cost &amp; fee</t>
  </si>
  <si>
    <t>Covers full phase durations (not limited to the 52-week window) and all rows on the Projects sheet, unweighted. Projected cost = planned hours × rates on Assumptions.</t>
  </si>
  <si>
    <t>% of Cost</t>
  </si>
  <si>
    <t>% of Fee Used</t>
  </si>
  <si>
    <t>STAFF ROSTER (drives headcount)</t>
  </si>
  <si>
    <t>Initials</t>
  </si>
  <si>
    <t>FTE</t>
  </si>
  <si>
    <t>Edit this list for hires, departures or part-time staff (FTE 0.5). Headcount above updates.</t>
  </si>
  <si>
    <t>Phase 3- Choices</t>
  </si>
  <si>
    <t>Phase 4- Final Master Plan</t>
  </si>
  <si>
    <t>Phase 5- Execution Plan</t>
  </si>
  <si>
    <t>ASR 1</t>
  </si>
  <si>
    <t>ASR 2</t>
  </si>
  <si>
    <t>ASR 3</t>
  </si>
  <si>
    <t>Staff</t>
  </si>
  <si>
    <t>Pool Hrs</t>
  </si>
  <si>
    <t>Placed Hrs</t>
  </si>
  <si>
    <t>Left</t>
  </si>
  <si>
    <t>Level</t>
  </si>
  <si>
    <t>Weight</t>
  </si>
  <si>
    <t>CALCULATED — HOURS, MAPPING &amp; ECONOMICS (do not overwrite)</t>
  </si>
  <si>
    <t>Hours Mapped (Timeline)</t>
  </si>
  <si>
    <t>Left to Map</t>
  </si>
  <si>
    <t>STAFF HOURS PER WEEK  ×  Weeks (col G)  =  hours pool</t>
  </si>
  <si>
    <t>Total Hours Pool (hrs/wk × weeks)</t>
  </si>
  <si>
    <t>Each project is a shaded header row with its phases underneath (click +/- at left to collapse). Phase rows: pick the phase, enter a Start Date and EITHER Weeks or an End Date, the phase fee, and each person's hours PER WEEK. Hours/week × Weeks = that person's pool, which you then map to actual weeks on the Timeline tab. Blue = input.</t>
  </si>
  <si>
    <t>Weeks (num)</t>
  </si>
  <si>
    <t>Project row</t>
  </si>
  <si>
    <t>Slot</t>
  </si>
  <si>
    <t>Projects not yet listed</t>
  </si>
  <si>
    <t>XX</t>
  </si>
  <si>
    <t>Mid Level Designer</t>
  </si>
  <si>
    <t>Inactive</t>
  </si>
  <si>
    <t>Total Phase Fees (excl. inactive):</t>
  </si>
  <si>
    <t>Total (active + prospective)</t>
  </si>
  <si>
    <t>MAP HOURS TO WEEKS — every staff member is listed under each project. Click the +/- beside a project to collapse or expand its staff. Rows with hours on Projects show a Pool; greyed rows have none. Type hours into the weeks they work; Placed turns red if it exceeds the Pool.</t>
  </si>
  <si>
    <t>2. ALLOCATED HOURS PER WEEK — each person's available billable hours (FTE × hours × target utilization)</t>
  </si>
  <si>
    <t>3. OVER / (UNDER) ALLOCATED HOURS — assigned minus allocated.  Red = over, green = under</t>
  </si>
  <si>
    <t>Total hours assigned</t>
  </si>
  <si>
    <t>Total allocated hours (capacity)</t>
  </si>
  <si>
    <t>Firm net over / (under) hours</t>
  </si>
  <si>
    <t>Firm utilization (assigned ÷ allocated)</t>
  </si>
  <si>
    <t>HIRE SIGNAL (net overage ≥ hire trigger)</t>
  </si>
  <si>
    <t>SUPPORTING DETAIL — BY STAFF LEVEL (feeds the Dashboard and Timeline heat map)</t>
  </si>
  <si>
    <t>4. FIRM UTILIZATION &amp; HIRE SIGNAL</t>
  </si>
  <si>
    <t>FTEs over (firm net overage ÷ avg hours per FTE)</t>
  </si>
  <si>
    <t>Column B = 52-week average. Column C = peak / worst week. Red = over, green = under.</t>
  </si>
  <si>
    <t>1. HOURS ASSIGNED PER WEEK — by staff member.  Red = over their allocated hours, green = within</t>
  </si>
  <si>
    <t>Multi-Phase Timeline</t>
  </si>
  <si>
    <t>Marigold Promenade</t>
  </si>
  <si>
    <t>Fairhaven Senior Housing</t>
  </si>
  <si>
    <t>Tamarack Housing</t>
  </si>
  <si>
    <t>Summit Ridge Village</t>
  </si>
  <si>
    <t>Fairhaven Village</t>
  </si>
  <si>
    <t>Canyon Vista Park</t>
  </si>
  <si>
    <t>Harbor Mobility Hub</t>
  </si>
  <si>
    <t>Laurel Park Garden</t>
  </si>
  <si>
    <t>Zephyr Creative Office</t>
  </si>
  <si>
    <t>Mariner Courtyard</t>
  </si>
  <si>
    <t>Driftwood Park</t>
  </si>
  <si>
    <t>Bayside Community Center</t>
  </si>
  <si>
    <t>Willowmere Trail</t>
  </si>
  <si>
    <t>Pebble Creek Courtyard</t>
  </si>
  <si>
    <t>Saltmarsh Master Plan</t>
  </si>
  <si>
    <t>Westbury Elementary School</t>
  </si>
  <si>
    <t>Riverbend Master Plan</t>
  </si>
  <si>
    <t>Bayside Lofts</t>
  </si>
  <si>
    <t>Cypress Point Campus Plan</t>
  </si>
  <si>
    <t>Hollis Campus Plan</t>
  </si>
  <si>
    <t>Hawthorne Glen Senior Housing</t>
  </si>
  <si>
    <t>Northgate Courtyard</t>
  </si>
  <si>
    <t>Ridgeview Lofts</t>
  </si>
  <si>
    <t>Birch Roof Deck</t>
  </si>
  <si>
    <t>Stonebridge Streetscape</t>
  </si>
  <si>
    <t>Saltmarsh Terrace</t>
  </si>
  <si>
    <t>Marigold Plaza</t>
  </si>
  <si>
    <t>Meadow Townhomes</t>
  </si>
  <si>
    <t>PK</t>
  </si>
  <si>
    <t>DF</t>
  </si>
  <si>
    <t>KJ</t>
  </si>
  <si>
    <t>HL</t>
  </si>
  <si>
    <t>EHH</t>
  </si>
  <si>
    <t>KD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</si>
</sst>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ddd\ m/d/yyyy"/>
    <numFmt numFmtId="165" formatCode="0.0"/>
    <numFmt numFmtId="166" formatCode="&quot;$&quot;#,##0"/>
    <numFmt numFmtId="167" formatCode="#,##0.0"/>
    <numFmt numFmtId="168" formatCode="m/d/yy"/>
    <numFmt numFmtId="169" formatCode="&quot;$&quot;#,##0;\(&quot;$&quot;#,##0\);\-"/>
    <numFmt numFmtId="170" formatCode="0.0;\(0.0\);\-"/>
    <numFmt numFmtId="171" formatCode="0;;\-"/>
    <numFmt numFmtId="172" formatCode="#,##0;\(#,##0\);\-"/>
    <numFmt numFmtId="173" formatCode="m/d"/>
    <numFmt numFmtId="174" formatCode="0.0;;\-"/>
    <numFmt numFmtId="175" formatCode="0;;"/>
    <numFmt numFmtId="176" formatCode="#,##0.0;\(#,##0.0\);\-"/>
    <numFmt numFmtId="177" formatCode="#,##0.0;;"/>
    <numFmt numFmtId="178" formatCode="&quot;HIRE&quot;;;"/>
    <numFmt numFmtId="179" formatCode="0&quot; wks&quot;;;"/>
  </numFmts>
  <fonts count="40" x14ac:knownFonts="1">
    <font>
      <sz val="11"/>
      <color theme="1"/>
      <name val="Aptos Narrow"/>
      <family val="2"/>
      <scheme val="minor"/>
    </font>
    <font>
      <i/>
      <sz val="11"/>
      <color rgb="FF7F7F7F"/>
      <name val="Aptos Narrow"/>
      <family val="2"/>
      <scheme val="minor"/>
    </font>
    <font>
      <b/>
      <sz val="11"/>
      <color theme="1"/>
      <name val="Aptos Narrow"/>
      <family val="2"/>
      <scheme val="minor"/>
    </font>
    <font>
      <b/>
      <sz val="14"/>
      <color rgb="FF1F3864"/>
      <name val="Aptos Narrow"/>
      <family val="2"/>
      <scheme val="minor"/>
    </font>
    <font>
      <i/>
      <sz val="11"/>
      <color rgb="FF595959"/>
      <name val="Aptos Narrow"/>
      <family val="2"/>
      <scheme val="minor"/>
    </font>
    <font>
      <sz val="11"/>
      <color rgb="FF0000FF"/>
      <name val="Aptos Narrow"/>
      <family val="2"/>
      <scheme val="minor"/>
    </font>
    <font>
      <b/>
      <sz val="11"/>
      <color rgb="FFFFFFFF"/>
      <name val="Aptos Narrow"/>
      <family val="2"/>
      <scheme val="minor"/>
    </font>
    <font>
      <b/>
      <sz val="10"/>
      <color rgb="FFFFFFFF"/>
      <name val="Aptos Narrow"/>
      <family val="2"/>
      <scheme val="minor"/>
    </font>
    <font>
      <sz val="11"/>
      <color rgb="FF000000"/>
      <name val="Aptos Narrow"/>
      <family val="2"/>
      <scheme val="minor"/>
    </font>
    <font>
      <sz val="11"/>
      <color rgb="FF008000"/>
      <name val="Aptos Narrow"/>
      <family val="2"/>
      <scheme val="minor"/>
    </font>
    <font>
      <b/>
      <sz val="11"/>
      <color rgb="FF1F3864"/>
      <name val="Aptos Narrow"/>
      <family val="2"/>
      <scheme val="minor"/>
    </font>
    <font>
      <b/>
      <sz val="16"/>
      <color rgb="FF1F3864"/>
      <name val="Aptos Narrow"/>
      <family val="2"/>
      <scheme val="minor"/>
    </font>
    <font>
      <b/>
      <sz val="11"/>
      <color rgb="FF008000"/>
      <name val="Aptos Narrow"/>
      <family val="2"/>
      <scheme val="minor"/>
    </font>
    <font>
      <sz val="11"/>
      <color rgb="FF404040"/>
      <name val="Aptos Narrow"/>
      <family val="2"/>
      <scheme val="minor"/>
    </font>
    <font>
      <b/>
      <sz val="11"/>
      <color rgb="FF7F7F7F"/>
      <name val="Aptos Narrow"/>
      <family val="2"/>
      <scheme val="minor"/>
    </font>
    <font>
      <sz val="9"/>
      <color theme="1"/>
      <name val="Aptos Narrow"/>
      <family val="2"/>
      <scheme val="minor"/>
    </font>
    <font>
      <b/>
      <sz val="9"/>
      <color rgb="FFFFFFFF"/>
      <name val="Aptos Narrow"/>
      <family val="2"/>
      <scheme val="minor"/>
    </font>
    <font>
      <sz val="8"/>
      <color theme="1"/>
      <name val="Aptos Narrow"/>
      <family val="2"/>
      <scheme val="minor"/>
    </font>
    <font>
      <b/>
      <sz val="8"/>
      <color theme="1"/>
      <name val="Aptos Narrow"/>
      <family val="2"/>
      <scheme val="minor"/>
    </font>
    <font>
      <b/>
      <sz val="8"/>
      <color rgb="FF000000"/>
      <name val="Aptos Narrow"/>
      <family val="2"/>
      <scheme val="minor"/>
    </font>
    <font>
      <b/>
      <sz val="9"/>
      <color rgb="FF000000"/>
      <name val="Aptos Narrow"/>
      <family val="2"/>
      <scheme val="minor"/>
    </font>
    <font>
      <sz val="9"/>
      <color rgb="FF000000"/>
      <name val="Aptos Narrow"/>
      <family val="2"/>
      <scheme val="minor"/>
    </font>
    <font>
      <sz val="10"/>
      <color rgb="FF000000"/>
      <name val="Aptos Narrow"/>
      <family val="2"/>
      <scheme val="minor"/>
    </font>
    <font>
      <b/>
      <sz val="10"/>
      <color rgb="FF000000"/>
      <name val="Aptos Narrow"/>
      <family val="2"/>
      <scheme val="minor"/>
    </font>
    <font>
      <sz val="10"/>
      <color rgb="FFA6A6A6"/>
      <name val="Aptos Narrow"/>
      <family val="2"/>
      <scheme val="minor"/>
    </font>
    <font>
      <sz val="10"/>
      <color rgb="FF7F7F7F"/>
      <name val="Aptos Narrow"/>
      <family val="2"/>
      <scheme val="minor"/>
    </font>
    <font>
      <sz val="10"/>
      <color rgb="FF0000FF"/>
      <name val="Aptos Narrow"/>
      <family val="2"/>
      <scheme val="minor"/>
    </font>
    <font>
      <b/>
      <sz val="10"/>
      <color rgb="FFA6A6A6"/>
      <name val="Aptos Narrow"/>
      <family val="2"/>
      <scheme val="minor"/>
    </font>
    <font>
      <b/>
      <sz val="10"/>
      <color rgb="FF0000FF"/>
      <name val="Aptos Narrow"/>
      <family val="2"/>
      <scheme val="minor"/>
    </font>
    <font>
      <b/>
      <sz val="8"/>
      <color rgb="FFFFFFFF"/>
      <name val="Aptos Narrow"/>
      <family val="2"/>
      <scheme val="minor"/>
    </font>
    <font>
      <b/>
      <sz val="12"/>
      <color rgb="FF000000"/>
      <name val="Aptos Narrow"/>
      <family val="2"/>
      <scheme val="minor"/>
    </font>
    <font>
      <sz val="9"/>
      <color rgb="FF0000FF"/>
      <name val="Aptos Narrow"/>
      <family val="2"/>
      <scheme val="minor"/>
    </font>
    <font>
      <sz val="11"/>
      <color rgb="FFA6A6A6"/>
      <name val="Aptos Narrow"/>
      <family val="2"/>
      <scheme val="minor"/>
    </font>
    <font>
      <sz val="9"/>
      <color rgb="FFA6A6A6"/>
      <name val="Aptos Narrow"/>
      <family val="2"/>
      <scheme val="minor"/>
    </font>
    <font>
      <b/>
      <i/>
      <sz val="11"/>
      <color rgb="FF9C5700"/>
      <name val="Aptos Narrow"/>
      <family val="2"/>
      <scheme val="minor"/>
    </font>
    <font>
      <b/>
      <sz val="11"/>
      <color rgb="FF375623"/>
      <name val="Aptos Narrow"/>
      <family val="2"/>
      <scheme val="minor"/>
    </font>
    <font>
      <b/>
      <sz val="9"/>
      <color rgb="FF1F3864"/>
      <name val="Aptos Narrow"/>
      <family val="2"/>
      <scheme val="minor"/>
    </font>
    <font>
      <b/>
      <sz val="10"/>
      <color rgb="FF1F3864"/>
      <name val="Aptos Narrow"/>
      <family val="2"/>
      <scheme val="minor"/>
    </font>
    <font>
      <b/>
      <i/>
      <sz val="10"/>
      <color rgb="FF9C5700"/>
      <name val="Aptos Narrow"/>
      <family val="2"/>
      <scheme val="minor"/>
    </font>
    <font>
      <i/>
      <sz val="10"/>
      <color rgb="FF7F7F7F"/>
      <name val="Aptos Narrow"/>
      <family val="2"/>
      <scheme val="minor"/>
    </font>
  </fonts>
  <fills count="22">
    <fill>
      <patternFill patternType="none"/>
    </fill>
    <fill>
      <patternFill patternType="gray125"/>
    </fill>
    <fill>
      <patternFill patternType="solid">
        <fgColor rgb="FF1F3864"/>
        <bgColor indexed="64"/>
      </patternFill>
    </fill>
    <fill>
      <patternFill patternType="solid">
        <fgColor rgb="FFD9E1F2"/>
        <bgColor indexed="64"/>
      </patternFill>
    </fill>
    <fill>
      <patternFill patternType="solid">
        <fgColor rgb="FF2F5597"/>
        <bgColor indexed="64"/>
      </patternFill>
    </fill>
    <fill>
      <patternFill patternType="solid">
        <fgColor rgb="FF548235"/>
        <bgColor indexed="64"/>
      </patternFill>
    </fill>
    <fill>
      <patternFill patternType="solid">
        <fgColor rgb="FF595959"/>
        <bgColor indexed="64"/>
      </patternFill>
    </fill>
    <fill>
      <patternFill patternType="solid">
        <fgColor rgb="FF375623"/>
        <bgColor indexed="64"/>
      </patternFill>
    </fill>
    <fill>
      <patternFill patternType="solid">
        <fgColor rgb="FF404040"/>
        <bgColor indexed="64"/>
      </patternFill>
    </fill>
    <fill>
      <patternFill patternType="solid">
        <fgColor rgb="FFF2F2F2"/>
        <bgColor indexed="64"/>
      </patternFill>
    </fill>
    <fill>
      <patternFill patternType="solid">
        <fgColor rgb="FFE2EFDA"/>
        <bgColor indexed="64"/>
      </patternFill>
    </fill>
    <fill>
      <patternFill patternType="solid">
        <fgColor rgb="FF9DC3E6"/>
        <bgColor indexed="64"/>
      </patternFill>
    </fill>
    <fill>
      <patternFill patternType="solid">
        <fgColor rgb="FFF4B183"/>
        <bgColor indexed="64"/>
      </patternFill>
    </fill>
    <fill>
      <patternFill patternType="solid">
        <fgColor rgb="FFA9D18E"/>
        <bgColor indexed="64"/>
      </patternFill>
    </fill>
    <fill>
      <patternFill patternType="solid">
        <fgColor rgb="FFFFD966"/>
        <bgColor indexed="64"/>
      </patternFill>
    </fill>
    <fill>
      <patternFill patternType="solid">
        <fgColor rgb="FFB4A7D6"/>
        <bgColor indexed="64"/>
      </patternFill>
    </fill>
    <fill>
      <patternFill patternType="solid">
        <fgColor rgb="FFD0CECE"/>
        <bgColor indexed="64"/>
      </patternFill>
    </fill>
    <fill>
      <patternFill patternType="solid">
        <fgColor rgb="FFF4A7B9"/>
        <bgColor indexed="64"/>
      </patternFill>
    </fill>
    <fill>
      <patternFill patternType="solid">
        <fgColor rgb="FF7FD1C7"/>
        <bgColor indexed="64"/>
      </patternFill>
    </fill>
    <fill>
      <patternFill patternType="solid">
        <fgColor rgb="FFBFBFBF"/>
        <bgColor indexed="64"/>
      </patternFill>
    </fill>
    <fill>
      <patternFill patternType="solid">
        <fgColor rgb="FFFFF2CC"/>
        <bgColor indexed="64"/>
      </patternFill>
    </fill>
    <fill>
      <patternFill patternType="solid">
        <fgColor rgb="FFFFFFFF"/>
        <bgColor indexed="64"/>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top style="thin">
        <color auto="1"/>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right/>
      <top style="thin">
        <color rgb="FFBFBFBF"/>
      </top>
      <bottom style="thin">
        <color rgb="FFBFBFBF"/>
      </bottom>
      <diagonal/>
    </border>
    <border>
      <left/>
      <right/>
      <top style="thin">
        <color rgb="FFBFBFBF"/>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thin">
        <color rgb="FFBFBFBF"/>
      </right>
      <top style="thin">
        <color rgb="FF595959"/>
      </top>
      <bottom style="thin">
        <color rgb="FFBFBFBF"/>
      </bottom>
      <diagonal/>
    </border>
    <border>
      <left style="thin">
        <color rgb="FFBFBFBF"/>
      </left>
      <right/>
      <top style="thin">
        <color rgb="FF595959"/>
      </top>
      <bottom style="thin">
        <color rgb="FFBFBFBF"/>
      </bottom>
      <diagonal/>
    </border>
    <border>
      <left/>
      <right style="thin">
        <color rgb="FFBFBFBF"/>
      </right>
      <top style="thin">
        <color rgb="FF595959"/>
      </top>
      <bottom style="thin">
        <color rgb="FFBFBFBF"/>
      </bottom>
      <diagonal/>
    </border>
    <border>
      <left style="thin">
        <color rgb="FFBFBFBF"/>
      </left>
      <right style="thin">
        <color rgb="FFBFBFBF"/>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595959"/>
      </top>
      <bottom style="thin">
        <color rgb="FFD9D9D9"/>
      </bottom>
      <diagonal/>
    </border>
    <border>
      <left style="thin">
        <color rgb="FFD9D9D9"/>
      </left>
      <right style="thin">
        <color rgb="FFD9D9D9"/>
      </right>
      <top style="thin">
        <color rgb="FF595959"/>
      </top>
      <bottom style="thin">
        <color rgb="FF595959"/>
      </bottom>
      <diagonal/>
    </border>
  </borders>
  <cellStyleXfs count="1">
    <xf numFmtId="0" fontId="0" fillId="0" borderId="0"/>
  </cellStyleXfs>
  <cellXfs count="211">
    <xf numFmtId="0" fontId="0" fillId="0" borderId="0" xfId="0"/>
    <xf numFmtId="0" fontId="3" fillId="0" borderId="0" xfId="0" applyFont="1"/>
    <xf numFmtId="0" fontId="4" fillId="0" borderId="0" xfId="0" applyFont="1"/>
    <xf numFmtId="0" fontId="5" fillId="0" borderId="0" xfId="0" applyFont="1"/>
    <xf numFmtId="9" fontId="5" fillId="0" borderId="0" xfId="0" applyNumberFormat="1" applyFont="1"/>
    <xf numFmtId="165" fontId="5" fillId="0" borderId="0" xfId="0" applyNumberFormat="1" applyFont="1"/>
    <xf numFmtId="1" fontId="5" fillId="0" borderId="0" xfId="0" applyNumberFormat="1" applyFont="1"/>
    <xf numFmtId="164" fontId="5" fillId="0" borderId="0" xfId="0" applyNumberFormat="1" applyFont="1" applyAlignment="1">
      <alignment horizontal="right"/>
    </xf>
    <xf numFmtId="0" fontId="5" fillId="0" borderId="0" xfId="0" applyFont="1" applyAlignment="1">
      <alignment horizontal="right"/>
    </xf>
    <xf numFmtId="9" fontId="5" fillId="0" borderId="0" xfId="0" applyNumberFormat="1" applyFont="1" applyAlignment="1">
      <alignment horizontal="right"/>
    </xf>
    <xf numFmtId="165" fontId="5" fillId="0" borderId="0" xfId="0" applyNumberFormat="1" applyFont="1" applyAlignment="1">
      <alignment horizontal="right"/>
    </xf>
    <xf numFmtId="1" fontId="5" fillId="0" borderId="0" xfId="0" applyNumberFormat="1" applyFont="1" applyAlignment="1">
      <alignment horizontal="right"/>
    </xf>
    <xf numFmtId="0" fontId="1" fillId="0" borderId="0" xfId="0" applyFont="1"/>
    <xf numFmtId="167" fontId="0" fillId="0" borderId="0" xfId="0" applyNumberFormat="1"/>
    <xf numFmtId="166" fontId="5" fillId="0" borderId="0" xfId="0" applyNumberFormat="1" applyFont="1"/>
    <xf numFmtId="0" fontId="2" fillId="0" borderId="0" xfId="0" applyFont="1"/>
    <xf numFmtId="0" fontId="2" fillId="0" borderId="2" xfId="0" applyFont="1" applyBorder="1"/>
    <xf numFmtId="165" fontId="2" fillId="0" borderId="2" xfId="0" applyNumberFormat="1" applyFont="1" applyBorder="1"/>
    <xf numFmtId="167" fontId="2" fillId="0" borderId="2" xfId="0" applyNumberFormat="1" applyFont="1" applyBorder="1"/>
    <xf numFmtId="0" fontId="6" fillId="2" borderId="0" xfId="0" applyFont="1" applyFill="1"/>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7" fillId="4" borderId="0" xfId="0" applyFont="1" applyFill="1"/>
    <xf numFmtId="0" fontId="0" fillId="6" borderId="0" xfId="0" applyFill="1"/>
    <xf numFmtId="0" fontId="10" fillId="3" borderId="0" xfId="0" applyFont="1" applyFill="1"/>
    <xf numFmtId="0" fontId="10" fillId="3" borderId="0" xfId="0" applyFont="1" applyFill="1" applyAlignment="1">
      <alignment horizontal="right"/>
    </xf>
    <xf numFmtId="0" fontId="0" fillId="0" borderId="0" xfId="0" applyAlignment="1">
      <alignment horizontal="right"/>
    </xf>
    <xf numFmtId="0" fontId="11" fillId="0" borderId="0" xfId="0" applyFont="1"/>
    <xf numFmtId="0" fontId="0" fillId="0" borderId="3" xfId="0" applyBorder="1"/>
    <xf numFmtId="0" fontId="0" fillId="0" borderId="4" xfId="0" applyBorder="1"/>
    <xf numFmtId="0" fontId="0" fillId="0" borderId="5" xfId="0" applyBorder="1"/>
    <xf numFmtId="0" fontId="13" fillId="0" borderId="0" xfId="0" applyFont="1"/>
    <xf numFmtId="0" fontId="16" fillId="2" borderId="0" xfId="0" applyFont="1" applyFill="1" applyAlignment="1">
      <alignment horizontal="center"/>
    </xf>
    <xf numFmtId="173" fontId="16" fillId="2" borderId="0" xfId="0" applyNumberFormat="1" applyFont="1" applyFill="1" applyAlignment="1">
      <alignment horizontal="center"/>
    </xf>
    <xf numFmtId="0" fontId="16" fillId="2" borderId="0" xfId="0" applyFont="1" applyFill="1" applyAlignment="1">
      <alignment horizontal="left"/>
    </xf>
    <xf numFmtId="0" fontId="10" fillId="3" borderId="0" xfId="0" applyFont="1" applyFill="1" applyAlignment="1">
      <alignment horizontal="center"/>
    </xf>
    <xf numFmtId="0" fontId="15" fillId="0" borderId="0" xfId="0" applyFont="1"/>
    <xf numFmtId="0" fontId="20" fillId="0" borderId="0" xfId="0" applyFont="1" applyAlignment="1">
      <alignment horizontal="left"/>
    </xf>
    <xf numFmtId="0" fontId="8" fillId="0" borderId="0" xfId="0" applyFont="1"/>
    <xf numFmtId="0" fontId="22" fillId="0" borderId="0" xfId="0" applyFont="1"/>
    <xf numFmtId="0" fontId="23" fillId="3" borderId="12" xfId="0" applyFont="1" applyFill="1" applyBorder="1" applyAlignment="1">
      <alignment horizontal="center"/>
    </xf>
    <xf numFmtId="0" fontId="25" fillId="0" borderId="12" xfId="0" applyFont="1" applyBorder="1"/>
    <xf numFmtId="0" fontId="26" fillId="0" borderId="12" xfId="0" applyFont="1" applyBorder="1" applyAlignment="1">
      <alignment indent="1"/>
    </xf>
    <xf numFmtId="0" fontId="25" fillId="0" borderId="12" xfId="0" applyFont="1" applyBorder="1" applyAlignment="1">
      <alignment horizontal="center"/>
    </xf>
    <xf numFmtId="168" fontId="26" fillId="0" borderId="12" xfId="0" applyNumberFormat="1" applyFont="1" applyBorder="1" applyAlignment="1">
      <alignment horizontal="center"/>
    </xf>
    <xf numFmtId="0" fontId="25" fillId="0" borderId="15" xfId="0" applyFont="1" applyBorder="1"/>
    <xf numFmtId="0" fontId="26" fillId="0" borderId="15" xfId="0" applyFont="1" applyBorder="1" applyAlignment="1">
      <alignment indent="1"/>
    </xf>
    <xf numFmtId="0" fontId="25" fillId="0" borderId="15" xfId="0" applyFont="1" applyBorder="1" applyAlignment="1">
      <alignment horizontal="center"/>
    </xf>
    <xf numFmtId="168" fontId="26" fillId="0" borderId="15" xfId="0" applyNumberFormat="1" applyFont="1" applyBorder="1" applyAlignment="1">
      <alignment horizontal="center"/>
    </xf>
    <xf numFmtId="0" fontId="6" fillId="7" borderId="12" xfId="0" applyFont="1" applyFill="1" applyBorder="1" applyAlignment="1">
      <alignment horizontal="center" vertical="center" wrapText="1"/>
    </xf>
    <xf numFmtId="0" fontId="6" fillId="8" borderId="12" xfId="0" applyFont="1" applyFill="1" applyBorder="1" applyAlignment="1">
      <alignment horizontal="center" vertical="center" wrapText="1"/>
    </xf>
    <xf numFmtId="1" fontId="25" fillId="0" borderId="12" xfId="0" applyNumberFormat="1" applyFont="1" applyBorder="1" applyAlignment="1">
      <alignment horizontal="center"/>
    </xf>
    <xf numFmtId="0" fontId="27" fillId="3" borderId="12" xfId="0" applyFont="1" applyFill="1" applyBorder="1" applyAlignment="1">
      <alignment horizontal="center"/>
    </xf>
    <xf numFmtId="0" fontId="6" fillId="2" borderId="15" xfId="0" applyFont="1" applyFill="1" applyBorder="1" applyAlignment="1">
      <alignment horizontal="center" vertical="center" wrapText="1"/>
    </xf>
    <xf numFmtId="1" fontId="25" fillId="0" borderId="9" xfId="0" applyNumberFormat="1" applyFont="1" applyBorder="1" applyAlignment="1">
      <alignment horizontal="center"/>
    </xf>
    <xf numFmtId="0" fontId="25" fillId="0" borderId="9" xfId="0" applyFont="1" applyBorder="1"/>
    <xf numFmtId="0" fontId="26" fillId="0" borderId="9" xfId="0" applyFont="1" applyBorder="1" applyAlignment="1">
      <alignment indent="1"/>
    </xf>
    <xf numFmtId="0" fontId="25" fillId="0" borderId="9" xfId="0" applyFont="1" applyBorder="1" applyAlignment="1">
      <alignment horizontal="center"/>
    </xf>
    <xf numFmtId="168" fontId="26" fillId="0" borderId="9" xfId="0" applyNumberFormat="1" applyFont="1" applyBorder="1" applyAlignment="1">
      <alignment horizontal="center"/>
    </xf>
    <xf numFmtId="1" fontId="28" fillId="3" borderId="17" xfId="0" applyNumberFormat="1" applyFont="1" applyFill="1" applyBorder="1" applyAlignment="1">
      <alignment horizontal="center"/>
    </xf>
    <xf numFmtId="0" fontId="28" fillId="3" borderId="17" xfId="0" applyFont="1" applyFill="1" applyBorder="1"/>
    <xf numFmtId="0" fontId="23" fillId="3" borderId="17" xfId="0" applyFont="1" applyFill="1" applyBorder="1"/>
    <xf numFmtId="0" fontId="28" fillId="3" borderId="17" xfId="0" applyFont="1" applyFill="1" applyBorder="1" applyAlignment="1">
      <alignment horizontal="center"/>
    </xf>
    <xf numFmtId="168" fontId="23" fillId="3" borderId="17" xfId="0" applyNumberFormat="1" applyFont="1" applyFill="1" applyBorder="1" applyAlignment="1">
      <alignment horizontal="center"/>
    </xf>
    <xf numFmtId="1" fontId="25" fillId="0" borderId="15" xfId="0" applyNumberFormat="1" applyFont="1" applyBorder="1" applyAlignment="1">
      <alignment horizontal="center"/>
    </xf>
    <xf numFmtId="0" fontId="22" fillId="0" borderId="6" xfId="0" applyFont="1" applyBorder="1"/>
    <xf numFmtId="9" fontId="0" fillId="0" borderId="12" xfId="0" applyNumberFormat="1" applyBorder="1" applyAlignment="1">
      <alignment horizontal="center"/>
    </xf>
    <xf numFmtId="9" fontId="17" fillId="0" borderId="12" xfId="0" applyNumberFormat="1" applyFont="1" applyBorder="1" applyAlignment="1">
      <alignment horizontal="center"/>
    </xf>
    <xf numFmtId="9" fontId="2" fillId="0" borderId="12" xfId="0" applyNumberFormat="1" applyFont="1" applyBorder="1" applyAlignment="1">
      <alignment horizontal="center"/>
    </xf>
    <xf numFmtId="9" fontId="18" fillId="0" borderId="12" xfId="0" applyNumberFormat="1" applyFont="1" applyBorder="1" applyAlignment="1">
      <alignment horizontal="center"/>
    </xf>
    <xf numFmtId="171" fontId="17" fillId="0" borderId="12" xfId="0" applyNumberFormat="1" applyFont="1" applyBorder="1" applyAlignment="1">
      <alignment horizontal="center"/>
    </xf>
    <xf numFmtId="0" fontId="6" fillId="2" borderId="12" xfId="0" applyFont="1" applyFill="1" applyBorder="1" applyAlignment="1">
      <alignment horizontal="center"/>
    </xf>
    <xf numFmtId="168" fontId="6" fillId="2" borderId="12" xfId="0" applyNumberFormat="1" applyFont="1" applyFill="1" applyBorder="1" applyAlignment="1">
      <alignment horizontal="center"/>
    </xf>
    <xf numFmtId="0" fontId="6" fillId="2" borderId="12" xfId="0" applyFont="1" applyFill="1" applyBorder="1" applyAlignment="1">
      <alignment horizontal="left"/>
    </xf>
    <xf numFmtId="172" fontId="0" fillId="9" borderId="12" xfId="0" applyNumberFormat="1" applyFill="1" applyBorder="1" applyAlignment="1">
      <alignment horizontal="right"/>
    </xf>
    <xf numFmtId="172" fontId="0" fillId="0" borderId="12" xfId="0" applyNumberFormat="1" applyBorder="1" applyAlignment="1">
      <alignment horizontal="right"/>
    </xf>
    <xf numFmtId="172" fontId="2" fillId="9" borderId="12" xfId="0" applyNumberFormat="1" applyFont="1" applyFill="1" applyBorder="1" applyAlignment="1">
      <alignment horizontal="right"/>
    </xf>
    <xf numFmtId="172" fontId="2" fillId="0" borderId="12" xfId="0" applyNumberFormat="1" applyFont="1" applyBorder="1" applyAlignment="1">
      <alignment horizontal="right"/>
    </xf>
    <xf numFmtId="0" fontId="0" fillId="0" borderId="12" xfId="0" applyBorder="1"/>
    <xf numFmtId="0" fontId="2" fillId="0" borderId="12" xfId="0" applyFont="1" applyBorder="1"/>
    <xf numFmtId="172" fontId="9" fillId="0" borderId="12" xfId="0" applyNumberFormat="1" applyFont="1" applyBorder="1" applyAlignment="1">
      <alignment horizontal="right"/>
    </xf>
    <xf numFmtId="9" fontId="0" fillId="9" borderId="12" xfId="0" applyNumberFormat="1" applyFill="1" applyBorder="1" applyAlignment="1">
      <alignment horizontal="right"/>
    </xf>
    <xf numFmtId="9" fontId="0" fillId="0" borderId="12" xfId="0" applyNumberFormat="1" applyBorder="1" applyAlignment="1">
      <alignment horizontal="right"/>
    </xf>
    <xf numFmtId="9" fontId="2" fillId="9" borderId="12" xfId="0" applyNumberFormat="1" applyFont="1" applyFill="1" applyBorder="1" applyAlignment="1">
      <alignment horizontal="right"/>
    </xf>
    <xf numFmtId="9" fontId="2" fillId="0" borderId="12" xfId="0" applyNumberFormat="1" applyFont="1" applyBorder="1" applyAlignment="1">
      <alignment horizontal="right"/>
    </xf>
    <xf numFmtId="170" fontId="0" fillId="9" borderId="12" xfId="0" applyNumberFormat="1" applyFill="1" applyBorder="1" applyAlignment="1">
      <alignment horizontal="right"/>
    </xf>
    <xf numFmtId="170" fontId="0" fillId="0" borderId="12" xfId="0" applyNumberFormat="1" applyBorder="1" applyAlignment="1">
      <alignment horizontal="right"/>
    </xf>
    <xf numFmtId="170" fontId="2" fillId="9" borderId="12" xfId="0" applyNumberFormat="1" applyFont="1" applyFill="1" applyBorder="1" applyAlignment="1">
      <alignment horizontal="right"/>
    </xf>
    <xf numFmtId="170" fontId="2" fillId="0" borderId="12" xfId="0" applyNumberFormat="1" applyFont="1" applyBorder="1" applyAlignment="1">
      <alignment horizontal="right"/>
    </xf>
    <xf numFmtId="1" fontId="0" fillId="9" borderId="12" xfId="0" applyNumberFormat="1" applyFill="1" applyBorder="1" applyAlignment="1">
      <alignment horizontal="right"/>
    </xf>
    <xf numFmtId="171" fontId="0" fillId="0" borderId="12" xfId="0" applyNumberFormat="1" applyBorder="1" applyAlignment="1">
      <alignment horizontal="right"/>
    </xf>
    <xf numFmtId="1" fontId="0" fillId="0" borderId="12" xfId="0" applyNumberFormat="1" applyBorder="1" applyAlignment="1">
      <alignment horizontal="right"/>
    </xf>
    <xf numFmtId="169" fontId="0" fillId="0" borderId="12" xfId="0" applyNumberFormat="1" applyBorder="1" applyAlignment="1">
      <alignment horizontal="right"/>
    </xf>
    <xf numFmtId="0" fontId="10" fillId="3" borderId="12" xfId="0" applyFont="1" applyFill="1" applyBorder="1" applyAlignment="1">
      <alignment horizontal="center" vertical="center" wrapText="1"/>
    </xf>
    <xf numFmtId="1" fontId="2" fillId="0" borderId="12" xfId="0" applyNumberFormat="1" applyFont="1" applyBorder="1" applyAlignment="1">
      <alignment horizontal="right"/>
    </xf>
    <xf numFmtId="169" fontId="2" fillId="0" borderId="12" xfId="0" applyNumberFormat="1" applyFont="1" applyBorder="1" applyAlignment="1">
      <alignment horizontal="right"/>
    </xf>
    <xf numFmtId="0" fontId="10" fillId="3" borderId="12" xfId="0" applyFont="1" applyFill="1" applyBorder="1" applyAlignment="1">
      <alignment horizontal="left" vertical="center" wrapText="1"/>
    </xf>
    <xf numFmtId="0" fontId="9" fillId="0" borderId="12" xfId="0" applyFont="1" applyBorder="1"/>
    <xf numFmtId="166" fontId="2" fillId="0" borderId="12" xfId="0" applyNumberFormat="1" applyFont="1" applyBorder="1" applyAlignment="1">
      <alignment horizontal="right"/>
    </xf>
    <xf numFmtId="166" fontId="9" fillId="0" borderId="12" xfId="0" applyNumberFormat="1" applyFont="1" applyBorder="1" applyAlignment="1">
      <alignment horizontal="right"/>
    </xf>
    <xf numFmtId="0" fontId="0" fillId="0" borderId="12" xfId="0" applyBorder="1" applyAlignment="1">
      <alignment horizontal="center"/>
    </xf>
    <xf numFmtId="1" fontId="0" fillId="0" borderId="12" xfId="0" applyNumberFormat="1" applyBorder="1" applyAlignment="1">
      <alignment horizontal="center"/>
    </xf>
    <xf numFmtId="168" fontId="0" fillId="0" borderId="12" xfId="0" applyNumberFormat="1" applyBorder="1" applyAlignment="1">
      <alignment horizontal="center"/>
    </xf>
    <xf numFmtId="172" fontId="0" fillId="0" borderId="12" xfId="0" applyNumberFormat="1" applyBorder="1"/>
    <xf numFmtId="169" fontId="0" fillId="0" borderId="12" xfId="0" applyNumberFormat="1" applyBorder="1"/>
    <xf numFmtId="9" fontId="0" fillId="0" borderId="12" xfId="0" applyNumberFormat="1" applyBorder="1"/>
    <xf numFmtId="9" fontId="12" fillId="0" borderId="12" xfId="0" applyNumberFormat="1" applyFont="1" applyBorder="1" applyAlignment="1">
      <alignment horizontal="right"/>
    </xf>
    <xf numFmtId="1" fontId="12" fillId="0" borderId="12" xfId="0" applyNumberFormat="1" applyFont="1" applyBorder="1" applyAlignment="1">
      <alignment horizontal="right"/>
    </xf>
    <xf numFmtId="169" fontId="12" fillId="0" borderId="12" xfId="0" applyNumberFormat="1" applyFont="1" applyBorder="1" applyAlignment="1">
      <alignment horizontal="right"/>
    </xf>
    <xf numFmtId="0" fontId="1" fillId="0" borderId="12" xfId="0" applyFont="1" applyBorder="1"/>
    <xf numFmtId="0" fontId="10" fillId="3" borderId="12" xfId="0" applyFont="1" applyFill="1" applyBorder="1" applyAlignment="1">
      <alignment horizontal="center"/>
    </xf>
    <xf numFmtId="174" fontId="0" fillId="0" borderId="12" xfId="0" applyNumberFormat="1" applyBorder="1" applyAlignment="1">
      <alignment horizontal="center"/>
    </xf>
    <xf numFmtId="174" fontId="2" fillId="0" borderId="12" xfId="0" applyNumberFormat="1" applyFont="1" applyBorder="1" applyAlignment="1">
      <alignment horizontal="center"/>
    </xf>
    <xf numFmtId="0" fontId="10" fillId="3" borderId="12" xfId="0" applyFont="1" applyFill="1" applyBorder="1" applyAlignment="1">
      <alignment horizontal="left"/>
    </xf>
    <xf numFmtId="165" fontId="9" fillId="0" borderId="12" xfId="0" applyNumberFormat="1" applyFont="1" applyBorder="1" applyAlignment="1">
      <alignment horizontal="center"/>
    </xf>
    <xf numFmtId="9" fontId="9" fillId="0" borderId="12" xfId="0" applyNumberFormat="1" applyFont="1" applyBorder="1" applyAlignment="1">
      <alignment horizontal="center"/>
    </xf>
    <xf numFmtId="170" fontId="0" fillId="0" borderId="12" xfId="0" applyNumberFormat="1" applyBorder="1" applyAlignment="1">
      <alignment horizontal="center"/>
    </xf>
    <xf numFmtId="9" fontId="0" fillId="0" borderId="11" xfId="0" applyNumberFormat="1" applyBorder="1" applyAlignment="1">
      <alignment horizontal="center"/>
    </xf>
    <xf numFmtId="9" fontId="2" fillId="0" borderId="11" xfId="0" applyNumberFormat="1" applyFont="1" applyBorder="1" applyAlignment="1">
      <alignment horizontal="center"/>
    </xf>
    <xf numFmtId="171" fontId="0" fillId="0" borderId="11" xfId="0" applyNumberFormat="1" applyBorder="1" applyAlignment="1">
      <alignment horizontal="center"/>
    </xf>
    <xf numFmtId="0" fontId="22" fillId="0" borderId="13" xfId="0" applyFont="1" applyBorder="1" applyAlignment="1">
      <alignment horizontal="left"/>
    </xf>
    <xf numFmtId="0" fontId="23" fillId="0" borderId="13" xfId="0" applyFont="1" applyBorder="1" applyAlignment="1">
      <alignment horizontal="left"/>
    </xf>
    <xf numFmtId="165" fontId="8" fillId="0" borderId="0" xfId="0" applyNumberFormat="1" applyFont="1"/>
    <xf numFmtId="0" fontId="16" fillId="6" borderId="0" xfId="0" applyFont="1" applyFill="1"/>
    <xf numFmtId="0" fontId="6" fillId="2" borderId="16" xfId="0" applyFont="1" applyFill="1" applyBorder="1" applyAlignment="1">
      <alignment horizontal="center" vertical="center" wrapText="1"/>
    </xf>
    <xf numFmtId="169" fontId="23" fillId="3" borderId="18" xfId="0" applyNumberFormat="1" applyFont="1" applyFill="1" applyBorder="1"/>
    <xf numFmtId="169" fontId="26" fillId="0" borderId="10" xfId="0" applyNumberFormat="1" applyFont="1" applyBorder="1"/>
    <xf numFmtId="169" fontId="26" fillId="0" borderId="13" xfId="0" applyNumberFormat="1" applyFont="1" applyBorder="1"/>
    <xf numFmtId="169" fontId="26" fillId="0" borderId="16" xfId="0" applyNumberFormat="1" applyFont="1" applyBorder="1"/>
    <xf numFmtId="0" fontId="29" fillId="5" borderId="0" xfId="0" applyFont="1" applyFill="1" applyAlignment="1">
      <alignment horizontal="center" wrapText="1"/>
    </xf>
    <xf numFmtId="0" fontId="10" fillId="0" borderId="0" xfId="0" applyFont="1" applyAlignment="1">
      <alignment horizontal="right"/>
    </xf>
    <xf numFmtId="169" fontId="30" fillId="20" borderId="1" xfId="0" applyNumberFormat="1" applyFont="1" applyFill="1" applyBorder="1" applyAlignment="1">
      <alignment horizontal="right"/>
    </xf>
    <xf numFmtId="0" fontId="6" fillId="2" borderId="14" xfId="0" applyFont="1" applyFill="1" applyBorder="1" applyAlignment="1">
      <alignment horizontal="center" vertical="center" wrapText="1"/>
    </xf>
    <xf numFmtId="0" fontId="16" fillId="4" borderId="0" xfId="0" applyFont="1" applyFill="1" applyAlignment="1">
      <alignment horizontal="center"/>
    </xf>
    <xf numFmtId="175" fontId="23" fillId="3" borderId="19" xfId="0" applyNumberFormat="1" applyFont="1" applyFill="1" applyBorder="1" applyAlignment="1">
      <alignment horizontal="center"/>
    </xf>
    <xf numFmtId="175" fontId="26" fillId="21" borderId="8" xfId="0" applyNumberFormat="1" applyFont="1" applyFill="1" applyBorder="1" applyAlignment="1">
      <alignment horizontal="center"/>
    </xf>
    <xf numFmtId="175" fontId="26" fillId="21" borderId="11" xfId="0" applyNumberFormat="1" applyFont="1" applyFill="1" applyBorder="1" applyAlignment="1">
      <alignment horizontal="center"/>
    </xf>
    <xf numFmtId="175" fontId="26" fillId="21" borderId="14" xfId="0" applyNumberFormat="1" applyFont="1" applyFill="1" applyBorder="1" applyAlignment="1">
      <alignment horizontal="center"/>
    </xf>
    <xf numFmtId="168" fontId="22" fillId="0" borderId="9" xfId="0" applyNumberFormat="1" applyFont="1" applyBorder="1" applyAlignment="1">
      <alignment horizontal="center"/>
    </xf>
    <xf numFmtId="168" fontId="22" fillId="0" borderId="12" xfId="0" applyNumberFormat="1" applyFont="1" applyBorder="1" applyAlignment="1">
      <alignment horizontal="center"/>
    </xf>
    <xf numFmtId="168" fontId="22" fillId="0" borderId="15" xfId="0" applyNumberFormat="1" applyFont="1" applyBorder="1" applyAlignment="1">
      <alignment horizontal="center"/>
    </xf>
    <xf numFmtId="176" fontId="23" fillId="3" borderId="12" xfId="0" applyNumberFormat="1" applyFont="1" applyFill="1" applyBorder="1" applyAlignment="1">
      <alignment horizontal="right"/>
    </xf>
    <xf numFmtId="169" fontId="23" fillId="3" borderId="12" xfId="0" applyNumberFormat="1" applyFont="1" applyFill="1" applyBorder="1" applyAlignment="1">
      <alignment horizontal="right"/>
    </xf>
    <xf numFmtId="9" fontId="23" fillId="3" borderId="12" xfId="0" applyNumberFormat="1" applyFont="1" applyFill="1" applyBorder="1" applyAlignment="1">
      <alignment horizontal="right"/>
    </xf>
    <xf numFmtId="176" fontId="22" fillId="9" borderId="12" xfId="0" applyNumberFormat="1" applyFont="1" applyFill="1" applyBorder="1" applyAlignment="1">
      <alignment horizontal="right"/>
    </xf>
    <xf numFmtId="169" fontId="22" fillId="9" borderId="12" xfId="0" applyNumberFormat="1" applyFont="1" applyFill="1" applyBorder="1" applyAlignment="1">
      <alignment horizontal="right"/>
    </xf>
    <xf numFmtId="9" fontId="22" fillId="9" borderId="12" xfId="0" applyNumberFormat="1" applyFont="1" applyFill="1" applyBorder="1" applyAlignment="1">
      <alignment horizontal="right"/>
    </xf>
    <xf numFmtId="0" fontId="22" fillId="9" borderId="12" xfId="0" applyFont="1" applyFill="1" applyBorder="1" applyAlignment="1">
      <alignment horizontal="center"/>
    </xf>
    <xf numFmtId="176" fontId="26" fillId="10" borderId="12" xfId="0" applyNumberFormat="1" applyFont="1" applyFill="1" applyBorder="1" applyAlignment="1">
      <alignment horizontal="right"/>
    </xf>
    <xf numFmtId="0" fontId="14" fillId="0" borderId="0" xfId="0" applyFont="1" applyAlignment="1">
      <alignment horizontal="center"/>
    </xf>
    <xf numFmtId="0" fontId="33" fillId="0" borderId="0" xfId="0" applyFont="1" applyAlignment="1">
      <alignment horizontal="center"/>
    </xf>
    <xf numFmtId="168" fontId="33" fillId="0" borderId="0" xfId="0" applyNumberFormat="1" applyFont="1" applyAlignment="1">
      <alignment horizontal="center"/>
    </xf>
    <xf numFmtId="0" fontId="24" fillId="9" borderId="12" xfId="0" applyFont="1" applyFill="1" applyBorder="1" applyAlignment="1">
      <alignment horizontal="center"/>
    </xf>
    <xf numFmtId="0" fontId="34" fillId="0" borderId="0" xfId="0" applyFont="1"/>
    <xf numFmtId="0" fontId="35" fillId="0" borderId="0" xfId="0" applyFont="1"/>
    <xf numFmtId="0" fontId="6" fillId="8" borderId="20" xfId="0" applyFont="1" applyFill="1" applyBorder="1" applyAlignment="1">
      <alignment horizontal="center" vertical="center" wrapText="1"/>
    </xf>
    <xf numFmtId="175" fontId="32" fillId="0" borderId="0" xfId="0" applyNumberFormat="1" applyFont="1" applyAlignment="1">
      <alignment horizontal="center"/>
    </xf>
    <xf numFmtId="0" fontId="21" fillId="21" borderId="22" xfId="0" applyFont="1" applyFill="1" applyBorder="1"/>
    <xf numFmtId="0" fontId="21" fillId="21" borderId="22" xfId="0" applyFont="1" applyFill="1" applyBorder="1" applyAlignment="1">
      <alignment horizontal="center"/>
    </xf>
    <xf numFmtId="176" fontId="21" fillId="9" borderId="22" xfId="0" applyNumberFormat="1" applyFont="1" applyFill="1" applyBorder="1" applyAlignment="1">
      <alignment horizontal="center"/>
    </xf>
    <xf numFmtId="177" fontId="31" fillId="21" borderId="22" xfId="0" applyNumberFormat="1" applyFont="1" applyFill="1" applyBorder="1" applyAlignment="1">
      <alignment horizontal="center"/>
    </xf>
    <xf numFmtId="0" fontId="21" fillId="21" borderId="23" xfId="0" applyFont="1" applyFill="1" applyBorder="1"/>
    <xf numFmtId="0" fontId="21" fillId="21" borderId="23" xfId="0" applyFont="1" applyFill="1" applyBorder="1" applyAlignment="1">
      <alignment horizontal="center"/>
    </xf>
    <xf numFmtId="176" fontId="21" fillId="9" borderId="23" xfId="0" applyNumberFormat="1" applyFont="1" applyFill="1" applyBorder="1" applyAlignment="1">
      <alignment horizontal="center"/>
    </xf>
    <xf numFmtId="177" fontId="31" fillId="21" borderId="23" xfId="0" applyNumberFormat="1" applyFont="1" applyFill="1" applyBorder="1" applyAlignment="1">
      <alignment horizontal="center"/>
    </xf>
    <xf numFmtId="0" fontId="6" fillId="8" borderId="23" xfId="0" applyFont="1" applyFill="1" applyBorder="1" applyAlignment="1">
      <alignment horizontal="center"/>
    </xf>
    <xf numFmtId="173" fontId="29" fillId="8" borderId="23" xfId="0" applyNumberFormat="1" applyFont="1" applyFill="1" applyBorder="1" applyAlignment="1">
      <alignment horizontal="center"/>
    </xf>
    <xf numFmtId="0" fontId="21" fillId="21" borderId="21" xfId="0" applyFont="1" applyFill="1" applyBorder="1" applyAlignment="1">
      <alignment horizontal="center"/>
    </xf>
    <xf numFmtId="0" fontId="21" fillId="21" borderId="21" xfId="0" applyFont="1" applyFill="1" applyBorder="1"/>
    <xf numFmtId="176" fontId="21" fillId="9" borderId="21" xfId="0" applyNumberFormat="1" applyFont="1" applyFill="1" applyBorder="1" applyAlignment="1">
      <alignment horizontal="center"/>
    </xf>
    <xf numFmtId="177" fontId="31" fillId="21" borderId="21" xfId="0" applyNumberFormat="1" applyFont="1" applyFill="1" applyBorder="1" applyAlignment="1">
      <alignment horizontal="center"/>
    </xf>
    <xf numFmtId="0" fontId="36" fillId="3" borderId="25" xfId="0" applyFont="1" applyFill="1" applyBorder="1" applyAlignment="1">
      <alignment horizontal="center"/>
    </xf>
    <xf numFmtId="176" fontId="36" fillId="3" borderId="25" xfId="0" applyNumberFormat="1" applyFont="1" applyFill="1" applyBorder="1" applyAlignment="1">
      <alignment horizontal="center"/>
    </xf>
    <xf numFmtId="0" fontId="36" fillId="3" borderId="25" xfId="0" applyFont="1" applyFill="1" applyBorder="1" applyAlignment="1">
      <alignment horizontal="left"/>
    </xf>
    <xf numFmtId="177" fontId="36" fillId="3" borderId="25" xfId="0" applyNumberFormat="1" applyFont="1" applyFill="1" applyBorder="1" applyAlignment="1">
      <alignment horizontal="center"/>
    </xf>
    <xf numFmtId="0" fontId="37" fillId="3" borderId="0" xfId="0" applyFont="1" applyFill="1"/>
    <xf numFmtId="0" fontId="22" fillId="0" borderId="0" xfId="0" applyFont="1" applyAlignment="1">
      <alignment horizontal="right"/>
    </xf>
    <xf numFmtId="0" fontId="37" fillId="3" borderId="0" xfId="0" applyFont="1" applyFill="1" applyAlignment="1">
      <alignment horizontal="right"/>
    </xf>
    <xf numFmtId="176" fontId="22" fillId="9" borderId="22" xfId="0" applyNumberFormat="1" applyFont="1" applyFill="1" applyBorder="1" applyAlignment="1">
      <alignment horizontal="right"/>
    </xf>
    <xf numFmtId="176" fontId="22" fillId="0" borderId="22" xfId="0" applyNumberFormat="1" applyFont="1" applyBorder="1" applyAlignment="1">
      <alignment horizontal="right"/>
    </xf>
    <xf numFmtId="0" fontId="22" fillId="0" borderId="22" xfId="0" applyFont="1" applyBorder="1"/>
    <xf numFmtId="0" fontId="23" fillId="0" borderId="22" xfId="0" applyFont="1" applyBorder="1"/>
    <xf numFmtId="174" fontId="22" fillId="9" borderId="22" xfId="0" applyNumberFormat="1" applyFont="1" applyFill="1" applyBorder="1" applyAlignment="1">
      <alignment horizontal="right"/>
    </xf>
    <xf numFmtId="174" fontId="22" fillId="0" borderId="22" xfId="0" applyNumberFormat="1" applyFont="1" applyBorder="1" applyAlignment="1">
      <alignment horizontal="right"/>
    </xf>
    <xf numFmtId="9" fontId="23" fillId="9" borderId="22" xfId="0" applyNumberFormat="1" applyFont="1" applyFill="1" applyBorder="1" applyAlignment="1">
      <alignment horizontal="right"/>
    </xf>
    <xf numFmtId="9" fontId="23" fillId="0" borderId="22" xfId="0" applyNumberFormat="1" applyFont="1" applyBorder="1" applyAlignment="1">
      <alignment horizontal="right"/>
    </xf>
    <xf numFmtId="179" fontId="23" fillId="9" borderId="22" xfId="0" applyNumberFormat="1" applyFont="1" applyFill="1" applyBorder="1" applyAlignment="1">
      <alignment horizontal="right"/>
    </xf>
    <xf numFmtId="178" fontId="23" fillId="9" borderId="22" xfId="0" applyNumberFormat="1" applyFont="1" applyFill="1" applyBorder="1" applyAlignment="1">
      <alignment horizontal="right"/>
    </xf>
    <xf numFmtId="178" fontId="23" fillId="0" borderId="22" xfId="0" applyNumberFormat="1" applyFont="1" applyBorder="1" applyAlignment="1">
      <alignment horizontal="right"/>
    </xf>
    <xf numFmtId="0" fontId="22" fillId="0" borderId="23" xfId="0" applyFont="1" applyBorder="1"/>
    <xf numFmtId="176" fontId="22" fillId="9" borderId="23" xfId="0" applyNumberFormat="1" applyFont="1" applyFill="1" applyBorder="1" applyAlignment="1">
      <alignment horizontal="right"/>
    </xf>
    <xf numFmtId="176" fontId="22" fillId="0" borderId="23" xfId="0" applyNumberFormat="1" applyFont="1" applyBorder="1" applyAlignment="1">
      <alignment horizontal="right"/>
    </xf>
    <xf numFmtId="0" fontId="23" fillId="0" borderId="24" xfId="0" applyFont="1" applyBorder="1"/>
    <xf numFmtId="176" fontId="23" fillId="9" borderId="24" xfId="0" applyNumberFormat="1" applyFont="1" applyFill="1" applyBorder="1" applyAlignment="1">
      <alignment horizontal="right"/>
    </xf>
    <xf numFmtId="176" fontId="23" fillId="0" borderId="24" xfId="0" applyNumberFormat="1" applyFont="1" applyBorder="1" applyAlignment="1">
      <alignment horizontal="right"/>
    </xf>
    <xf numFmtId="0" fontId="38" fillId="0" borderId="0" xfId="0" applyFont="1"/>
    <xf numFmtId="0" fontId="39" fillId="0" borderId="0" xfId="0" applyFont="1"/>
    <xf numFmtId="0" fontId="19" fillId="17" borderId="7" xfId="0" applyFont="1" applyFill="1" applyBorder="1" applyAlignment="1">
      <alignment horizontal="center"/>
    </xf>
    <xf numFmtId="0" fontId="19" fillId="18" borderId="7" xfId="0" applyFont="1" applyFill="1" applyBorder="1" applyAlignment="1">
      <alignment horizontal="center"/>
    </xf>
    <xf numFmtId="0" fontId="19" fillId="19" borderId="7" xfId="0" applyFont="1" applyFill="1" applyBorder="1" applyAlignment="1">
      <alignment horizontal="center"/>
    </xf>
    <xf numFmtId="0" fontId="19" fillId="11" borderId="7" xfId="0" applyFont="1" applyFill="1" applyBorder="1" applyAlignment="1">
      <alignment horizontal="center"/>
    </xf>
    <xf numFmtId="0" fontId="19" fillId="12" borderId="7" xfId="0" applyFont="1" applyFill="1" applyBorder="1" applyAlignment="1">
      <alignment horizontal="center"/>
    </xf>
    <xf numFmtId="0" fontId="19" fillId="13" borderId="7" xfId="0" applyFont="1" applyFill="1" applyBorder="1" applyAlignment="1">
      <alignment horizontal="center"/>
    </xf>
    <xf numFmtId="0" fontId="19" fillId="14" borderId="7" xfId="0" applyFont="1" applyFill="1" applyBorder="1" applyAlignment="1">
      <alignment horizontal="center"/>
    </xf>
    <xf numFmtId="0" fontId="19" fillId="15" borderId="7" xfId="0" applyFont="1" applyFill="1" applyBorder="1" applyAlignment="1">
      <alignment horizontal="center"/>
    </xf>
    <xf numFmtId="0" fontId="19" fillId="16" borderId="7" xfId="0" applyFont="1" applyFill="1" applyBorder="1" applyAlignment="1">
      <alignment horizontal="center"/>
    </xf>
    <xf numFmtId="0" fontId="10" fillId="3" borderId="12" xfId="0" applyFont="1" applyFill="1" applyBorder="1" applyAlignment="1">
      <alignment horizontal="center"/>
    </xf>
    <xf numFmtId="0" fontId="28" fillId="3" borderId="17" xfId="0" quotePrefix="1" applyFont="1" applyFill="1" applyBorder="1"/>
    <xf numFmtId="0" fontId="25" fillId="0" borderId="9" xfId="0" quotePrefix="1" applyFont="1" applyBorder="1"/>
    <xf numFmtId="0" fontId="25" fillId="0" borderId="12" xfId="0" quotePrefix="1" applyFont="1" applyBorder="1"/>
    <xf numFmtId="0" fontId="5" fillId="0" borderId="0" xfId="0" quotePrefix="1" applyFont="1"/>
  </cellXfs>
  <cellStyles count="1">
    <cellStyle name="Normal" xfId="0" builtinId="0"/>
  </cellStyles>
  <dxfs count="82">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b/>
        <i val="0"/>
        <color rgb="FFFFFFFF"/>
      </font>
      <fill>
        <patternFill patternType="solid">
          <fgColor indexed="64"/>
          <bgColor rgb="FFC00000"/>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FFFFFF"/>
      </font>
    </dxf>
    <dxf>
      <font>
        <color rgb="FF000000"/>
      </font>
      <fill>
        <patternFill patternType="solid">
          <fgColor indexed="64"/>
          <bgColor rgb="FFF4B183"/>
        </patternFill>
      </fill>
    </dxf>
    <dxf>
      <font>
        <color rgb="FF9C0006"/>
      </font>
      <fill>
        <patternFill patternType="solid">
          <fgColor indexed="64"/>
          <bgColor rgb="FFFFC7CE"/>
        </patternFill>
      </fill>
    </dxf>
    <dxf>
      <fill>
        <patternFill patternType="solid">
          <fgColor indexed="64"/>
          <bgColor rgb="FFE7E6E6"/>
        </patternFill>
      </fill>
    </dxf>
    <dxf>
      <font>
        <color rgb="FF000000"/>
      </font>
      <fill>
        <patternFill patternType="solid">
          <fgColor indexed="64"/>
          <bgColor rgb="FFBFBFBF"/>
        </patternFill>
      </fill>
    </dxf>
    <dxf>
      <font>
        <color rgb="FF000000"/>
      </font>
      <fill>
        <patternFill patternType="solid">
          <fgColor indexed="64"/>
          <bgColor rgb="FF7FD1C7"/>
        </patternFill>
      </fill>
    </dxf>
    <dxf>
      <font>
        <color rgb="FF000000"/>
      </font>
      <fill>
        <patternFill patternType="solid">
          <fgColor indexed="64"/>
          <bgColor rgb="FFF4A7B9"/>
        </patternFill>
      </fill>
    </dxf>
    <dxf>
      <font>
        <color rgb="FF000000"/>
      </font>
      <fill>
        <patternFill patternType="solid">
          <fgColor indexed="64"/>
          <bgColor rgb="FFD0CECE"/>
        </patternFill>
      </fill>
    </dxf>
    <dxf>
      <font>
        <color rgb="FF000000"/>
      </font>
      <fill>
        <patternFill patternType="solid">
          <fgColor indexed="64"/>
          <bgColor rgb="FFB4A7D6"/>
        </patternFill>
      </fill>
    </dxf>
    <dxf>
      <font>
        <color rgb="FF000000"/>
      </font>
      <fill>
        <patternFill patternType="solid">
          <fgColor indexed="64"/>
          <bgColor rgb="FFFFD966"/>
        </patternFill>
      </fill>
    </dxf>
    <dxf>
      <font>
        <color rgb="FF000000"/>
      </font>
      <fill>
        <patternFill patternType="solid">
          <fgColor indexed="64"/>
          <bgColor rgb="FFA9D18E"/>
        </patternFill>
      </fill>
    </dxf>
    <dxf>
      <font>
        <color rgb="FF000000"/>
      </font>
      <fill>
        <patternFill patternType="solid">
          <fgColor indexed="64"/>
          <bgColor rgb="FF9DC3E6"/>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7F7F7F"/>
        </patternFill>
      </fill>
    </dxf>
    <dxf>
      <font>
        <color rgb="FFFFFFFF"/>
      </font>
      <fill>
        <patternFill patternType="solid">
          <fgColor indexed="64"/>
          <bgColor rgb="FF2E75B6"/>
        </patternFill>
      </fill>
    </dxf>
    <dxf>
      <font>
        <color rgb="FFFFFFFF"/>
      </font>
      <fill>
        <patternFill patternType="solid">
          <fgColor indexed="64"/>
          <bgColor rgb="FFC0000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1F3864"/>
      </font>
      <fill>
        <patternFill patternType="solid">
          <fgColor indexed="64"/>
          <bgColor rgb="FFD9E1F2"/>
        </patternFill>
      </fill>
    </dxf>
    <dxf>
      <font>
        <color rgb="FFBFBFBF"/>
      </font>
    </dxf>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00FF"/>
      </font>
      <numFmt numFmtId="165" formatCode="0.0"/>
    </dxf>
    <dxf>
      <font>
        <color rgb="FF0000FF"/>
      </font>
    </dxf>
    <dxf>
      <font>
        <color rgb="FF0000FF"/>
      </font>
    </dxf>
    <dxf>
      <font>
        <color rgb="FF0000FF"/>
      </font>
    </dxf>
    <dxf>
      <font>
        <b/>
        <color rgb="FF1F3864"/>
      </font>
      <fill>
        <patternFill patternType="solid">
          <fgColor indexed="64"/>
          <bgColor rgb="FFD9E1F2"/>
        </patternFill>
      </fill>
    </dxf>
    <dxf>
      <font>
        <color rgb="FF0000FF"/>
      </font>
    </dxf>
    <dxf>
      <font>
        <color rgb="FF0000FF"/>
      </font>
    </dxf>
    <dxf>
      <font>
        <b/>
        <color rgb="FF1F3864"/>
      </font>
      <fill>
        <patternFill patternType="solid">
          <fgColor indexed="64"/>
          <bgColor rgb="FFD9E1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Weekly Demand by Level vs. Total Capacity (hours)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Principal</c:v>
          </c:tx>
          <c:spPr>
            <a:solidFill>
              <a:srgbClr val="1F3864"/>
            </a:solidFill>
            <a:ln>
              <a:noFill/>
            </a:ln>
            <a:effectLst/>
          </c:spPr>
          <c:invertIfNegative val="0"/>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Forecast!$D$56:$BC$56</c:f>
              <c:numCache>
                <c:formatCode>#,##0;\(#,##0\);\-</c:formatCode>
                <c:ptCount val="52"/>
                <c:pt idx="0">
                  <c:v>82</c:v>
                </c:pt>
                <c:pt idx="1">
                  <c:v>86</c:v>
                </c:pt>
                <c:pt idx="2">
                  <c:v>79</c:v>
                </c:pt>
                <c:pt idx="3">
                  <c:v>95</c:v>
                </c:pt>
                <c:pt idx="4">
                  <c:v>79</c:v>
                </c:pt>
                <c:pt idx="5">
                  <c:v>63</c:v>
                </c:pt>
                <c:pt idx="6">
                  <c:v>55</c:v>
                </c:pt>
                <c:pt idx="7">
                  <c:v>55</c:v>
                </c:pt>
                <c:pt idx="8">
                  <c:v>54</c:v>
                </c:pt>
                <c:pt idx="9">
                  <c:v>38</c:v>
                </c:pt>
                <c:pt idx="10">
                  <c:v>38</c:v>
                </c:pt>
                <c:pt idx="11">
                  <c:v>34</c:v>
                </c:pt>
                <c:pt idx="12">
                  <c:v>34</c:v>
                </c:pt>
                <c:pt idx="13">
                  <c:v>34</c:v>
                </c:pt>
                <c:pt idx="14">
                  <c:v>34</c:v>
                </c:pt>
                <c:pt idx="15">
                  <c:v>24</c:v>
                </c:pt>
                <c:pt idx="16">
                  <c:v>28</c:v>
                </c:pt>
                <c:pt idx="17">
                  <c:v>16</c:v>
                </c:pt>
                <c:pt idx="18">
                  <c:v>24</c:v>
                </c:pt>
                <c:pt idx="19">
                  <c:v>28</c:v>
                </c:pt>
                <c:pt idx="20">
                  <c:v>32</c:v>
                </c:pt>
                <c:pt idx="21">
                  <c:v>32</c:v>
                </c:pt>
                <c:pt idx="22">
                  <c:v>28</c:v>
                </c:pt>
                <c:pt idx="23">
                  <c:v>0</c:v>
                </c:pt>
                <c:pt idx="24">
                  <c:v>0</c:v>
                </c:pt>
                <c:pt idx="25">
                  <c:v>0</c:v>
                </c:pt>
                <c:pt idx="26">
                  <c:v>2</c:v>
                </c:pt>
                <c:pt idx="27">
                  <c:v>2</c:v>
                </c:pt>
                <c:pt idx="28">
                  <c:v>2</c:v>
                </c:pt>
                <c:pt idx="29">
                  <c:v>2</c:v>
                </c:pt>
                <c:pt idx="30">
                  <c:v>2</c:v>
                </c:pt>
                <c:pt idx="31">
                  <c:v>2</c:v>
                </c:pt>
                <c:pt idx="32">
                  <c:v>2</c:v>
                </c:pt>
                <c:pt idx="33">
                  <c:v>2</c:v>
                </c:pt>
                <c:pt idx="34">
                  <c:v>2</c:v>
                </c:pt>
                <c:pt idx="35">
                  <c:v>2</c:v>
                </c:pt>
                <c:pt idx="36">
                  <c:v>2</c:v>
                </c:pt>
                <c:pt idx="37">
                  <c:v>2</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0-3645-4A84-9B63-96EE91EFF408}"/>
            </c:ext>
          </c:extLst>
        </c:ser>
        <c:ser>
          <c:idx val="1"/>
          <c:order val="1"/>
          <c:tx>
            <c:v>Director</c:v>
          </c:tx>
          <c:spPr>
            <a:solidFill>
              <a:srgbClr val="2E75B6"/>
            </a:solidFill>
            <a:ln>
              <a:noFill/>
            </a:ln>
            <a:effectLst/>
          </c:spPr>
          <c:invertIfNegative val="0"/>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Forecast!$D$57:$BC$57</c:f>
              <c:numCache>
                <c:formatCode>#,##0;\(#,##0\);\-</c:formatCode>
                <c:ptCount val="52"/>
                <c:pt idx="0">
                  <c:v>18</c:v>
                </c:pt>
                <c:pt idx="1">
                  <c:v>26</c:v>
                </c:pt>
                <c:pt idx="2">
                  <c:v>26</c:v>
                </c:pt>
                <c:pt idx="3">
                  <c:v>26</c:v>
                </c:pt>
                <c:pt idx="4">
                  <c:v>26</c:v>
                </c:pt>
                <c:pt idx="5">
                  <c:v>26</c:v>
                </c:pt>
                <c:pt idx="6">
                  <c:v>26</c:v>
                </c:pt>
                <c:pt idx="7">
                  <c:v>38</c:v>
                </c:pt>
                <c:pt idx="8">
                  <c:v>38</c:v>
                </c:pt>
                <c:pt idx="9">
                  <c:v>23</c:v>
                </c:pt>
                <c:pt idx="10">
                  <c:v>23</c:v>
                </c:pt>
                <c:pt idx="11">
                  <c:v>15</c:v>
                </c:pt>
                <c:pt idx="12">
                  <c:v>15</c:v>
                </c:pt>
                <c:pt idx="13">
                  <c:v>15</c:v>
                </c:pt>
                <c:pt idx="14">
                  <c:v>30</c:v>
                </c:pt>
                <c:pt idx="15">
                  <c:v>28</c:v>
                </c:pt>
                <c:pt idx="16">
                  <c:v>36</c:v>
                </c:pt>
                <c:pt idx="17">
                  <c:v>24</c:v>
                </c:pt>
                <c:pt idx="18">
                  <c:v>9</c:v>
                </c:pt>
                <c:pt idx="19">
                  <c:v>9</c:v>
                </c:pt>
                <c:pt idx="20">
                  <c:v>9</c:v>
                </c:pt>
                <c:pt idx="21">
                  <c:v>9</c:v>
                </c:pt>
                <c:pt idx="22">
                  <c:v>9</c:v>
                </c:pt>
                <c:pt idx="23">
                  <c:v>5</c:v>
                </c:pt>
                <c:pt idx="24">
                  <c:v>1</c:v>
                </c:pt>
                <c:pt idx="25">
                  <c:v>1</c:v>
                </c:pt>
                <c:pt idx="26">
                  <c:v>5</c:v>
                </c:pt>
                <c:pt idx="27">
                  <c:v>5</c:v>
                </c:pt>
                <c:pt idx="28">
                  <c:v>5</c:v>
                </c:pt>
                <c:pt idx="29">
                  <c:v>5</c:v>
                </c:pt>
                <c:pt idx="30">
                  <c:v>20</c:v>
                </c:pt>
                <c:pt idx="31">
                  <c:v>20</c:v>
                </c:pt>
                <c:pt idx="32">
                  <c:v>20</c:v>
                </c:pt>
                <c:pt idx="33">
                  <c:v>4</c:v>
                </c:pt>
                <c:pt idx="34">
                  <c:v>4</c:v>
                </c:pt>
                <c:pt idx="35">
                  <c:v>4</c:v>
                </c:pt>
                <c:pt idx="36">
                  <c:v>4</c:v>
                </c:pt>
                <c:pt idx="37">
                  <c:v>4</c:v>
                </c:pt>
                <c:pt idx="38">
                  <c:v>4</c:v>
                </c:pt>
                <c:pt idx="39">
                  <c:v>2</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1-3645-4A84-9B63-96EE91EFF408}"/>
            </c:ext>
          </c:extLst>
        </c:ser>
        <c:ser>
          <c:idx val="2"/>
          <c:order val="2"/>
          <c:tx>
            <c:v>Senior Designer</c:v>
          </c:tx>
          <c:spPr>
            <a:solidFill>
              <a:srgbClr val="70AD47"/>
            </a:solidFill>
            <a:ln>
              <a:noFill/>
            </a:ln>
            <a:effectLst/>
          </c:spPr>
          <c:invertIfNegative val="0"/>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Forecast!$D$58:$BC$58</c:f>
              <c:numCache>
                <c:formatCode>#,##0;\(#,##0\);\-</c:formatCode>
                <c:ptCount val="52"/>
                <c:pt idx="0">
                  <c:v>52</c:v>
                </c:pt>
                <c:pt idx="1">
                  <c:v>52</c:v>
                </c:pt>
                <c:pt idx="2">
                  <c:v>52</c:v>
                </c:pt>
                <c:pt idx="3">
                  <c:v>52</c:v>
                </c:pt>
                <c:pt idx="4">
                  <c:v>40</c:v>
                </c:pt>
                <c:pt idx="5">
                  <c:v>40</c:v>
                </c:pt>
                <c:pt idx="6">
                  <c:v>24</c:v>
                </c:pt>
                <c:pt idx="7">
                  <c:v>16</c:v>
                </c:pt>
                <c:pt idx="8">
                  <c:v>16</c:v>
                </c:pt>
                <c:pt idx="9">
                  <c:v>16</c:v>
                </c:pt>
                <c:pt idx="10">
                  <c:v>16</c:v>
                </c:pt>
                <c:pt idx="11">
                  <c:v>16</c:v>
                </c:pt>
                <c:pt idx="12">
                  <c:v>16</c:v>
                </c:pt>
                <c:pt idx="13">
                  <c:v>16</c:v>
                </c:pt>
                <c:pt idx="14">
                  <c:v>16</c:v>
                </c:pt>
                <c:pt idx="15">
                  <c:v>16</c:v>
                </c:pt>
                <c:pt idx="16">
                  <c:v>16</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2-3645-4A84-9B63-96EE91EFF408}"/>
            </c:ext>
          </c:extLst>
        </c:ser>
        <c:ser>
          <c:idx val="3"/>
          <c:order val="3"/>
          <c:tx>
            <c:v>Project Designer</c:v>
          </c:tx>
          <c:spPr>
            <a:solidFill>
              <a:srgbClr val="ED7D31"/>
            </a:solidFill>
            <a:ln>
              <a:noFill/>
            </a:ln>
            <a:effectLst/>
          </c:spPr>
          <c:invertIfNegative val="0"/>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Forecast!$D$60:$BC$60</c:f>
              <c:numCache>
                <c:formatCode>#,##0;\(#,##0\);\-</c:formatCode>
                <c:ptCount val="52"/>
                <c:pt idx="0">
                  <c:v>38</c:v>
                </c:pt>
                <c:pt idx="1">
                  <c:v>38</c:v>
                </c:pt>
                <c:pt idx="2">
                  <c:v>46</c:v>
                </c:pt>
                <c:pt idx="3">
                  <c:v>46</c:v>
                </c:pt>
                <c:pt idx="4">
                  <c:v>38</c:v>
                </c:pt>
                <c:pt idx="5">
                  <c:v>38</c:v>
                </c:pt>
                <c:pt idx="6">
                  <c:v>38</c:v>
                </c:pt>
                <c:pt idx="7">
                  <c:v>56</c:v>
                </c:pt>
                <c:pt idx="8">
                  <c:v>56</c:v>
                </c:pt>
                <c:pt idx="9">
                  <c:v>40</c:v>
                </c:pt>
                <c:pt idx="10">
                  <c:v>40</c:v>
                </c:pt>
                <c:pt idx="11">
                  <c:v>44</c:v>
                </c:pt>
                <c:pt idx="12">
                  <c:v>40</c:v>
                </c:pt>
                <c:pt idx="13">
                  <c:v>40</c:v>
                </c:pt>
                <c:pt idx="14">
                  <c:v>48</c:v>
                </c:pt>
                <c:pt idx="15">
                  <c:v>60</c:v>
                </c:pt>
                <c:pt idx="16">
                  <c:v>60</c:v>
                </c:pt>
                <c:pt idx="17">
                  <c:v>20</c:v>
                </c:pt>
                <c:pt idx="18">
                  <c:v>0</c:v>
                </c:pt>
                <c:pt idx="19">
                  <c:v>0</c:v>
                </c:pt>
                <c:pt idx="20">
                  <c:v>0</c:v>
                </c:pt>
                <c:pt idx="21">
                  <c:v>0</c:v>
                </c:pt>
                <c:pt idx="22">
                  <c:v>0</c:v>
                </c:pt>
                <c:pt idx="23">
                  <c:v>0</c:v>
                </c:pt>
                <c:pt idx="24">
                  <c:v>0</c:v>
                </c:pt>
                <c:pt idx="25">
                  <c:v>0</c:v>
                </c:pt>
                <c:pt idx="26">
                  <c:v>0</c:v>
                </c:pt>
                <c:pt idx="27">
                  <c:v>0</c:v>
                </c:pt>
                <c:pt idx="28">
                  <c:v>0</c:v>
                </c:pt>
                <c:pt idx="29">
                  <c:v>0</c:v>
                </c:pt>
                <c:pt idx="30">
                  <c:v>4</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3-3645-4A84-9B63-96EE91EFF408}"/>
            </c:ext>
          </c:extLst>
        </c:ser>
        <c:ser>
          <c:idx val="5"/>
          <c:order val="5"/>
          <c:tx>
            <c:v>Mid Level Designer</c:v>
          </c:tx>
          <c:spPr>
            <a:solidFill>
              <a:srgbClr val="7F6084"/>
            </a:solidFill>
            <a:ln>
              <a:noFill/>
            </a:ln>
            <a:effectLst/>
          </c:spPr>
          <c:invertIfNegative val="0"/>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Forecast!$D$59:$BC$59</c:f>
              <c:numCache>
                <c:formatCode>#,##0;\(#,##0\);\-</c:formatCode>
                <c:ptCount val="52"/>
                <c:pt idx="0">
                  <c:v>41</c:v>
                </c:pt>
                <c:pt idx="1">
                  <c:v>57</c:v>
                </c:pt>
                <c:pt idx="2">
                  <c:v>57</c:v>
                </c:pt>
                <c:pt idx="3">
                  <c:v>65</c:v>
                </c:pt>
                <c:pt idx="4">
                  <c:v>48</c:v>
                </c:pt>
                <c:pt idx="5">
                  <c:v>44</c:v>
                </c:pt>
                <c:pt idx="6">
                  <c:v>48</c:v>
                </c:pt>
                <c:pt idx="7">
                  <c:v>48</c:v>
                </c:pt>
                <c:pt idx="8">
                  <c:v>48</c:v>
                </c:pt>
                <c:pt idx="9">
                  <c:v>36</c:v>
                </c:pt>
                <c:pt idx="10">
                  <c:v>36</c:v>
                </c:pt>
                <c:pt idx="11">
                  <c:v>16</c:v>
                </c:pt>
                <c:pt idx="12">
                  <c:v>16</c:v>
                </c:pt>
                <c:pt idx="13">
                  <c:v>16</c:v>
                </c:pt>
                <c:pt idx="14">
                  <c:v>32</c:v>
                </c:pt>
                <c:pt idx="15">
                  <c:v>32</c:v>
                </c:pt>
                <c:pt idx="16">
                  <c:v>32</c:v>
                </c:pt>
                <c:pt idx="17">
                  <c:v>16</c:v>
                </c:pt>
                <c:pt idx="18">
                  <c:v>0</c:v>
                </c:pt>
                <c:pt idx="19">
                  <c:v>0</c:v>
                </c:pt>
                <c:pt idx="20">
                  <c:v>0</c:v>
                </c:pt>
                <c:pt idx="21">
                  <c:v>0</c:v>
                </c:pt>
                <c:pt idx="22">
                  <c:v>0</c:v>
                </c:pt>
                <c:pt idx="23">
                  <c:v>0</c:v>
                </c:pt>
                <c:pt idx="24">
                  <c:v>0</c:v>
                </c:pt>
                <c:pt idx="25">
                  <c:v>0</c:v>
                </c:pt>
                <c:pt idx="26">
                  <c:v>0</c:v>
                </c:pt>
                <c:pt idx="27">
                  <c:v>0</c:v>
                </c:pt>
                <c:pt idx="28">
                  <c:v>0</c:v>
                </c:pt>
                <c:pt idx="29">
                  <c:v>0</c:v>
                </c:pt>
                <c:pt idx="30">
                  <c:v>20</c:v>
                </c:pt>
                <c:pt idx="31">
                  <c:v>20</c:v>
                </c:pt>
                <c:pt idx="32">
                  <c:v>20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5-3645-4A84-9B63-96EE91EFF408}"/>
            </c:ext>
          </c:extLst>
        </c:ser>
        <c:dLbls>
          <c:showLegendKey val="0"/>
          <c:showVal val="0"/>
          <c:showCatName val="0"/>
          <c:showSerName val="0"/>
          <c:showPercent val="0"/>
          <c:showBubbleSize val="0"/>
        </c:dLbls>
        <c:gapWidth val="30"/>
        <c:overlap val="100"/>
        <c:axId val="1787541919"/>
        <c:axId val="1793379567"/>
      </c:barChart>
      <c:lineChart>
        <c:grouping val="standard"/>
        <c:varyColors val="0"/>
        <c:ser>
          <c:idx val="4"/>
          <c:order val="4"/>
          <c:tx>
            <c:v>Total Capacity</c:v>
          </c:tx>
          <c:spPr>
            <a:ln w="28575" cap="rnd">
              <a:solidFill>
                <a:srgbClr val="C00000"/>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Forecast!$D$69:$BC$69</c:f>
              <c:numCache>
                <c:formatCode>#,##0;\(#,##0\);\-</c:formatCode>
                <c:ptCount val="52"/>
                <c:pt idx="0">
                  <c:v>236</c:v>
                </c:pt>
                <c:pt idx="1">
                  <c:v>236</c:v>
                </c:pt>
                <c:pt idx="2">
                  <c:v>236</c:v>
                </c:pt>
                <c:pt idx="3">
                  <c:v>236</c:v>
                </c:pt>
                <c:pt idx="4">
                  <c:v>236</c:v>
                </c:pt>
                <c:pt idx="5">
                  <c:v>236</c:v>
                </c:pt>
                <c:pt idx="6">
                  <c:v>236</c:v>
                </c:pt>
                <c:pt idx="7">
                  <c:v>236</c:v>
                </c:pt>
                <c:pt idx="8">
                  <c:v>236</c:v>
                </c:pt>
                <c:pt idx="9">
                  <c:v>236</c:v>
                </c:pt>
                <c:pt idx="10">
                  <c:v>236</c:v>
                </c:pt>
                <c:pt idx="11">
                  <c:v>236</c:v>
                </c:pt>
                <c:pt idx="12">
                  <c:v>236</c:v>
                </c:pt>
                <c:pt idx="13">
                  <c:v>236</c:v>
                </c:pt>
                <c:pt idx="14">
                  <c:v>236</c:v>
                </c:pt>
                <c:pt idx="15">
                  <c:v>236</c:v>
                </c:pt>
                <c:pt idx="16">
                  <c:v>236</c:v>
                </c:pt>
                <c:pt idx="17">
                  <c:v>236</c:v>
                </c:pt>
                <c:pt idx="18">
                  <c:v>236</c:v>
                </c:pt>
                <c:pt idx="19">
                  <c:v>236</c:v>
                </c:pt>
                <c:pt idx="20">
                  <c:v>236</c:v>
                </c:pt>
                <c:pt idx="21">
                  <c:v>236</c:v>
                </c:pt>
                <c:pt idx="22">
                  <c:v>236</c:v>
                </c:pt>
                <c:pt idx="23">
                  <c:v>236</c:v>
                </c:pt>
                <c:pt idx="24">
                  <c:v>236</c:v>
                </c:pt>
                <c:pt idx="25">
                  <c:v>236</c:v>
                </c:pt>
                <c:pt idx="26">
                  <c:v>236</c:v>
                </c:pt>
                <c:pt idx="27">
                  <c:v>236</c:v>
                </c:pt>
                <c:pt idx="28">
                  <c:v>236</c:v>
                </c:pt>
                <c:pt idx="29">
                  <c:v>236</c:v>
                </c:pt>
                <c:pt idx="30">
                  <c:v>236</c:v>
                </c:pt>
                <c:pt idx="31">
                  <c:v>236</c:v>
                </c:pt>
                <c:pt idx="32">
                  <c:v>236</c:v>
                </c:pt>
                <c:pt idx="33">
                  <c:v>236</c:v>
                </c:pt>
                <c:pt idx="34">
                  <c:v>236</c:v>
                </c:pt>
                <c:pt idx="35">
                  <c:v>236</c:v>
                </c:pt>
                <c:pt idx="36">
                  <c:v>236</c:v>
                </c:pt>
                <c:pt idx="37">
                  <c:v>236</c:v>
                </c:pt>
                <c:pt idx="38">
                  <c:v>236</c:v>
                </c:pt>
                <c:pt idx="39">
                  <c:v>236</c:v>
                </c:pt>
                <c:pt idx="40">
                  <c:v>236</c:v>
                </c:pt>
                <c:pt idx="41">
                  <c:v>236</c:v>
                </c:pt>
                <c:pt idx="42">
                  <c:v>236</c:v>
                </c:pt>
                <c:pt idx="43">
                  <c:v>236</c:v>
                </c:pt>
                <c:pt idx="44">
                  <c:v>236</c:v>
                </c:pt>
                <c:pt idx="45">
                  <c:v>236</c:v>
                </c:pt>
                <c:pt idx="46">
                  <c:v>236</c:v>
                </c:pt>
                <c:pt idx="47">
                  <c:v>236</c:v>
                </c:pt>
                <c:pt idx="48">
                  <c:v>236</c:v>
                </c:pt>
                <c:pt idx="49">
                  <c:v>236</c:v>
                </c:pt>
                <c:pt idx="50">
                  <c:v>236</c:v>
                </c:pt>
                <c:pt idx="51">
                  <c:v>236</c:v>
                </c:pt>
              </c:numCache>
            </c:numRef>
          </c:val>
          <c:smooth val="0"/>
          <c:extLst>
            <c:ext xmlns:c16="http://schemas.microsoft.com/office/drawing/2014/chart" uri="{C3380CC4-5D6E-409C-BE32-E72D297353CC}">
              <c16:uniqueId val="{00000004-3645-4A84-9B63-96EE91EFF408}"/>
            </c:ext>
          </c:extLst>
        </c:ser>
        <c:dLbls>
          <c:showLegendKey val="0"/>
          <c:showVal val="0"/>
          <c:showCatName val="0"/>
          <c:showSerName val="0"/>
          <c:showPercent val="0"/>
          <c:showBubbleSize val="0"/>
        </c:dLbls>
        <c:marker val="1"/>
        <c:smooth val="0"/>
        <c:axId val="1787541919"/>
        <c:axId val="1793379567"/>
      </c:lineChart>
      <c:dateAx>
        <c:axId val="1787541919"/>
        <c:scaling>
          <c:orientation val="minMax"/>
        </c:scaling>
        <c:delete val="0"/>
        <c:axPos val="b"/>
        <c:numFmt formatCode="m/d"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379567"/>
        <c:crosses val="autoZero"/>
        <c:auto val="1"/>
        <c:lblOffset val="100"/>
        <c:baseTimeUnit val="days"/>
        <c:majorUnit val="4"/>
        <c:majorTimeUnit val="months"/>
      </c:dateAx>
      <c:valAx>
        <c:axId val="17933795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4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Weekly Utilization by Level (demand ÷ capacity)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Principal</c:v>
          </c:tx>
          <c:spPr>
            <a:ln w="25400" cap="rnd">
              <a:solidFill>
                <a:srgbClr val="1F3864"/>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Forecast!$D$80:$BC$80</c:f>
              <c:numCache>
                <c:formatCode>0%</c:formatCode>
                <c:ptCount val="52"/>
                <c:pt idx="0">
                  <c:v>1.3666666666666667</c:v>
                </c:pt>
                <c:pt idx="1">
                  <c:v>1.4333333333333333</c:v>
                </c:pt>
                <c:pt idx="2">
                  <c:v>1.3166666666666667</c:v>
                </c:pt>
                <c:pt idx="3">
                  <c:v>1.5833333333333333</c:v>
                </c:pt>
                <c:pt idx="4">
                  <c:v>1.3166666666666667</c:v>
                </c:pt>
                <c:pt idx="5">
                  <c:v>1.05</c:v>
                </c:pt>
                <c:pt idx="6">
                  <c:v>0.91666666666666663</c:v>
                </c:pt>
                <c:pt idx="7">
                  <c:v>0.91666666666666663</c:v>
                </c:pt>
                <c:pt idx="8">
                  <c:v>0.9</c:v>
                </c:pt>
                <c:pt idx="9">
                  <c:v>0.6333333333333333</c:v>
                </c:pt>
                <c:pt idx="10">
                  <c:v>0.6333333333333333</c:v>
                </c:pt>
                <c:pt idx="11">
                  <c:v>0.56666666666666665</c:v>
                </c:pt>
                <c:pt idx="12">
                  <c:v>0.56666666666666665</c:v>
                </c:pt>
                <c:pt idx="13">
                  <c:v>0.56666666666666665</c:v>
                </c:pt>
                <c:pt idx="14">
                  <c:v>0.56666666666666665</c:v>
                </c:pt>
                <c:pt idx="15">
                  <c:v>0.4</c:v>
                </c:pt>
                <c:pt idx="16">
                  <c:v>0.46666666666666667</c:v>
                </c:pt>
                <c:pt idx="17">
                  <c:v>0.26666666666666666</c:v>
                </c:pt>
                <c:pt idx="18">
                  <c:v>0.4</c:v>
                </c:pt>
                <c:pt idx="19">
                  <c:v>0.46666666666666667</c:v>
                </c:pt>
                <c:pt idx="20">
                  <c:v>0.53333333333333333</c:v>
                </c:pt>
                <c:pt idx="21">
                  <c:v>0.53333333333333333</c:v>
                </c:pt>
                <c:pt idx="22">
                  <c:v>0.46666666666666667</c:v>
                </c:pt>
                <c:pt idx="23">
                  <c:v>0</c:v>
                </c:pt>
                <c:pt idx="24">
                  <c:v>0</c:v>
                </c:pt>
                <c:pt idx="25">
                  <c:v>0</c:v>
                </c:pt>
                <c:pt idx="26">
                  <c:v>3.3333333333333333E-2</c:v>
                </c:pt>
                <c:pt idx="27">
                  <c:v>3.3333333333333333E-2</c:v>
                </c:pt>
                <c:pt idx="28">
                  <c:v>3.3333333333333333E-2</c:v>
                </c:pt>
                <c:pt idx="29">
                  <c:v>3.3333333333333333E-2</c:v>
                </c:pt>
                <c:pt idx="30">
                  <c:v>3.3333333333333333E-2</c:v>
                </c:pt>
                <c:pt idx="31">
                  <c:v>3.3333333333333333E-2</c:v>
                </c:pt>
                <c:pt idx="32">
                  <c:v>3.3333333333333333E-2</c:v>
                </c:pt>
                <c:pt idx="33">
                  <c:v>3.3333333333333333E-2</c:v>
                </c:pt>
                <c:pt idx="34">
                  <c:v>3.3333333333333333E-2</c:v>
                </c:pt>
                <c:pt idx="35">
                  <c:v>3.3333333333333333E-2</c:v>
                </c:pt>
                <c:pt idx="36">
                  <c:v>3.3333333333333333E-2</c:v>
                </c:pt>
                <c:pt idx="37">
                  <c:v>3.3333333333333333E-2</c:v>
                </c:pt>
                <c:pt idx="38">
                  <c:v>3.3333333333333333E-2</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0-07EE-4733-AA29-F3756B4F0F78}"/>
            </c:ext>
          </c:extLst>
        </c:ser>
        <c:ser>
          <c:idx val="1"/>
          <c:order val="1"/>
          <c:tx>
            <c:v>Director</c:v>
          </c:tx>
          <c:spPr>
            <a:ln w="25400" cap="rnd">
              <a:solidFill>
                <a:srgbClr val="2E75B6"/>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Forecast!$D$81:$BC$81</c:f>
              <c:numCache>
                <c:formatCode>0%</c:formatCode>
                <c:ptCount val="52"/>
                <c:pt idx="0">
                  <c:v>0.5625</c:v>
                </c:pt>
                <c:pt idx="1">
                  <c:v>0.8125</c:v>
                </c:pt>
                <c:pt idx="2">
                  <c:v>0.8125</c:v>
                </c:pt>
                <c:pt idx="3">
                  <c:v>0.8125</c:v>
                </c:pt>
                <c:pt idx="4">
                  <c:v>0.8125</c:v>
                </c:pt>
                <c:pt idx="5">
                  <c:v>0.8125</c:v>
                </c:pt>
                <c:pt idx="6">
                  <c:v>0.8125</c:v>
                </c:pt>
                <c:pt idx="7">
                  <c:v>1.1875</c:v>
                </c:pt>
                <c:pt idx="8">
                  <c:v>1.1875</c:v>
                </c:pt>
                <c:pt idx="9">
                  <c:v>0.71875</c:v>
                </c:pt>
                <c:pt idx="10">
                  <c:v>0.71875</c:v>
                </c:pt>
                <c:pt idx="11">
                  <c:v>0.46875</c:v>
                </c:pt>
                <c:pt idx="12">
                  <c:v>0.46875</c:v>
                </c:pt>
                <c:pt idx="13">
                  <c:v>0.46875</c:v>
                </c:pt>
                <c:pt idx="14">
                  <c:v>0.9375</c:v>
                </c:pt>
                <c:pt idx="15">
                  <c:v>0.875</c:v>
                </c:pt>
                <c:pt idx="16">
                  <c:v>1.125</c:v>
                </c:pt>
                <c:pt idx="17">
                  <c:v>0.75</c:v>
                </c:pt>
                <c:pt idx="18">
                  <c:v>0.28125</c:v>
                </c:pt>
                <c:pt idx="19">
                  <c:v>0.28125</c:v>
                </c:pt>
                <c:pt idx="20">
                  <c:v>0.28125</c:v>
                </c:pt>
                <c:pt idx="21">
                  <c:v>0.28125</c:v>
                </c:pt>
                <c:pt idx="22">
                  <c:v>0.28125</c:v>
                </c:pt>
                <c:pt idx="23">
                  <c:v>0.15625</c:v>
                </c:pt>
                <c:pt idx="24">
                  <c:v>3.125E-2</c:v>
                </c:pt>
                <c:pt idx="25">
                  <c:v>3.125E-2</c:v>
                </c:pt>
                <c:pt idx="26">
                  <c:v>0.15625</c:v>
                </c:pt>
                <c:pt idx="27">
                  <c:v>0.15625</c:v>
                </c:pt>
                <c:pt idx="28">
                  <c:v>0.15625</c:v>
                </c:pt>
                <c:pt idx="29">
                  <c:v>0.15625</c:v>
                </c:pt>
                <c:pt idx="30">
                  <c:v>0.625</c:v>
                </c:pt>
                <c:pt idx="31">
                  <c:v>0.625</c:v>
                </c:pt>
                <c:pt idx="32">
                  <c:v>0.625</c:v>
                </c:pt>
                <c:pt idx="33">
                  <c:v>0.125</c:v>
                </c:pt>
                <c:pt idx="34">
                  <c:v>0.125</c:v>
                </c:pt>
                <c:pt idx="35">
                  <c:v>0.125</c:v>
                </c:pt>
                <c:pt idx="36">
                  <c:v>0.125</c:v>
                </c:pt>
                <c:pt idx="37">
                  <c:v>0.125</c:v>
                </c:pt>
                <c:pt idx="38">
                  <c:v>0.125</c:v>
                </c:pt>
                <c:pt idx="39">
                  <c:v>6.25E-2</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1-07EE-4733-AA29-F3756B4F0F78}"/>
            </c:ext>
          </c:extLst>
        </c:ser>
        <c:ser>
          <c:idx val="2"/>
          <c:order val="2"/>
          <c:tx>
            <c:v>Senior Designer</c:v>
          </c:tx>
          <c:spPr>
            <a:ln w="25400" cap="rnd">
              <a:solidFill>
                <a:srgbClr val="70AD47"/>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Forecast!$D$82:$BC$82</c:f>
              <c:numCache>
                <c:formatCode>0%</c:formatCode>
                <c:ptCount val="52"/>
                <c:pt idx="0">
                  <c:v>1.4444444444444444</c:v>
                </c:pt>
                <c:pt idx="1">
                  <c:v>1.4444444444444444</c:v>
                </c:pt>
                <c:pt idx="2">
                  <c:v>1.4444444444444444</c:v>
                </c:pt>
                <c:pt idx="3">
                  <c:v>1.4444444444444444</c:v>
                </c:pt>
                <c:pt idx="4">
                  <c:v>1.1111111111111112</c:v>
                </c:pt>
                <c:pt idx="5">
                  <c:v>1.1111111111111112</c:v>
                </c:pt>
                <c:pt idx="6">
                  <c:v>0.66666666666666663</c:v>
                </c:pt>
                <c:pt idx="7">
                  <c:v>0.44444444444444442</c:v>
                </c:pt>
                <c:pt idx="8">
                  <c:v>0.44444444444444442</c:v>
                </c:pt>
                <c:pt idx="9">
                  <c:v>0.44444444444444442</c:v>
                </c:pt>
                <c:pt idx="10">
                  <c:v>0.44444444444444442</c:v>
                </c:pt>
                <c:pt idx="11">
                  <c:v>0.44444444444444442</c:v>
                </c:pt>
                <c:pt idx="12">
                  <c:v>0.44444444444444442</c:v>
                </c:pt>
                <c:pt idx="13">
                  <c:v>0.44444444444444442</c:v>
                </c:pt>
                <c:pt idx="14">
                  <c:v>0.44444444444444442</c:v>
                </c:pt>
                <c:pt idx="15">
                  <c:v>0.44444444444444442</c:v>
                </c:pt>
                <c:pt idx="16">
                  <c:v>0.44444444444444442</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2-07EE-4733-AA29-F3756B4F0F78}"/>
            </c:ext>
          </c:extLst>
        </c:ser>
        <c:ser>
          <c:idx val="3"/>
          <c:order val="3"/>
          <c:tx>
            <c:v>Project Designer</c:v>
          </c:tx>
          <c:spPr>
            <a:ln w="25400" cap="rnd">
              <a:solidFill>
                <a:srgbClr val="ED7D31"/>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Forecast!$D$84:$BC$84</c:f>
              <c:numCache>
                <c:formatCode>0%</c:formatCode>
                <c:ptCount val="52"/>
                <c:pt idx="0">
                  <c:v>1.0555555555555556</c:v>
                </c:pt>
                <c:pt idx="1">
                  <c:v>1.0555555555555556</c:v>
                </c:pt>
                <c:pt idx="2">
                  <c:v>1.2777777777777777</c:v>
                </c:pt>
                <c:pt idx="3">
                  <c:v>1.2777777777777777</c:v>
                </c:pt>
                <c:pt idx="4">
                  <c:v>1.0555555555555556</c:v>
                </c:pt>
                <c:pt idx="5">
                  <c:v>1.0555555555555556</c:v>
                </c:pt>
                <c:pt idx="6">
                  <c:v>1.0555555555555556</c:v>
                </c:pt>
                <c:pt idx="7">
                  <c:v>1.5555555555555556</c:v>
                </c:pt>
                <c:pt idx="8">
                  <c:v>1.5555555555555556</c:v>
                </c:pt>
                <c:pt idx="9">
                  <c:v>1.1111111111111112</c:v>
                </c:pt>
                <c:pt idx="10">
                  <c:v>1.1111111111111112</c:v>
                </c:pt>
                <c:pt idx="11">
                  <c:v>1.2222222222222223</c:v>
                </c:pt>
                <c:pt idx="12">
                  <c:v>1.1111111111111112</c:v>
                </c:pt>
                <c:pt idx="13">
                  <c:v>1.1111111111111112</c:v>
                </c:pt>
                <c:pt idx="14">
                  <c:v>1.3333333333333333</c:v>
                </c:pt>
                <c:pt idx="15">
                  <c:v>1.6666666666666667</c:v>
                </c:pt>
                <c:pt idx="16">
                  <c:v>1.6666666666666667</c:v>
                </c:pt>
                <c:pt idx="17">
                  <c:v>0.55555555555555558</c:v>
                </c:pt>
                <c:pt idx="18">
                  <c:v>0</c:v>
                </c:pt>
                <c:pt idx="19">
                  <c:v>0</c:v>
                </c:pt>
                <c:pt idx="20">
                  <c:v>0</c:v>
                </c:pt>
                <c:pt idx="21">
                  <c:v>0</c:v>
                </c:pt>
                <c:pt idx="22">
                  <c:v>0</c:v>
                </c:pt>
                <c:pt idx="23">
                  <c:v>0</c:v>
                </c:pt>
                <c:pt idx="24">
                  <c:v>0</c:v>
                </c:pt>
                <c:pt idx="25">
                  <c:v>0</c:v>
                </c:pt>
                <c:pt idx="26">
                  <c:v>0</c:v>
                </c:pt>
                <c:pt idx="27">
                  <c:v>0</c:v>
                </c:pt>
                <c:pt idx="28">
                  <c:v>0</c:v>
                </c:pt>
                <c:pt idx="29">
                  <c:v>0</c:v>
                </c:pt>
                <c:pt idx="30">
                  <c:v>0.1111111111111111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3-07EE-4733-AA29-F3756B4F0F78}"/>
            </c:ext>
          </c:extLst>
        </c:ser>
        <c:ser>
          <c:idx val="4"/>
          <c:order val="4"/>
          <c:tx>
            <c:v>Mid Level Designer</c:v>
          </c:tx>
          <c:spPr>
            <a:ln w="25400" cap="rnd">
              <a:solidFill>
                <a:srgbClr val="7F6084"/>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Forecast!$D$83:$BC$83</c:f>
              <c:numCache>
                <c:formatCode>0%</c:formatCode>
                <c:ptCount val="52"/>
                <c:pt idx="0">
                  <c:v>0.56944444444444442</c:v>
                </c:pt>
                <c:pt idx="1">
                  <c:v>0.79166666666666663</c:v>
                </c:pt>
                <c:pt idx="2">
                  <c:v>0.79166666666666663</c:v>
                </c:pt>
                <c:pt idx="3">
                  <c:v>0.90277777777777779</c:v>
                </c:pt>
                <c:pt idx="4">
                  <c:v>0.66666666666666663</c:v>
                </c:pt>
                <c:pt idx="5">
                  <c:v>0.61111111111111116</c:v>
                </c:pt>
                <c:pt idx="6">
                  <c:v>0.66666666666666663</c:v>
                </c:pt>
                <c:pt idx="7">
                  <c:v>0.66666666666666663</c:v>
                </c:pt>
                <c:pt idx="8">
                  <c:v>0.66666666666666663</c:v>
                </c:pt>
                <c:pt idx="9">
                  <c:v>0.5</c:v>
                </c:pt>
                <c:pt idx="10">
                  <c:v>0.5</c:v>
                </c:pt>
                <c:pt idx="11">
                  <c:v>0.22222222222222221</c:v>
                </c:pt>
                <c:pt idx="12">
                  <c:v>0.22222222222222221</c:v>
                </c:pt>
                <c:pt idx="13">
                  <c:v>0.22222222222222221</c:v>
                </c:pt>
                <c:pt idx="14">
                  <c:v>0.44444444444444442</c:v>
                </c:pt>
                <c:pt idx="15">
                  <c:v>0.44444444444444442</c:v>
                </c:pt>
                <c:pt idx="16">
                  <c:v>0.44444444444444442</c:v>
                </c:pt>
                <c:pt idx="17">
                  <c:v>0.22222222222222221</c:v>
                </c:pt>
                <c:pt idx="18">
                  <c:v>0</c:v>
                </c:pt>
                <c:pt idx="19">
                  <c:v>0</c:v>
                </c:pt>
                <c:pt idx="20">
                  <c:v>0</c:v>
                </c:pt>
                <c:pt idx="21">
                  <c:v>0</c:v>
                </c:pt>
                <c:pt idx="22">
                  <c:v>0</c:v>
                </c:pt>
                <c:pt idx="23">
                  <c:v>0</c:v>
                </c:pt>
                <c:pt idx="24">
                  <c:v>0</c:v>
                </c:pt>
                <c:pt idx="25">
                  <c:v>0</c:v>
                </c:pt>
                <c:pt idx="26">
                  <c:v>0</c:v>
                </c:pt>
                <c:pt idx="27">
                  <c:v>0</c:v>
                </c:pt>
                <c:pt idx="28">
                  <c:v>0</c:v>
                </c:pt>
                <c:pt idx="29">
                  <c:v>0</c:v>
                </c:pt>
                <c:pt idx="30">
                  <c:v>0.27777777777777779</c:v>
                </c:pt>
                <c:pt idx="31">
                  <c:v>0.27777777777777779</c:v>
                </c:pt>
                <c:pt idx="32">
                  <c:v>0.27777777777777779</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4-07EE-4733-AA29-F3756B4F0F78}"/>
            </c:ext>
          </c:extLst>
        </c:ser>
        <c:dLbls>
          <c:showLegendKey val="0"/>
          <c:showVal val="0"/>
          <c:showCatName val="0"/>
          <c:showSerName val="0"/>
          <c:showPercent val="0"/>
          <c:showBubbleSize val="0"/>
        </c:dLbls>
        <c:smooth val="0"/>
        <c:axId val="1787620799"/>
        <c:axId val="1793390127"/>
      </c:lineChart>
      <c:dateAx>
        <c:axId val="1787620799"/>
        <c:scaling>
          <c:orientation val="minMax"/>
        </c:scaling>
        <c:delete val="0"/>
        <c:axPos val="b"/>
        <c:numFmt formatCode="m/d"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390127"/>
        <c:crosses val="autoZero"/>
        <c:auto val="1"/>
        <c:lblOffset val="100"/>
        <c:baseTimeUnit val="days"/>
        <c:majorUnit val="4"/>
        <c:majorTimeUnit val="months"/>
      </c:dateAx>
      <c:valAx>
        <c:axId val="179339012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20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Weekly FTE Gap by Level (positive = short / hire, negative = spare)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Principal</c:v>
          </c:tx>
          <c:spPr>
            <a:ln w="25400" cap="rnd">
              <a:solidFill>
                <a:srgbClr val="1F3864"/>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Forecast!$D$88:$BC$88</c:f>
              <c:numCache>
                <c:formatCode>0.0;\(0.0\);\-</c:formatCode>
                <c:ptCount val="52"/>
                <c:pt idx="0">
                  <c:v>0.73333333333333328</c:v>
                </c:pt>
                <c:pt idx="1">
                  <c:v>0.8666666666666667</c:v>
                </c:pt>
                <c:pt idx="2">
                  <c:v>0.6333333333333333</c:v>
                </c:pt>
                <c:pt idx="3">
                  <c:v>1.1666666666666667</c:v>
                </c:pt>
                <c:pt idx="4">
                  <c:v>0.6333333333333333</c:v>
                </c:pt>
                <c:pt idx="5">
                  <c:v>0.1</c:v>
                </c:pt>
                <c:pt idx="6">
                  <c:v>-0.16666666666666666</c:v>
                </c:pt>
                <c:pt idx="7">
                  <c:v>-0.16666666666666666</c:v>
                </c:pt>
                <c:pt idx="8">
                  <c:v>-0.2</c:v>
                </c:pt>
                <c:pt idx="9">
                  <c:v>-0.73333333333333328</c:v>
                </c:pt>
                <c:pt idx="10">
                  <c:v>-0.73333333333333328</c:v>
                </c:pt>
                <c:pt idx="11">
                  <c:v>-0.8666666666666667</c:v>
                </c:pt>
                <c:pt idx="12">
                  <c:v>-0.8666666666666667</c:v>
                </c:pt>
                <c:pt idx="13">
                  <c:v>-0.8666666666666667</c:v>
                </c:pt>
                <c:pt idx="14">
                  <c:v>-0.8666666666666667</c:v>
                </c:pt>
                <c:pt idx="15">
                  <c:v>-1.2</c:v>
                </c:pt>
                <c:pt idx="16">
                  <c:v>-1.0666666666666667</c:v>
                </c:pt>
                <c:pt idx="17">
                  <c:v>-1.4666666666666666</c:v>
                </c:pt>
                <c:pt idx="18">
                  <c:v>-1.2</c:v>
                </c:pt>
                <c:pt idx="19">
                  <c:v>-1.0666666666666667</c:v>
                </c:pt>
                <c:pt idx="20">
                  <c:v>-0.93333333333333335</c:v>
                </c:pt>
                <c:pt idx="21">
                  <c:v>-0.93333333333333335</c:v>
                </c:pt>
                <c:pt idx="22">
                  <c:v>-1.0666666666666667</c:v>
                </c:pt>
                <c:pt idx="23">
                  <c:v>-2</c:v>
                </c:pt>
                <c:pt idx="24">
                  <c:v>-2</c:v>
                </c:pt>
                <c:pt idx="25">
                  <c:v>-2</c:v>
                </c:pt>
                <c:pt idx="26">
                  <c:v>-1.9333333333333333</c:v>
                </c:pt>
                <c:pt idx="27">
                  <c:v>-1.9333333333333333</c:v>
                </c:pt>
                <c:pt idx="28">
                  <c:v>-1.9333333333333333</c:v>
                </c:pt>
                <c:pt idx="29">
                  <c:v>-1.9333333333333333</c:v>
                </c:pt>
                <c:pt idx="30">
                  <c:v>-1.9333333333333333</c:v>
                </c:pt>
                <c:pt idx="31">
                  <c:v>-1.9333333333333333</c:v>
                </c:pt>
                <c:pt idx="32">
                  <c:v>-1.9333333333333333</c:v>
                </c:pt>
                <c:pt idx="33">
                  <c:v>-1.9333333333333333</c:v>
                </c:pt>
                <c:pt idx="34">
                  <c:v>-1.9333333333333333</c:v>
                </c:pt>
                <c:pt idx="35">
                  <c:v>-1.9333333333333333</c:v>
                </c:pt>
                <c:pt idx="36">
                  <c:v>-1.9333333333333333</c:v>
                </c:pt>
                <c:pt idx="37">
                  <c:v>-1.9333333333333333</c:v>
                </c:pt>
                <c:pt idx="38">
                  <c:v>-1.9333333333333333</c:v>
                </c:pt>
                <c:pt idx="39">
                  <c:v>-2</c:v>
                </c:pt>
                <c:pt idx="40">
                  <c:v>-2</c:v>
                </c:pt>
                <c:pt idx="41">
                  <c:v>-2</c:v>
                </c:pt>
                <c:pt idx="42">
                  <c:v>-2</c:v>
                </c:pt>
                <c:pt idx="43">
                  <c:v>-2</c:v>
                </c:pt>
                <c:pt idx="44">
                  <c:v>-2</c:v>
                </c:pt>
                <c:pt idx="45">
                  <c:v>-2</c:v>
                </c:pt>
                <c:pt idx="46">
                  <c:v>-2</c:v>
                </c:pt>
                <c:pt idx="47">
                  <c:v>-2</c:v>
                </c:pt>
                <c:pt idx="48">
                  <c:v>-2</c:v>
                </c:pt>
                <c:pt idx="49">
                  <c:v>-2</c:v>
                </c:pt>
                <c:pt idx="50">
                  <c:v>-2</c:v>
                </c:pt>
                <c:pt idx="51">
                  <c:v>-2</c:v>
                </c:pt>
              </c:numCache>
            </c:numRef>
          </c:val>
          <c:smooth val="0"/>
          <c:extLst>
            <c:ext xmlns:c16="http://schemas.microsoft.com/office/drawing/2014/chart" uri="{C3380CC4-5D6E-409C-BE32-E72D297353CC}">
              <c16:uniqueId val="{00000000-B0AA-462D-8802-904137B83532}"/>
            </c:ext>
          </c:extLst>
        </c:ser>
        <c:ser>
          <c:idx val="1"/>
          <c:order val="1"/>
          <c:tx>
            <c:v>Director</c:v>
          </c:tx>
          <c:spPr>
            <a:ln w="25400" cap="rnd">
              <a:solidFill>
                <a:srgbClr val="2E75B6"/>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Forecast!$D$89:$BC$89</c:f>
              <c:numCache>
                <c:formatCode>0.0;\(0.0\);\-</c:formatCode>
                <c:ptCount val="52"/>
                <c:pt idx="0">
                  <c:v>-0.4375</c:v>
                </c:pt>
                <c:pt idx="1">
                  <c:v>-0.1875</c:v>
                </c:pt>
                <c:pt idx="2">
                  <c:v>-0.1875</c:v>
                </c:pt>
                <c:pt idx="3">
                  <c:v>-0.1875</c:v>
                </c:pt>
                <c:pt idx="4">
                  <c:v>-0.1875</c:v>
                </c:pt>
                <c:pt idx="5">
                  <c:v>-0.1875</c:v>
                </c:pt>
                <c:pt idx="6">
                  <c:v>-0.1875</c:v>
                </c:pt>
                <c:pt idx="7">
                  <c:v>0.1875</c:v>
                </c:pt>
                <c:pt idx="8">
                  <c:v>0.1875</c:v>
                </c:pt>
                <c:pt idx="9">
                  <c:v>-0.28125</c:v>
                </c:pt>
                <c:pt idx="10">
                  <c:v>-0.28125</c:v>
                </c:pt>
                <c:pt idx="11">
                  <c:v>-0.53125</c:v>
                </c:pt>
                <c:pt idx="12">
                  <c:v>-0.53125</c:v>
                </c:pt>
                <c:pt idx="13">
                  <c:v>-0.53125</c:v>
                </c:pt>
                <c:pt idx="14">
                  <c:v>-6.25E-2</c:v>
                </c:pt>
                <c:pt idx="15">
                  <c:v>-0.125</c:v>
                </c:pt>
                <c:pt idx="16">
                  <c:v>0.125</c:v>
                </c:pt>
                <c:pt idx="17">
                  <c:v>-0.25</c:v>
                </c:pt>
                <c:pt idx="18">
                  <c:v>-0.71875</c:v>
                </c:pt>
                <c:pt idx="19">
                  <c:v>-0.71875</c:v>
                </c:pt>
                <c:pt idx="20">
                  <c:v>-0.71875</c:v>
                </c:pt>
                <c:pt idx="21">
                  <c:v>-0.71875</c:v>
                </c:pt>
                <c:pt idx="22">
                  <c:v>-0.71875</c:v>
                </c:pt>
                <c:pt idx="23">
                  <c:v>-0.84375</c:v>
                </c:pt>
                <c:pt idx="24">
                  <c:v>-0.96875</c:v>
                </c:pt>
                <c:pt idx="25">
                  <c:v>-0.96875</c:v>
                </c:pt>
                <c:pt idx="26">
                  <c:v>-0.84375</c:v>
                </c:pt>
                <c:pt idx="27">
                  <c:v>-0.84375</c:v>
                </c:pt>
                <c:pt idx="28">
                  <c:v>-0.84375</c:v>
                </c:pt>
                <c:pt idx="29">
                  <c:v>-0.84375</c:v>
                </c:pt>
                <c:pt idx="30">
                  <c:v>-0.375</c:v>
                </c:pt>
                <c:pt idx="31">
                  <c:v>-0.375</c:v>
                </c:pt>
                <c:pt idx="32">
                  <c:v>-0.375</c:v>
                </c:pt>
                <c:pt idx="33">
                  <c:v>-0.875</c:v>
                </c:pt>
                <c:pt idx="34">
                  <c:v>-0.875</c:v>
                </c:pt>
                <c:pt idx="35">
                  <c:v>-0.875</c:v>
                </c:pt>
                <c:pt idx="36">
                  <c:v>-0.875</c:v>
                </c:pt>
                <c:pt idx="37">
                  <c:v>-0.875</c:v>
                </c:pt>
                <c:pt idx="38">
                  <c:v>-0.875</c:v>
                </c:pt>
                <c:pt idx="39">
                  <c:v>-0.9375</c:v>
                </c:pt>
                <c:pt idx="40">
                  <c:v>-1</c:v>
                </c:pt>
                <c:pt idx="41">
                  <c:v>-1</c:v>
                </c:pt>
                <c:pt idx="42">
                  <c:v>-1</c:v>
                </c:pt>
                <c:pt idx="43">
                  <c:v>-1</c:v>
                </c:pt>
                <c:pt idx="44">
                  <c:v>-1</c:v>
                </c:pt>
                <c:pt idx="45">
                  <c:v>-1</c:v>
                </c:pt>
                <c:pt idx="46">
                  <c:v>-1</c:v>
                </c:pt>
                <c:pt idx="47">
                  <c:v>-1</c:v>
                </c:pt>
                <c:pt idx="48">
                  <c:v>-1</c:v>
                </c:pt>
                <c:pt idx="49">
                  <c:v>-1</c:v>
                </c:pt>
                <c:pt idx="50">
                  <c:v>-1</c:v>
                </c:pt>
                <c:pt idx="51">
                  <c:v>-1</c:v>
                </c:pt>
              </c:numCache>
            </c:numRef>
          </c:val>
          <c:smooth val="0"/>
          <c:extLst>
            <c:ext xmlns:c16="http://schemas.microsoft.com/office/drawing/2014/chart" uri="{C3380CC4-5D6E-409C-BE32-E72D297353CC}">
              <c16:uniqueId val="{00000001-B0AA-462D-8802-904137B83532}"/>
            </c:ext>
          </c:extLst>
        </c:ser>
        <c:ser>
          <c:idx val="2"/>
          <c:order val="2"/>
          <c:tx>
            <c:v>Senior Designer</c:v>
          </c:tx>
          <c:spPr>
            <a:ln w="25400" cap="rnd">
              <a:solidFill>
                <a:srgbClr val="70AD47"/>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Forecast!$D$90:$BC$90</c:f>
              <c:numCache>
                <c:formatCode>0.0;\(0.0\);\-</c:formatCode>
                <c:ptCount val="52"/>
                <c:pt idx="0">
                  <c:v>0.44444444444444442</c:v>
                </c:pt>
                <c:pt idx="1">
                  <c:v>0.44444444444444442</c:v>
                </c:pt>
                <c:pt idx="2">
                  <c:v>0.44444444444444442</c:v>
                </c:pt>
                <c:pt idx="3">
                  <c:v>0.44444444444444442</c:v>
                </c:pt>
                <c:pt idx="4">
                  <c:v>0.1111111111111111</c:v>
                </c:pt>
                <c:pt idx="5">
                  <c:v>0.1111111111111111</c:v>
                </c:pt>
                <c:pt idx="6">
                  <c:v>-0.33333333333333331</c:v>
                </c:pt>
                <c:pt idx="7">
                  <c:v>-0.55555555555555558</c:v>
                </c:pt>
                <c:pt idx="8">
                  <c:v>-0.55555555555555558</c:v>
                </c:pt>
                <c:pt idx="9">
                  <c:v>-0.55555555555555558</c:v>
                </c:pt>
                <c:pt idx="10">
                  <c:v>-0.55555555555555558</c:v>
                </c:pt>
                <c:pt idx="11">
                  <c:v>-0.55555555555555558</c:v>
                </c:pt>
                <c:pt idx="12">
                  <c:v>-0.55555555555555558</c:v>
                </c:pt>
                <c:pt idx="13">
                  <c:v>-0.55555555555555558</c:v>
                </c:pt>
                <c:pt idx="14">
                  <c:v>-0.55555555555555558</c:v>
                </c:pt>
                <c:pt idx="15">
                  <c:v>-0.55555555555555558</c:v>
                </c:pt>
                <c:pt idx="16">
                  <c:v>-0.55555555555555558</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Cache>
            </c:numRef>
          </c:val>
          <c:smooth val="0"/>
          <c:extLst>
            <c:ext xmlns:c16="http://schemas.microsoft.com/office/drawing/2014/chart" uri="{C3380CC4-5D6E-409C-BE32-E72D297353CC}">
              <c16:uniqueId val="{00000002-B0AA-462D-8802-904137B83532}"/>
            </c:ext>
          </c:extLst>
        </c:ser>
        <c:ser>
          <c:idx val="3"/>
          <c:order val="3"/>
          <c:tx>
            <c:v>Project Designer</c:v>
          </c:tx>
          <c:spPr>
            <a:ln w="25400" cap="rnd">
              <a:solidFill>
                <a:srgbClr val="ED7D31"/>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Forecast!$D$92:$BC$92</c:f>
              <c:numCache>
                <c:formatCode>0.0;\(0.0\);\-</c:formatCode>
                <c:ptCount val="52"/>
                <c:pt idx="0">
                  <c:v>5.5555555555555552E-2</c:v>
                </c:pt>
                <c:pt idx="1">
                  <c:v>5.5555555555555552E-2</c:v>
                </c:pt>
                <c:pt idx="2">
                  <c:v>0.27777777777777779</c:v>
                </c:pt>
                <c:pt idx="3">
                  <c:v>0.27777777777777779</c:v>
                </c:pt>
                <c:pt idx="4">
                  <c:v>5.5555555555555552E-2</c:v>
                </c:pt>
                <c:pt idx="5">
                  <c:v>5.5555555555555552E-2</c:v>
                </c:pt>
                <c:pt idx="6">
                  <c:v>5.5555555555555552E-2</c:v>
                </c:pt>
                <c:pt idx="7">
                  <c:v>0.55555555555555558</c:v>
                </c:pt>
                <c:pt idx="8">
                  <c:v>0.55555555555555558</c:v>
                </c:pt>
                <c:pt idx="9">
                  <c:v>0.1111111111111111</c:v>
                </c:pt>
                <c:pt idx="10">
                  <c:v>0.1111111111111111</c:v>
                </c:pt>
                <c:pt idx="11">
                  <c:v>0.22222222222222221</c:v>
                </c:pt>
                <c:pt idx="12">
                  <c:v>0.1111111111111111</c:v>
                </c:pt>
                <c:pt idx="13">
                  <c:v>0.1111111111111111</c:v>
                </c:pt>
                <c:pt idx="14">
                  <c:v>0.33333333333333331</c:v>
                </c:pt>
                <c:pt idx="15">
                  <c:v>0.66666666666666663</c:v>
                </c:pt>
                <c:pt idx="16">
                  <c:v>0.66666666666666663</c:v>
                </c:pt>
                <c:pt idx="17">
                  <c:v>-0.44444444444444442</c:v>
                </c:pt>
                <c:pt idx="18">
                  <c:v>-1</c:v>
                </c:pt>
                <c:pt idx="19">
                  <c:v>-1</c:v>
                </c:pt>
                <c:pt idx="20">
                  <c:v>-1</c:v>
                </c:pt>
                <c:pt idx="21">
                  <c:v>-1</c:v>
                </c:pt>
                <c:pt idx="22">
                  <c:v>-1</c:v>
                </c:pt>
                <c:pt idx="23">
                  <c:v>-1</c:v>
                </c:pt>
                <c:pt idx="24">
                  <c:v>-1</c:v>
                </c:pt>
                <c:pt idx="25">
                  <c:v>-1</c:v>
                </c:pt>
                <c:pt idx="26">
                  <c:v>-1</c:v>
                </c:pt>
                <c:pt idx="27">
                  <c:v>-1</c:v>
                </c:pt>
                <c:pt idx="28">
                  <c:v>-1</c:v>
                </c:pt>
                <c:pt idx="29">
                  <c:v>-1</c:v>
                </c:pt>
                <c:pt idx="30">
                  <c:v>-0.88888888888888884</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Cache>
            </c:numRef>
          </c:val>
          <c:smooth val="0"/>
          <c:extLst>
            <c:ext xmlns:c16="http://schemas.microsoft.com/office/drawing/2014/chart" uri="{C3380CC4-5D6E-409C-BE32-E72D297353CC}">
              <c16:uniqueId val="{00000003-B0AA-462D-8802-904137B83532}"/>
            </c:ext>
          </c:extLst>
        </c:ser>
        <c:ser>
          <c:idx val="4"/>
          <c:order val="4"/>
          <c:tx>
            <c:v>Mid Level Designer</c:v>
          </c:tx>
          <c:spPr>
            <a:ln w="25400" cap="rnd">
              <a:solidFill>
                <a:srgbClr val="7F6084"/>
              </a:solidFill>
              <a:prstDash val="solid"/>
              <a:round/>
            </a:ln>
            <a:effectLst/>
          </c:spPr>
          <c:marker>
            <c:symbol val="none"/>
          </c:marker>
          <c:cat>
            <c:numRef>
              <c:f>Forecast!$D$5:$BC$5</c:f>
              <c:numCache>
                <c:formatCode>m/d/yy</c:formatCode>
                <c:ptCount val="52"/>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pt idx="13">
                  <c:v>46391</c:v>
                </c:pt>
                <c:pt idx="14">
                  <c:v>46398</c:v>
                </c:pt>
                <c:pt idx="15">
                  <c:v>46405</c:v>
                </c:pt>
                <c:pt idx="16">
                  <c:v>46412</c:v>
                </c:pt>
                <c:pt idx="17">
                  <c:v>46419</c:v>
                </c:pt>
                <c:pt idx="18">
                  <c:v>46426</c:v>
                </c:pt>
                <c:pt idx="19">
                  <c:v>46433</c:v>
                </c:pt>
                <c:pt idx="20">
                  <c:v>46440</c:v>
                </c:pt>
                <c:pt idx="21">
                  <c:v>46447</c:v>
                </c:pt>
                <c:pt idx="22">
                  <c:v>46454</c:v>
                </c:pt>
                <c:pt idx="23">
                  <c:v>46461</c:v>
                </c:pt>
                <c:pt idx="24">
                  <c:v>46468</c:v>
                </c:pt>
                <c:pt idx="25">
                  <c:v>46475</c:v>
                </c:pt>
                <c:pt idx="26">
                  <c:v>46482</c:v>
                </c:pt>
                <c:pt idx="27">
                  <c:v>46489</c:v>
                </c:pt>
                <c:pt idx="28">
                  <c:v>46496</c:v>
                </c:pt>
                <c:pt idx="29">
                  <c:v>46503</c:v>
                </c:pt>
                <c:pt idx="30">
                  <c:v>46510</c:v>
                </c:pt>
                <c:pt idx="31">
                  <c:v>46517</c:v>
                </c:pt>
                <c:pt idx="32">
                  <c:v>46524</c:v>
                </c:pt>
                <c:pt idx="33">
                  <c:v>46531</c:v>
                </c:pt>
                <c:pt idx="34">
                  <c:v>46538</c:v>
                </c:pt>
                <c:pt idx="35">
                  <c:v>46545</c:v>
                </c:pt>
                <c:pt idx="36">
                  <c:v>46552</c:v>
                </c:pt>
                <c:pt idx="37">
                  <c:v>46559</c:v>
                </c:pt>
                <c:pt idx="38">
                  <c:v>46566</c:v>
                </c:pt>
                <c:pt idx="39">
                  <c:v>46573</c:v>
                </c:pt>
                <c:pt idx="40">
                  <c:v>46580</c:v>
                </c:pt>
                <c:pt idx="41">
                  <c:v>46587</c:v>
                </c:pt>
                <c:pt idx="42">
                  <c:v>46594</c:v>
                </c:pt>
                <c:pt idx="43">
                  <c:v>46601</c:v>
                </c:pt>
                <c:pt idx="44">
                  <c:v>46608</c:v>
                </c:pt>
                <c:pt idx="45">
                  <c:v>46615</c:v>
                </c:pt>
                <c:pt idx="46">
                  <c:v>46622</c:v>
                </c:pt>
                <c:pt idx="47">
                  <c:v>46629</c:v>
                </c:pt>
                <c:pt idx="48">
                  <c:v>46636</c:v>
                </c:pt>
                <c:pt idx="49">
                  <c:v>46643</c:v>
                </c:pt>
                <c:pt idx="50">
                  <c:v>46650</c:v>
                </c:pt>
                <c:pt idx="51">
                  <c:v>46657</c:v>
                </c:pt>
              </c:numCache>
            </c:numRef>
          </c:cat>
          <c:val>
            <c:numRef>
              <c:f>Forecast!$D$91:$BC$91</c:f>
              <c:numCache>
                <c:formatCode>0.0;\(0.0\);\-</c:formatCode>
                <c:ptCount val="52"/>
                <c:pt idx="0">
                  <c:v>-0.86111111111111116</c:v>
                </c:pt>
                <c:pt idx="1">
                  <c:v>-0.41666666666666669</c:v>
                </c:pt>
                <c:pt idx="2">
                  <c:v>-0.41666666666666669</c:v>
                </c:pt>
                <c:pt idx="3">
                  <c:v>-0.19444444444444445</c:v>
                </c:pt>
                <c:pt idx="4">
                  <c:v>-0.66666666666666663</c:v>
                </c:pt>
                <c:pt idx="5">
                  <c:v>-0.77777777777777779</c:v>
                </c:pt>
                <c:pt idx="6">
                  <c:v>-0.66666666666666663</c:v>
                </c:pt>
                <c:pt idx="7">
                  <c:v>-0.66666666666666663</c:v>
                </c:pt>
                <c:pt idx="8">
                  <c:v>-0.66666666666666663</c:v>
                </c:pt>
                <c:pt idx="9">
                  <c:v>-1</c:v>
                </c:pt>
                <c:pt idx="10">
                  <c:v>-1</c:v>
                </c:pt>
                <c:pt idx="11">
                  <c:v>-1.5555555555555556</c:v>
                </c:pt>
                <c:pt idx="12">
                  <c:v>-1.5555555555555556</c:v>
                </c:pt>
                <c:pt idx="13">
                  <c:v>-1.5555555555555556</c:v>
                </c:pt>
                <c:pt idx="14">
                  <c:v>-1.1111111111111112</c:v>
                </c:pt>
                <c:pt idx="15">
                  <c:v>-1.1111111111111112</c:v>
                </c:pt>
                <c:pt idx="16">
                  <c:v>-1.1111111111111112</c:v>
                </c:pt>
                <c:pt idx="17">
                  <c:v>-1.5555555555555556</c:v>
                </c:pt>
                <c:pt idx="18">
                  <c:v>-2</c:v>
                </c:pt>
                <c:pt idx="19">
                  <c:v>-2</c:v>
                </c:pt>
                <c:pt idx="20">
                  <c:v>-2</c:v>
                </c:pt>
                <c:pt idx="21">
                  <c:v>-2</c:v>
                </c:pt>
                <c:pt idx="22">
                  <c:v>-2</c:v>
                </c:pt>
                <c:pt idx="23">
                  <c:v>-2</c:v>
                </c:pt>
                <c:pt idx="24">
                  <c:v>-2</c:v>
                </c:pt>
                <c:pt idx="25">
                  <c:v>-2</c:v>
                </c:pt>
                <c:pt idx="26">
                  <c:v>-2</c:v>
                </c:pt>
                <c:pt idx="27">
                  <c:v>-2</c:v>
                </c:pt>
                <c:pt idx="28">
                  <c:v>-2</c:v>
                </c:pt>
                <c:pt idx="29">
                  <c:v>-2</c:v>
                </c:pt>
                <c:pt idx="30">
                  <c:v>-1.4444444444444444</c:v>
                </c:pt>
                <c:pt idx="31">
                  <c:v>-1.4444444444444444</c:v>
                </c:pt>
                <c:pt idx="32">
                  <c:v>-1.4444444444444444</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numCache>
            </c:numRef>
          </c:val>
          <c:smooth val="0"/>
          <c:extLst>
            <c:ext xmlns:c16="http://schemas.microsoft.com/office/drawing/2014/chart" uri="{C3380CC4-5D6E-409C-BE32-E72D297353CC}">
              <c16:uniqueId val="{00000004-B0AA-462D-8802-904137B83532}"/>
            </c:ext>
          </c:extLst>
        </c:ser>
        <c:dLbls>
          <c:showLegendKey val="0"/>
          <c:showVal val="0"/>
          <c:showCatName val="0"/>
          <c:showSerName val="0"/>
          <c:showPercent val="0"/>
          <c:showBubbleSize val="0"/>
        </c:dLbls>
        <c:smooth val="0"/>
        <c:axId val="1816984063"/>
        <c:axId val="1793463087"/>
      </c:lineChart>
      <c:dateAx>
        <c:axId val="1816984063"/>
        <c:scaling>
          <c:orientation val="minMax"/>
        </c:scaling>
        <c:delete val="0"/>
        <c:axPos val="b"/>
        <c:numFmt formatCode="m/d"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63087"/>
        <c:crosses val="autoZero"/>
        <c:auto val="1"/>
        <c:lblOffset val="100"/>
        <c:baseTimeUnit val="days"/>
        <c:majorUnit val="4"/>
        <c:majorTimeUnit val="months"/>
      </c:dateAx>
      <c:valAx>
        <c:axId val="17934630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33</xdr:row>
      <xdr:rowOff>0</xdr:rowOff>
    </xdr:from>
    <xdr:to>
      <xdr:col>4</xdr:col>
      <xdr:colOff>0</xdr:colOff>
      <xdr:row>52</xdr:row>
      <xdr:rowOff>0</xdr:rowOff>
    </xdr:to>
    <xdr:graphicFrame macro="">
      <xdr:nvGraphicFramePr>
        <xdr:cNvPr id="2" name="chtDemand">
          <a:extLst>
            <a:ext uri="{FF2B5EF4-FFF2-40B4-BE49-F238E27FC236}">
              <a16:creationId xmlns:a16="http://schemas.microsoft.com/office/drawing/2014/main" id="{FEA7592C-5144-679F-EC4E-265773B29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33</xdr:row>
      <xdr:rowOff>0</xdr:rowOff>
    </xdr:from>
    <xdr:to>
      <xdr:col>9</xdr:col>
      <xdr:colOff>0</xdr:colOff>
      <xdr:row>52</xdr:row>
      <xdr:rowOff>0</xdr:rowOff>
    </xdr:to>
    <xdr:graphicFrame macro="">
      <xdr:nvGraphicFramePr>
        <xdr:cNvPr id="3" name="chtUtil">
          <a:extLst>
            <a:ext uri="{FF2B5EF4-FFF2-40B4-BE49-F238E27FC236}">
              <a16:creationId xmlns:a16="http://schemas.microsoft.com/office/drawing/2014/main" id="{9F21EF5E-CC8F-2468-1ECE-E93FA3B03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53</xdr:row>
      <xdr:rowOff>0</xdr:rowOff>
    </xdr:from>
    <xdr:to>
      <xdr:col>9</xdr:col>
      <xdr:colOff>0</xdr:colOff>
      <xdr:row>71</xdr:row>
      <xdr:rowOff>0</xdr:rowOff>
    </xdr:to>
    <xdr:graphicFrame macro="">
      <xdr:nvGraphicFramePr>
        <xdr:cNvPr id="4" name="chtFTE">
          <a:extLst>
            <a:ext uri="{FF2B5EF4-FFF2-40B4-BE49-F238E27FC236}">
              <a16:creationId xmlns:a16="http://schemas.microsoft.com/office/drawing/2014/main" id="{00557FB0-F94E-8CEE-DDE8-668B96EFC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1BC193-B08E-4437-A856-41BBE2290982}" name="tblPhases" displayName="tblPhases" ref="H5:H20" totalsRowShown="0" headerRowDxfId="81" dataDxfId="80">
  <autoFilter ref="H5:H20" xr:uid="{B91BC193-B08E-4437-A856-41BBE2290982}"/>
  <tableColumns count="1">
    <tableColumn id="1" xr3:uid="{172B01C5-3675-40C2-8454-6D8F2194BDB2}" name="Phase" dataDxfId="7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82CC73-8915-49FD-A840-DF7E8C3923BD}" name="tblStaff" displayName="tblStaff" ref="J10:L17" totalsRowShown="0" headerRowDxfId="78" dataDxfId="77">
  <autoFilter ref="J10:L17" xr:uid="{F482CC73-8915-49FD-A840-DF7E8C3923BD}"/>
  <tableColumns count="3">
    <tableColumn id="1" xr3:uid="{33F55FDB-2C78-4AE8-BAB3-0297F23989E4}" name="Initials" dataDxfId="76"/>
    <tableColumn id="2" xr3:uid="{1C5256AD-421E-4772-876C-D0C021A03D03}" name="Staff Level" dataDxfId="75"/>
    <tableColumn id="3" xr3:uid="{B55E300A-6FA5-4959-AAF5-D321BEBA2474}" name="FTE" dataDxfId="7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AB70A-9405-402F-A62D-E204369DB425}">
  <dimension ref="A1:I32"/>
  <sheetViews>
    <sheetView showGridLines="0" workbookViewId="0"/>
  </sheetViews>
  <sheetFormatPr defaultRowHeight="15" x14ac:dyDescent="0.25"/>
  <cols>
    <col min="1" max="1" width="43.85546875" customWidth="1"/>
    <col min="2" max="8" width="19" customWidth="1"/>
    <col min="9" max="9" width="64.7109375" customWidth="1"/>
  </cols>
  <sheetData>
    <row r="1" spans="1:9" ht="21" x14ac:dyDescent="0.35">
      <c r="A1" s="27" t="s">
        <v>78</v>
      </c>
    </row>
    <row r="2" spans="1:9" x14ac:dyDescent="0.25">
      <c r="A2" s="2" t="str">
        <f>"Scenario: "&amp;Assumptions!B6&amp;"  |  Forecast: "&amp;TEXT(Forecast!D5,"m/d/yy")&amp;" – "&amp;TEXT(Forecast!BC5+6,"m/d/yy")&amp;" (52 weeks)"</f>
        <v>Scenario: Active + Prospective  |  Forecast: 10/5/26 – 10/3/27 (52 weeks)</v>
      </c>
    </row>
    <row r="4" spans="1:9" x14ac:dyDescent="0.25">
      <c r="A4" s="19" t="s">
        <v>79</v>
      </c>
      <c r="B4" s="19"/>
      <c r="C4" s="19"/>
      <c r="D4" s="19"/>
      <c r="E4" s="19"/>
      <c r="F4" s="19"/>
      <c r="G4" s="19"/>
      <c r="H4" s="19"/>
      <c r="I4" s="19"/>
    </row>
    <row r="5" spans="1:9" x14ac:dyDescent="0.25">
      <c r="A5" s="78" t="s">
        <v>80</v>
      </c>
      <c r="B5" s="107">
        <f>COUNTIFS(pjWeight,"&gt;0",pjType,"&lt;&gt;Project")</f>
        <v>43</v>
      </c>
      <c r="C5" s="109"/>
      <c r="D5" s="28"/>
      <c r="E5" s="28"/>
      <c r="F5" s="28"/>
      <c r="G5" s="28"/>
      <c r="H5" s="28"/>
      <c r="I5" s="28"/>
    </row>
    <row r="6" spans="1:9" x14ac:dyDescent="0.25">
      <c r="A6" s="78" t="s">
        <v>81</v>
      </c>
      <c r="B6" s="106">
        <f>Forecast!C85</f>
        <v>1.2033898305084745</v>
      </c>
      <c r="C6" s="109" t="str">
        <f>"Week of "&amp;TEXT(INDEX(Forecast!D5:BC5,MATCH(Forecast!C85,Forecast!D85:BC85,0)),"m/d/yy")</f>
        <v>Week of 10/26/26</v>
      </c>
      <c r="D6" s="29"/>
      <c r="E6" s="29"/>
      <c r="F6" s="29"/>
      <c r="G6" s="29"/>
      <c r="H6" s="29"/>
      <c r="I6" s="29"/>
    </row>
    <row r="7" spans="1:9" x14ac:dyDescent="0.25">
      <c r="A7" s="78" t="s">
        <v>82</v>
      </c>
      <c r="B7" s="106">
        <f>Forecast!B85</f>
        <v>0.30353650586701436</v>
      </c>
      <c r="C7" s="109"/>
      <c r="D7" s="29"/>
      <c r="E7" s="29"/>
      <c r="F7" s="29"/>
      <c r="G7" s="29"/>
      <c r="H7" s="29"/>
      <c r="I7" s="29"/>
    </row>
    <row r="8" spans="1:9" x14ac:dyDescent="0.25">
      <c r="A8" s="78" t="s">
        <v>83</v>
      </c>
      <c r="B8" s="107">
        <f>COUNTIF(Forecast!D96:BC96,"&gt;0")</f>
        <v>17</v>
      </c>
      <c r="C8" s="109" t="s">
        <v>84</v>
      </c>
      <c r="D8" s="29"/>
      <c r="E8" s="29"/>
      <c r="F8" s="29"/>
      <c r="G8" s="29"/>
      <c r="H8" s="29"/>
      <c r="I8" s="29"/>
    </row>
    <row r="9" spans="1:9" x14ac:dyDescent="0.25">
      <c r="A9" s="78" t="s">
        <v>85</v>
      </c>
      <c r="B9" s="107">
        <f>COUNTIF(Forecast!D97:BC97,"&gt;0")</f>
        <v>46</v>
      </c>
      <c r="C9" s="109" t="s">
        <v>84</v>
      </c>
      <c r="D9" s="29"/>
      <c r="E9" s="29"/>
      <c r="F9" s="29"/>
      <c r="G9" s="29"/>
      <c r="H9" s="29"/>
      <c r="I9" s="29"/>
    </row>
    <row r="10" spans="1:9" x14ac:dyDescent="0.25">
      <c r="A10" s="78" t="s">
        <v>86</v>
      </c>
      <c r="B10" s="108">
        <f>Economics!F9</f>
        <v>2591500</v>
      </c>
      <c r="C10" s="109" t="s">
        <v>87</v>
      </c>
      <c r="D10" s="29"/>
      <c r="E10" s="29"/>
      <c r="F10" s="29"/>
      <c r="G10" s="29"/>
      <c r="H10" s="29"/>
      <c r="I10" s="29"/>
    </row>
    <row r="11" spans="1:9" x14ac:dyDescent="0.25">
      <c r="A11" s="78" t="s">
        <v>137</v>
      </c>
      <c r="B11" s="108">
        <f>Economics!E9</f>
        <v>1098015</v>
      </c>
      <c r="C11" s="109"/>
      <c r="D11" s="29"/>
      <c r="E11" s="29"/>
      <c r="F11" s="29"/>
      <c r="G11" s="29"/>
      <c r="H11" s="29"/>
      <c r="I11" s="29"/>
    </row>
    <row r="12" spans="1:9" x14ac:dyDescent="0.25">
      <c r="A12" s="78" t="s">
        <v>138</v>
      </c>
      <c r="B12" s="108">
        <f>Economics!G9</f>
        <v>1493485</v>
      </c>
      <c r="C12" s="109" t="str">
        <f>IF(Economics!F9=0,"","Projected cost = "&amp;TEXT(Economics!H9,"0%")&amp;" of fee")</f>
        <v>Projected cost = 42% of fee</v>
      </c>
      <c r="D12" s="30"/>
      <c r="E12" s="30"/>
      <c r="F12" s="30"/>
      <c r="G12" s="30"/>
      <c r="H12" s="30"/>
      <c r="I12" s="30"/>
    </row>
    <row r="14" spans="1:9" x14ac:dyDescent="0.25">
      <c r="A14" s="19" t="s">
        <v>125</v>
      </c>
      <c r="B14" s="19"/>
      <c r="C14" s="19"/>
      <c r="D14" s="19"/>
      <c r="E14" s="19"/>
      <c r="F14" s="19"/>
      <c r="G14" s="19"/>
      <c r="H14" s="19"/>
      <c r="I14" s="19"/>
    </row>
    <row r="15" spans="1:9" x14ac:dyDescent="0.25">
      <c r="A15" s="113"/>
      <c r="B15" s="206" t="str">
        <f>"Near-term (wks 1–"&amp;Assumptions!$K$5&amp;")"</f>
        <v>Near-term (wks 1–12)</v>
      </c>
      <c r="C15" s="206"/>
      <c r="D15" s="206" t="str">
        <f>"Mid-term (wks "&amp;(Assumptions!$K$5+1)&amp;"–"&amp;Assumptions!$K$6&amp;")"</f>
        <v>Mid-term (wks 13–24)</v>
      </c>
      <c r="E15" s="206"/>
      <c r="F15" s="206" t="str">
        <f>"Long-range (wks "&amp;(Assumptions!$K$6+1)&amp;"–52)"</f>
        <v>Long-range (wks 25–52)</v>
      </c>
      <c r="G15" s="206"/>
    </row>
    <row r="16" spans="1:9" x14ac:dyDescent="0.25">
      <c r="A16" s="113" t="s">
        <v>18</v>
      </c>
      <c r="B16" s="110" t="s">
        <v>126</v>
      </c>
      <c r="C16" s="110" t="s">
        <v>93</v>
      </c>
      <c r="D16" s="110" t="s">
        <v>126</v>
      </c>
      <c r="E16" s="110" t="s">
        <v>93</v>
      </c>
      <c r="F16" s="110" t="s">
        <v>126</v>
      </c>
      <c r="G16" s="110" t="s">
        <v>93</v>
      </c>
    </row>
    <row r="17" spans="1:9" x14ac:dyDescent="0.25">
      <c r="A17" s="97" t="str">
        <f>Assumptions!A15</f>
        <v>Principal</v>
      </c>
      <c r="B17" s="66">
        <f>_xlfn.MAXIFS(Forecast!$D$80:$BC$80,Forecast!$D$4:$BC$4,"&gt;="&amp;1,Forecast!$D$4:$BC$4,"&lt;="&amp;Assumptions!$K$5)</f>
        <v>1.5833333333333333</v>
      </c>
      <c r="C17" s="111">
        <f>MAX(0,_xlfn.MAXIFS(Forecast!$D$88:$BC$88,Forecast!$D$4:$BC$4,"&gt;="&amp;1,Forecast!$D$4:$BC$4,"&lt;="&amp;Assumptions!$K$5))</f>
        <v>1.1666666666666667</v>
      </c>
      <c r="D17" s="66">
        <f>_xlfn.MAXIFS(Forecast!$D$80:$BC$80,Forecast!$D$4:$BC$4,"&gt;="&amp;Assumptions!$K$5+1,Forecast!$D$4:$BC$4,"&lt;="&amp;Assumptions!$K$6)</f>
        <v>0.56666666666666665</v>
      </c>
      <c r="E17" s="111">
        <f>MAX(0,_xlfn.MAXIFS(Forecast!$D$88:$BC$88,Forecast!$D$4:$BC$4,"&gt;="&amp;Assumptions!$K$5+1,Forecast!$D$4:$BC$4,"&lt;="&amp;Assumptions!$K$6))</f>
        <v>0</v>
      </c>
      <c r="F17" s="66">
        <f>_xlfn.MAXIFS(Forecast!$D$80:$BC$80,Forecast!$D$4:$BC$4,"&gt;="&amp;Assumptions!$K$6+1,Forecast!$D$4:$BC$4,"&lt;="&amp;52)</f>
        <v>3.3333333333333333E-2</v>
      </c>
      <c r="G17" s="111">
        <f>MAX(0,_xlfn.MAXIFS(Forecast!$D$88:$BC$88,Forecast!$D$4:$BC$4,"&gt;="&amp;Assumptions!$K$6+1,Forecast!$D$4:$BC$4,"&lt;="&amp;52))</f>
        <v>0</v>
      </c>
    </row>
    <row r="18" spans="1:9" x14ac:dyDescent="0.25">
      <c r="A18" s="97" t="str">
        <f>Assumptions!A16</f>
        <v>Director</v>
      </c>
      <c r="B18" s="66">
        <f>_xlfn.MAXIFS(Forecast!$D$81:$BC$81,Forecast!$D$4:$BC$4,"&gt;="&amp;1,Forecast!$D$4:$BC$4,"&lt;="&amp;Assumptions!$K$5)</f>
        <v>1.1875</v>
      </c>
      <c r="C18" s="111">
        <f>MAX(0,_xlfn.MAXIFS(Forecast!$D$89:$BC$89,Forecast!$D$4:$BC$4,"&gt;="&amp;1,Forecast!$D$4:$BC$4,"&lt;="&amp;Assumptions!$K$5))</f>
        <v>0.1875</v>
      </c>
      <c r="D18" s="66">
        <f>_xlfn.MAXIFS(Forecast!$D$81:$BC$81,Forecast!$D$4:$BC$4,"&gt;="&amp;Assumptions!$K$5+1,Forecast!$D$4:$BC$4,"&lt;="&amp;Assumptions!$K$6)</f>
        <v>1.125</v>
      </c>
      <c r="E18" s="111">
        <f>MAX(0,_xlfn.MAXIFS(Forecast!$D$89:$BC$89,Forecast!$D$4:$BC$4,"&gt;="&amp;Assumptions!$K$5+1,Forecast!$D$4:$BC$4,"&lt;="&amp;Assumptions!$K$6))</f>
        <v>0.125</v>
      </c>
      <c r="F18" s="66">
        <f>_xlfn.MAXIFS(Forecast!$D$81:$BC$81,Forecast!$D$4:$BC$4,"&gt;="&amp;Assumptions!$K$6+1,Forecast!$D$4:$BC$4,"&lt;="&amp;52)</f>
        <v>0.625</v>
      </c>
      <c r="G18" s="111">
        <f>MAX(0,_xlfn.MAXIFS(Forecast!$D$89:$BC$89,Forecast!$D$4:$BC$4,"&gt;="&amp;Assumptions!$K$6+1,Forecast!$D$4:$BC$4,"&lt;="&amp;52))</f>
        <v>0</v>
      </c>
    </row>
    <row r="19" spans="1:9" x14ac:dyDescent="0.25">
      <c r="A19" s="97" t="str">
        <f>Assumptions!A17</f>
        <v>Senior Designer</v>
      </c>
      <c r="B19" s="66">
        <f>_xlfn.MAXIFS(Forecast!$D$82:$BC$82,Forecast!$D$4:$BC$4,"&gt;="&amp;1,Forecast!$D$4:$BC$4,"&lt;="&amp;Assumptions!$K$5)</f>
        <v>1.4444444444444444</v>
      </c>
      <c r="C19" s="111">
        <f>MAX(0,_xlfn.MAXIFS(Forecast!$D$90:$BC$90,Forecast!$D$4:$BC$4,"&gt;="&amp;1,Forecast!$D$4:$BC$4,"&lt;="&amp;Assumptions!$K$5))</f>
        <v>0.44444444444444442</v>
      </c>
      <c r="D19" s="66">
        <f>_xlfn.MAXIFS(Forecast!$D$82:$BC$82,Forecast!$D$4:$BC$4,"&gt;="&amp;Assumptions!$K$5+1,Forecast!$D$4:$BC$4,"&lt;="&amp;Assumptions!$K$6)</f>
        <v>0.44444444444444442</v>
      </c>
      <c r="E19" s="111">
        <f>MAX(0,_xlfn.MAXIFS(Forecast!$D$90:$BC$90,Forecast!$D$4:$BC$4,"&gt;="&amp;Assumptions!$K$5+1,Forecast!$D$4:$BC$4,"&lt;="&amp;Assumptions!$K$6))</f>
        <v>0</v>
      </c>
      <c r="F19" s="66">
        <f>_xlfn.MAXIFS(Forecast!$D$82:$BC$82,Forecast!$D$4:$BC$4,"&gt;="&amp;Assumptions!$K$6+1,Forecast!$D$4:$BC$4,"&lt;="&amp;52)</f>
        <v>0</v>
      </c>
      <c r="G19" s="111">
        <f>MAX(0,_xlfn.MAXIFS(Forecast!$D$90:$BC$90,Forecast!$D$4:$BC$4,"&gt;="&amp;Assumptions!$K$6+1,Forecast!$D$4:$BC$4,"&lt;="&amp;52))</f>
        <v>0</v>
      </c>
    </row>
    <row r="20" spans="1:9" x14ac:dyDescent="0.25">
      <c r="A20" s="97" t="str">
        <f>Assumptions!A18</f>
        <v>Mid Level Designer</v>
      </c>
      <c r="B20" s="66">
        <f>_xlfn.MAXIFS(Forecast!$D$83:$BC$83,Forecast!$D$4:$BC$4,"&gt;="&amp;1,Forecast!$D$4:$BC$4,"&lt;="&amp;Assumptions!$K$5)</f>
        <v>0.90277777777777779</v>
      </c>
      <c r="C20" s="111">
        <f>MAX(0,_xlfn.MAXIFS(Forecast!$D$91:$BC$91,Forecast!$D$4:$BC$4,"&gt;="&amp;1,Forecast!$D$4:$BC$4,"&lt;="&amp;Assumptions!$K$5))</f>
        <v>0</v>
      </c>
      <c r="D20" s="66">
        <f>_xlfn.MAXIFS(Forecast!$D$83:$BC$83,Forecast!$D$4:$BC$4,"&gt;="&amp;Assumptions!$K$5+1,Forecast!$D$4:$BC$4,"&lt;="&amp;Assumptions!$K$6)</f>
        <v>0.44444444444444442</v>
      </c>
      <c r="E20" s="111">
        <f>MAX(0,_xlfn.MAXIFS(Forecast!$D$91:$BC$91,Forecast!$D$4:$BC$4,"&gt;="&amp;Assumptions!$K$5+1,Forecast!$D$4:$BC$4,"&lt;="&amp;Assumptions!$K$6))</f>
        <v>0</v>
      </c>
      <c r="F20" s="66">
        <f>_xlfn.MAXIFS(Forecast!$D$83:$BC$83,Forecast!$D$4:$BC$4,"&gt;="&amp;Assumptions!$K$6+1,Forecast!$D$4:$BC$4,"&lt;="&amp;52)</f>
        <v>0.27777777777777779</v>
      </c>
      <c r="G20" s="111">
        <f>MAX(0,_xlfn.MAXIFS(Forecast!$D$91:$BC$91,Forecast!$D$4:$BC$4,"&gt;="&amp;Assumptions!$K$6+1,Forecast!$D$4:$BC$4,"&lt;="&amp;52))</f>
        <v>0</v>
      </c>
    </row>
    <row r="21" spans="1:9" x14ac:dyDescent="0.25">
      <c r="A21" s="97" t="str">
        <f>Assumptions!A19</f>
        <v>Project Designer</v>
      </c>
      <c r="B21" s="66">
        <f>_xlfn.MAXIFS(Forecast!$D$84:$BC$84,Forecast!$D$4:$BC$4,"&gt;="&amp;1,Forecast!$D$4:$BC$4,"&lt;="&amp;Assumptions!$K$5)</f>
        <v>1.5555555555555556</v>
      </c>
      <c r="C21" s="111">
        <f>MAX(0,_xlfn.MAXIFS(Forecast!$D$92:$BC$92,Forecast!$D$4:$BC$4,"&gt;="&amp;1,Forecast!$D$4:$BC$4,"&lt;="&amp;Assumptions!$K$5))</f>
        <v>0.55555555555555558</v>
      </c>
      <c r="D21" s="66">
        <f>_xlfn.MAXIFS(Forecast!$D$84:$BC$84,Forecast!$D$4:$BC$4,"&gt;="&amp;Assumptions!$K$5+1,Forecast!$D$4:$BC$4,"&lt;="&amp;Assumptions!$K$6)</f>
        <v>1.6666666666666667</v>
      </c>
      <c r="E21" s="111">
        <f>MAX(0,_xlfn.MAXIFS(Forecast!$D$92:$BC$92,Forecast!$D$4:$BC$4,"&gt;="&amp;Assumptions!$K$5+1,Forecast!$D$4:$BC$4,"&lt;="&amp;Assumptions!$K$6))</f>
        <v>0.66666666666666663</v>
      </c>
      <c r="F21" s="66">
        <f>_xlfn.MAXIFS(Forecast!$D$84:$BC$84,Forecast!$D$4:$BC$4,"&gt;="&amp;Assumptions!$K$6+1,Forecast!$D$4:$BC$4,"&lt;="&amp;52)</f>
        <v>0.1111111111111111</v>
      </c>
      <c r="G21" s="111">
        <f>MAX(0,_xlfn.MAXIFS(Forecast!$D$92:$BC$92,Forecast!$D$4:$BC$4,"&gt;="&amp;Assumptions!$K$6+1,Forecast!$D$4:$BC$4,"&lt;="&amp;52))</f>
        <v>0</v>
      </c>
    </row>
    <row r="22" spans="1:9" x14ac:dyDescent="0.25">
      <c r="A22" s="79" t="s">
        <v>127</v>
      </c>
      <c r="B22" s="68">
        <f>_xlfn.MAXIFS(Forecast!$D$85:$BC$85,Forecast!$D$4:$BC$4,"&gt;="&amp;1,Forecast!$D$4:$BC$4,"&lt;="&amp;Assumptions!$K$5)</f>
        <v>1.2033898305084745</v>
      </c>
      <c r="C22" s="112">
        <f>MAX(0,_xlfn.MAXIFS(Forecast!$D$93:$BC$93,Forecast!$D$4:$BC$4,"&gt;="&amp;1,Forecast!$D$4:$BC$4,"&lt;="&amp;Assumptions!$K$5))</f>
        <v>1.5069444444444446</v>
      </c>
      <c r="D22" s="68">
        <f>_xlfn.MAXIFS(Forecast!$D$85:$BC$85,Forecast!$D$4:$BC$4,"&gt;="&amp;Assumptions!$K$5+1,Forecast!$D$4:$BC$4,"&lt;="&amp;Assumptions!$K$6)</f>
        <v>0.72881355932203384</v>
      </c>
      <c r="E22" s="112">
        <f>MAX(0,_xlfn.MAXIFS(Forecast!$D$93:$BC$93,Forecast!$D$4:$BC$4,"&gt;="&amp;Assumptions!$K$5+1,Forecast!$D$4:$BC$4,"&lt;="&amp;Assumptions!$K$6))</f>
        <v>0</v>
      </c>
      <c r="F22" s="68">
        <f>_xlfn.MAXIFS(Forecast!$D$85:$BC$85,Forecast!$D$4:$BC$4,"&gt;="&amp;Assumptions!$K$6+1,Forecast!$D$4:$BC$4,"&lt;="&amp;52)</f>
        <v>0.19491525423728814</v>
      </c>
      <c r="G22" s="112">
        <f>MAX(0,_xlfn.MAXIFS(Forecast!$D$93:$BC$93,Forecast!$D$4:$BC$4,"&gt;="&amp;Assumptions!$K$6+1,Forecast!$D$4:$BC$4,"&lt;="&amp;52))</f>
        <v>0</v>
      </c>
    </row>
    <row r="23" spans="1:9" x14ac:dyDescent="0.25">
      <c r="A23" s="12" t="s">
        <v>128</v>
      </c>
    </row>
    <row r="24" spans="1:9" x14ac:dyDescent="0.25">
      <c r="A24" s="19" t="s">
        <v>88</v>
      </c>
      <c r="B24" s="19"/>
      <c r="C24" s="19"/>
      <c r="D24" s="19"/>
      <c r="E24" s="19"/>
      <c r="F24" s="19"/>
      <c r="G24" s="19"/>
      <c r="H24" s="19"/>
      <c r="I24" s="19"/>
    </row>
    <row r="25" spans="1:9" ht="32.1" customHeight="1" x14ac:dyDescent="0.25">
      <c r="A25" s="96" t="s">
        <v>18</v>
      </c>
      <c r="B25" s="93" t="s">
        <v>89</v>
      </c>
      <c r="C25" s="93" t="s">
        <v>90</v>
      </c>
      <c r="D25" s="93" t="s">
        <v>91</v>
      </c>
      <c r="E25" s="93" t="s">
        <v>92</v>
      </c>
      <c r="F25" s="93" t="s">
        <v>93</v>
      </c>
      <c r="G25" s="93" t="s">
        <v>94</v>
      </c>
      <c r="H25" s="93" t="s">
        <v>95</v>
      </c>
      <c r="I25" s="93" t="s">
        <v>96</v>
      </c>
    </row>
    <row r="26" spans="1:9" x14ac:dyDescent="0.25">
      <c r="A26" s="97" t="str">
        <f>Assumptions!A15</f>
        <v>Principal</v>
      </c>
      <c r="B26" s="114">
        <f>Assumptions!C15</f>
        <v>2</v>
      </c>
      <c r="C26" s="115">
        <f>Forecast!C80</f>
        <v>1.5833333333333333</v>
      </c>
      <c r="D26" s="101">
        <f>COUNTIF(Forecast!D80:BC80,"&gt;"&amp;Assumptions!$B$8)</f>
        <v>6</v>
      </c>
      <c r="E26" s="101">
        <f>COUNTIF(Forecast!D80:BC80,"&lt;"&amp;Assumptions!$B$9)</f>
        <v>41</v>
      </c>
      <c r="F26" s="116">
        <f>MAX(0,Forecast!C88)</f>
        <v>1.1666666666666667</v>
      </c>
      <c r="G26" s="102" cm="1">
        <f t="array" ref="G26">IFERROR(INDEX(Forecast!$D$5:$BC$5,MATCH(TRUE,INDEX(Forecast!D88:BC88&gt;=Assumptions!$B$10,0),0)),"None")</f>
        <v>46300</v>
      </c>
      <c r="H26" s="102">
        <f>IF(G26="None","—",G26-7*Assumptions!$B$11)</f>
        <v>46244</v>
      </c>
      <c r="I26" s="78" t="str">
        <f>IF(G26="None",IF(D26&gt;0,"Monitor — short-term overload, no sustained hire need","No hire needed"),"Hire "&amp;ROUNDUP(F26,0)&amp;" FTE — "&amp;IF(H26&lt;=Assumptions!$B$5,"start recruiting now","recruit by "&amp;TEXT(H26,"m/d/yy")))</f>
        <v>Hire 2 FTE — start recruiting now</v>
      </c>
    </row>
    <row r="27" spans="1:9" x14ac:dyDescent="0.25">
      <c r="A27" s="97" t="str">
        <f>Assumptions!A16</f>
        <v>Director</v>
      </c>
      <c r="B27" s="114">
        <f>Assumptions!C16</f>
        <v>1</v>
      </c>
      <c r="C27" s="115">
        <f>Forecast!C81</f>
        <v>1.1875</v>
      </c>
      <c r="D27" s="101">
        <f>COUNTIF(Forecast!D81:BC81,"&gt;"&amp;Assumptions!$B$8)</f>
        <v>3</v>
      </c>
      <c r="E27" s="101">
        <f>COUNTIF(Forecast!D81:BC81,"&lt;"&amp;Assumptions!$B$9)</f>
        <v>35</v>
      </c>
      <c r="F27" s="116">
        <f>MAX(0,Forecast!C89)</f>
        <v>0.1875</v>
      </c>
      <c r="G27" s="102" t="str" cm="1">
        <f t="array" ref="G27">IFERROR(INDEX(Forecast!$D$5:$BC$5,MATCH(TRUE,INDEX(Forecast!D89:BC89&gt;=Assumptions!$B$10,0),0)),"None")</f>
        <v>None</v>
      </c>
      <c r="H27" s="102" t="str">
        <f>IF(G27="None","—",G27-7*Assumptions!$B$11)</f>
        <v>—</v>
      </c>
      <c r="I27" s="78" t="str">
        <f>IF(G27="None",IF(D27&gt;0,"Monitor — short-term overload, no sustained hire need","No hire needed"),"Hire "&amp;ROUNDUP(F27,0)&amp;" FTE — "&amp;IF(H27&lt;=Assumptions!$B$5,"start recruiting now","recruit by "&amp;TEXT(H27,"m/d/yy")))</f>
        <v>Monitor — short-term overload, no sustained hire need</v>
      </c>
    </row>
    <row r="28" spans="1:9" x14ac:dyDescent="0.25">
      <c r="A28" s="97" t="str">
        <f>Assumptions!A17</f>
        <v>Senior Designer</v>
      </c>
      <c r="B28" s="114">
        <f>Assumptions!C17</f>
        <v>1</v>
      </c>
      <c r="C28" s="115">
        <f>Forecast!C82</f>
        <v>1.4444444444444444</v>
      </c>
      <c r="D28" s="101">
        <f>COUNTIF(Forecast!D82:BC82,"&gt;"&amp;Assumptions!$B$8)</f>
        <v>6</v>
      </c>
      <c r="E28" s="101">
        <f>COUNTIF(Forecast!D82:BC82,"&lt;"&amp;Assumptions!$B$9)</f>
        <v>45</v>
      </c>
      <c r="F28" s="116">
        <f>MAX(0,Forecast!C90)</f>
        <v>0.44444444444444442</v>
      </c>
      <c r="G28" s="102" t="str" cm="1">
        <f t="array" ref="G28">IFERROR(INDEX(Forecast!$D$5:$BC$5,MATCH(TRUE,INDEX(Forecast!D90:BC90&gt;=Assumptions!$B$10,0),0)),"None")</f>
        <v>None</v>
      </c>
      <c r="H28" s="102" t="str">
        <f>IF(G28="None","—",G28-7*Assumptions!$B$11)</f>
        <v>—</v>
      </c>
      <c r="I28" s="78" t="str">
        <f>IF(G28="None",IF(D28&gt;0,"Monitor — short-term overload, no sustained hire need","No hire needed"),"Hire "&amp;ROUNDUP(F28,0)&amp;" FTE — "&amp;IF(H28&lt;=Assumptions!$B$5,"start recruiting now","recruit by "&amp;TEXT(H28,"m/d/yy")))</f>
        <v>Monitor — short-term overload, no sustained hire need</v>
      </c>
    </row>
    <row r="29" spans="1:9" x14ac:dyDescent="0.25">
      <c r="A29" s="97" t="str">
        <f>Assumptions!A18</f>
        <v>Mid Level Designer</v>
      </c>
      <c r="B29" s="114">
        <f>Assumptions!C18</f>
        <v>2</v>
      </c>
      <c r="C29" s="115">
        <f>Forecast!C83</f>
        <v>0.90277777777777779</v>
      </c>
      <c r="D29" s="101">
        <f>COUNTIF(Forecast!D83:BC83,"&gt;"&amp;Assumptions!$B$8)</f>
        <v>0</v>
      </c>
      <c r="E29" s="101">
        <f>COUNTIF(Forecast!D83:BC83,"&lt;"&amp;Assumptions!$B$9)</f>
        <v>44</v>
      </c>
      <c r="F29" s="116">
        <f>MAX(0,Forecast!C91)</f>
        <v>0</v>
      </c>
      <c r="G29" s="102" t="str" cm="1">
        <f t="array" ref="G29">IFERROR(INDEX(Forecast!$D$5:$BC$5,MATCH(TRUE,INDEX(Forecast!D91:BC91&gt;=Assumptions!$B$10,0),0)),"None")</f>
        <v>None</v>
      </c>
      <c r="H29" s="102" t="str">
        <f>IF(G29="None","—",G29-7*Assumptions!$B$11)</f>
        <v>—</v>
      </c>
      <c r="I29" s="78" t="str">
        <f>IF(G29="None",IF(D29&gt;0,"Monitor — short-term overload, no sustained hire need","No hire needed"),"Hire "&amp;ROUNDUP(F29,0)&amp;" FTE — "&amp;IF(H29&lt;=Assumptions!$B$5,"start recruiting now","recruit by "&amp;TEXT(H29,"m/d/yy")))</f>
        <v>No hire needed</v>
      </c>
    </row>
    <row r="30" spans="1:9" x14ac:dyDescent="0.25">
      <c r="A30" s="97" t="str">
        <f>Assumptions!A19</f>
        <v>Project Designer</v>
      </c>
      <c r="B30" s="114">
        <f>Assumptions!C19</f>
        <v>1</v>
      </c>
      <c r="C30" s="115">
        <f>Forecast!C84</f>
        <v>1.6666666666666667</v>
      </c>
      <c r="D30" s="101">
        <f>COUNTIF(Forecast!D84:BC84,"&gt;"&amp;Assumptions!$B$8)</f>
        <v>17</v>
      </c>
      <c r="E30" s="101">
        <f>COUNTIF(Forecast!D84:BC84,"&lt;"&amp;Assumptions!$B$9)</f>
        <v>35</v>
      </c>
      <c r="F30" s="116">
        <f>MAX(0,Forecast!C92)</f>
        <v>0.66666666666666663</v>
      </c>
      <c r="G30" s="102" cm="1">
        <f t="array" ref="G30">IFERROR(INDEX(Forecast!$D$5:$BC$5,MATCH(TRUE,INDEX(Forecast!D92:BC92&gt;=Assumptions!$B$10,0),0)),"None")</f>
        <v>46349</v>
      </c>
      <c r="H30" s="102">
        <f>IF(G30="None","—",G30-7*Assumptions!$B$11)</f>
        <v>46293</v>
      </c>
      <c r="I30" s="78" t="str">
        <f>IF(G30="None",IF(D30&gt;0,"Monitor — short-term overload, no sustained hire need","No hire needed"),"Hire "&amp;ROUNDUP(F30,0)&amp;" FTE — "&amp;IF(H30&lt;=Assumptions!$B$5,"start recruiting now","recruit by "&amp;TEXT(H30,"m/d/yy")))</f>
        <v>Hire 1 FTE — start recruiting now</v>
      </c>
    </row>
    <row r="31" spans="1:9" x14ac:dyDescent="0.25">
      <c r="A31" s="78"/>
      <c r="B31" s="78"/>
      <c r="C31" s="78"/>
      <c r="D31" s="78"/>
      <c r="E31" s="78"/>
      <c r="F31" s="78"/>
      <c r="G31" s="78"/>
      <c r="H31" s="78"/>
      <c r="I31" s="78"/>
    </row>
    <row r="32" spans="1:9" x14ac:dyDescent="0.25">
      <c r="A32" s="12" t="s">
        <v>97</v>
      </c>
    </row>
  </sheetData>
  <mergeCells count="3">
    <mergeCell ref="B15:C15"/>
    <mergeCell ref="D15:E15"/>
    <mergeCell ref="F15:G15"/>
  </mergeCells>
  <conditionalFormatting sqref="I26:I30">
    <cfRule type="expression" dxfId="55" priority="1">
      <formula>LEFT($I26,4)="Hire"</formula>
    </cfRule>
    <cfRule type="expression" dxfId="54" priority="2">
      <formula>LEFT($I26,7)="Monitor"</formula>
    </cfRule>
    <cfRule type="expression" dxfId="53" priority="3">
      <formula>LEFT($I26,2)="No"</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20" id="{34FAAF3F-851B-4999-AD66-8F21BAF60ADE}">
            <xm:f>AND(Economics!$E$9&gt;0,$B$12&gt;=0)</xm:f>
            <x14:dxf>
              <font>
                <color rgb="FF006100"/>
              </font>
              <fill>
                <patternFill patternType="solid">
                  <fgColor indexed="64"/>
                  <bgColor rgb="FFC6EFCE"/>
                </patternFill>
              </fill>
            </x14:dxf>
          </x14:cfRule>
          <x14:cfRule type="expression" priority="21" id="{C36768DF-2292-43BE-8300-764510D8D0CC}">
            <xm:f>AND(Economics!$E$9&gt;0,$B$12&lt;0)</xm:f>
            <x14:dxf>
              <font>
                <color rgb="FF9C0006"/>
              </font>
              <fill>
                <patternFill patternType="solid">
                  <fgColor indexed="64"/>
                  <bgColor rgb="FFFFC7CE"/>
                </patternFill>
              </fill>
            </x14:dxf>
          </x14:cfRule>
          <xm:sqref>B12</xm:sqref>
        </x14:conditionalFormatting>
        <x14:conditionalFormatting xmlns:xm="http://schemas.microsoft.com/office/excel/2006/main">
          <x14:cfRule type="expression" priority="5" id="{CB2B444E-DB01-4571-ADA1-7469EAAC55E3}">
            <xm:f>B17&gt;Assumptions!$B$8</xm:f>
            <x14:dxf>
              <font>
                <color rgb="FF9C0006"/>
              </font>
              <fill>
                <patternFill patternType="solid">
                  <fgColor indexed="64"/>
                  <bgColor rgb="FFFFC7CE"/>
                </patternFill>
              </fill>
            </x14:dxf>
          </x14:cfRule>
          <x14:cfRule type="expression" priority="6" id="{3FE3B7F1-5619-4CAD-BB25-BE064D6492B0}">
            <xm:f>B17&lt;Assumptions!$B$9</xm:f>
            <x14:dxf>
              <font>
                <color rgb="FF9C5700"/>
              </font>
              <fill>
                <patternFill patternType="solid">
                  <fgColor indexed="64"/>
                  <bgColor rgb="FFFFEB9C"/>
                </patternFill>
              </fill>
            </x14:dxf>
          </x14:cfRule>
          <x14:cfRule type="expression" priority="7" id="{D816840C-BD90-4D24-AF07-F446811F9AEA}">
            <xm:f>AND(B17&gt;=Assumptions!$B$9,B17&lt;=Assumptions!$B$8)</xm:f>
            <x14:dxf>
              <font>
                <color rgb="FF006100"/>
              </font>
              <fill>
                <patternFill patternType="solid">
                  <fgColor indexed="64"/>
                  <bgColor rgb="FFC6EFCE"/>
                </patternFill>
              </fill>
            </x14:dxf>
          </x14:cfRule>
          <xm:sqref>B17:B22</xm:sqref>
        </x14:conditionalFormatting>
        <x14:conditionalFormatting xmlns:xm="http://schemas.microsoft.com/office/excel/2006/main">
          <x14:cfRule type="expression" priority="14" id="{078F9353-0287-4103-AA32-95B140245855}">
            <xm:f>C17&gt;=Assumptions!$B$10</xm:f>
            <x14:dxf>
              <font>
                <color rgb="FF9C0006"/>
              </font>
              <fill>
                <patternFill patternType="solid">
                  <fgColor indexed="64"/>
                  <bgColor rgb="FFFFC7CE"/>
                </patternFill>
              </fill>
            </x14:dxf>
          </x14:cfRule>
          <x14:cfRule type="expression" priority="15" id="{6AA2EDF3-9F88-42F1-8AA1-F41B73BC3506}">
            <xm:f>AND(C17&gt;0,C17&lt;Assumptions!$B$10)</xm:f>
            <x14:dxf>
              <font>
                <color rgb="FF9C5700"/>
              </font>
              <fill>
                <patternFill patternType="solid">
                  <fgColor indexed="64"/>
                  <bgColor rgb="FFFFEB9C"/>
                </patternFill>
              </fill>
            </x14:dxf>
          </x14:cfRule>
          <xm:sqref>C17:C22</xm:sqref>
        </x14:conditionalFormatting>
        <x14:conditionalFormatting xmlns:xm="http://schemas.microsoft.com/office/excel/2006/main">
          <x14:cfRule type="expression" priority="4" id="{AF6617D8-6C5D-4CA5-A06B-426BDE0F8DD1}">
            <xm:f>$C26&gt;Assumptions!$B$8</xm:f>
            <x14:dxf>
              <font>
                <color rgb="FF9C0006"/>
              </font>
              <fill>
                <patternFill patternType="solid">
                  <fgColor indexed="64"/>
                  <bgColor rgb="FFFFC7CE"/>
                </patternFill>
              </fill>
            </x14:dxf>
          </x14:cfRule>
          <xm:sqref>C26:C30</xm:sqref>
        </x14:conditionalFormatting>
        <x14:conditionalFormatting xmlns:xm="http://schemas.microsoft.com/office/excel/2006/main">
          <x14:cfRule type="expression" priority="8" id="{7DE987EA-7A36-4DE5-9897-331662BBC216}">
            <xm:f>D17&gt;Assumptions!$B$8</xm:f>
            <x14:dxf>
              <font>
                <color rgb="FF9C0006"/>
              </font>
              <fill>
                <patternFill patternType="solid">
                  <fgColor indexed="64"/>
                  <bgColor rgb="FFFFC7CE"/>
                </patternFill>
              </fill>
            </x14:dxf>
          </x14:cfRule>
          <x14:cfRule type="expression" priority="9" id="{CEB01561-79E3-4054-A983-64304EE23D22}">
            <xm:f>D17&lt;Assumptions!$B$9</xm:f>
            <x14:dxf>
              <font>
                <color rgb="FF9C5700"/>
              </font>
              <fill>
                <patternFill patternType="solid">
                  <fgColor indexed="64"/>
                  <bgColor rgb="FFFFEB9C"/>
                </patternFill>
              </fill>
            </x14:dxf>
          </x14:cfRule>
          <x14:cfRule type="expression" priority="10" id="{8353CDA9-4189-4398-97AD-BB9271BE292C}">
            <xm:f>AND(D17&gt;=Assumptions!$B$9,D17&lt;=Assumptions!$B$8)</xm:f>
            <x14:dxf>
              <font>
                <color rgb="FF006100"/>
              </font>
              <fill>
                <patternFill patternType="solid">
                  <fgColor indexed="64"/>
                  <bgColor rgb="FFC6EFCE"/>
                </patternFill>
              </fill>
            </x14:dxf>
          </x14:cfRule>
          <xm:sqref>D17:D22</xm:sqref>
        </x14:conditionalFormatting>
        <x14:conditionalFormatting xmlns:xm="http://schemas.microsoft.com/office/excel/2006/main">
          <x14:cfRule type="expression" priority="16" id="{2B84F6FA-E8CC-43BF-9AA5-A9B0DD00529A}">
            <xm:f>E17&gt;=Assumptions!$B$10</xm:f>
            <x14:dxf>
              <font>
                <color rgb="FF9C0006"/>
              </font>
              <fill>
                <patternFill patternType="solid">
                  <fgColor indexed="64"/>
                  <bgColor rgb="FFFFC7CE"/>
                </patternFill>
              </fill>
            </x14:dxf>
          </x14:cfRule>
          <x14:cfRule type="expression" priority="17" id="{9433945F-C17E-4378-98AA-7C490B1E4559}">
            <xm:f>AND(E17&gt;0,E17&lt;Assumptions!$B$10)</xm:f>
            <x14:dxf>
              <font>
                <color rgb="FF9C5700"/>
              </font>
              <fill>
                <patternFill patternType="solid">
                  <fgColor indexed="64"/>
                  <bgColor rgb="FFFFEB9C"/>
                </patternFill>
              </fill>
            </x14:dxf>
          </x14:cfRule>
          <xm:sqref>E17:E22</xm:sqref>
        </x14:conditionalFormatting>
        <x14:conditionalFormatting xmlns:xm="http://schemas.microsoft.com/office/excel/2006/main">
          <x14:cfRule type="expression" priority="11" id="{5879EFB2-52F3-49F3-8922-D561A022B76E}">
            <xm:f>F17&gt;Assumptions!$B$8</xm:f>
            <x14:dxf>
              <font>
                <color rgb="FF9C0006"/>
              </font>
              <fill>
                <patternFill patternType="solid">
                  <fgColor indexed="64"/>
                  <bgColor rgb="FFFFC7CE"/>
                </patternFill>
              </fill>
            </x14:dxf>
          </x14:cfRule>
          <x14:cfRule type="expression" priority="12" id="{965AF5D2-5121-4D82-AC58-39D649535ADF}">
            <xm:f>F17&lt;Assumptions!$B$9</xm:f>
            <x14:dxf>
              <font>
                <color rgb="FF9C5700"/>
              </font>
              <fill>
                <patternFill patternType="solid">
                  <fgColor indexed="64"/>
                  <bgColor rgb="FFFFEB9C"/>
                </patternFill>
              </fill>
            </x14:dxf>
          </x14:cfRule>
          <x14:cfRule type="expression" priority="13" id="{65D24317-66E6-4CE0-96E4-346F85138B3D}">
            <xm:f>AND(F17&gt;=Assumptions!$B$9,F17&lt;=Assumptions!$B$8)</xm:f>
            <x14:dxf>
              <font>
                <color rgb="FF006100"/>
              </font>
              <fill>
                <patternFill patternType="solid">
                  <fgColor indexed="64"/>
                  <bgColor rgb="FFC6EFCE"/>
                </patternFill>
              </fill>
            </x14:dxf>
          </x14:cfRule>
          <xm:sqref>F17:F22</xm:sqref>
        </x14:conditionalFormatting>
        <x14:conditionalFormatting xmlns:xm="http://schemas.microsoft.com/office/excel/2006/main">
          <x14:cfRule type="expression" priority="18" id="{4BC5C613-7153-4F90-A7A5-7D3FC2AEBF0C}">
            <xm:f>G17&gt;=Assumptions!$B$10</xm:f>
            <x14:dxf>
              <font>
                <color rgb="FF9C0006"/>
              </font>
              <fill>
                <patternFill patternType="solid">
                  <fgColor indexed="64"/>
                  <bgColor rgb="FFFFC7CE"/>
                </patternFill>
              </fill>
            </x14:dxf>
          </x14:cfRule>
          <x14:cfRule type="expression" priority="19" id="{3F604E7D-C325-4918-8DF7-C93DBDD196FF}">
            <xm:f>AND(G17&gt;0,G17&lt;Assumptions!$B$10)</xm:f>
            <x14:dxf>
              <font>
                <color rgb="FF9C5700"/>
              </font>
              <fill>
                <patternFill patternType="solid">
                  <fgColor indexed="64"/>
                  <bgColor rgb="FFFFEB9C"/>
                </patternFill>
              </fill>
            </x14:dxf>
          </x14:cfRule>
          <xm:sqref>G17:G22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DACD-9B2E-4AEF-A6BA-B0C74E1D43B4}">
  <dimension ref="A1:L33"/>
  <sheetViews>
    <sheetView showGridLines="0" topLeftCell="C1" workbookViewId="0">
      <selection activeCell="J23" sqref="J23"/>
    </sheetView>
  </sheetViews>
  <sheetFormatPr defaultRowHeight="15" x14ac:dyDescent="0.25"/>
  <cols>
    <col min="1" max="1" width="43.85546875" customWidth="1"/>
    <col min="2" max="6" width="22.85546875" customWidth="1"/>
    <col min="8" max="8" width="32.42578125" customWidth="1"/>
    <col min="10" max="10" width="32.42578125" customWidth="1"/>
    <col min="11" max="11" width="22.85546875" customWidth="1"/>
    <col min="12" max="12" width="11.42578125" customWidth="1"/>
  </cols>
  <sheetData>
    <row r="1" spans="1:12" ht="18.75" x14ac:dyDescent="0.3">
      <c r="A1" s="1" t="s">
        <v>0</v>
      </c>
    </row>
    <row r="2" spans="1:12" x14ac:dyDescent="0.25">
      <c r="A2" s="2" t="s">
        <v>1</v>
      </c>
    </row>
    <row r="3" spans="1:12" x14ac:dyDescent="0.25">
      <c r="H3" s="12" t="s">
        <v>111</v>
      </c>
    </row>
    <row r="4" spans="1:12" x14ac:dyDescent="0.25">
      <c r="A4" s="19" t="s">
        <v>2</v>
      </c>
      <c r="B4" s="19"/>
      <c r="C4" s="19"/>
      <c r="D4" s="19"/>
      <c r="E4" s="19"/>
      <c r="F4" s="19"/>
      <c r="H4" s="19" t="s">
        <v>102</v>
      </c>
      <c r="J4" s="19" t="s">
        <v>113</v>
      </c>
      <c r="K4" s="19"/>
    </row>
    <row r="5" spans="1:12" x14ac:dyDescent="0.25">
      <c r="A5" t="s">
        <v>3</v>
      </c>
      <c r="B5" s="7">
        <v>46300</v>
      </c>
      <c r="C5" s="12" t="str">
        <f>IF(WEEKDAY(B5,2)=1,"OK — Monday","⚠ Not a Monday — change the date")</f>
        <v>OK — Monday</v>
      </c>
      <c r="H5" s="24" t="s">
        <v>103</v>
      </c>
      <c r="J5" t="s">
        <v>114</v>
      </c>
      <c r="K5" s="6">
        <v>12</v>
      </c>
    </row>
    <row r="6" spans="1:12" x14ac:dyDescent="0.25">
      <c r="A6" t="s">
        <v>4</v>
      </c>
      <c r="B6" s="8" t="s">
        <v>5</v>
      </c>
      <c r="C6" s="12" t="s">
        <v>6</v>
      </c>
      <c r="H6" s="3" t="s">
        <v>77</v>
      </c>
      <c r="J6" t="s">
        <v>115</v>
      </c>
      <c r="K6" s="6">
        <v>24</v>
      </c>
    </row>
    <row r="7" spans="1:12" x14ac:dyDescent="0.25">
      <c r="A7" t="s">
        <v>7</v>
      </c>
      <c r="B7" s="9">
        <v>1</v>
      </c>
      <c r="C7" s="12" t="s">
        <v>8</v>
      </c>
      <c r="H7" s="3" t="s">
        <v>104</v>
      </c>
      <c r="J7" s="12" t="s">
        <v>116</v>
      </c>
    </row>
    <row r="8" spans="1:12" x14ac:dyDescent="0.25">
      <c r="A8" t="s">
        <v>9</v>
      </c>
      <c r="B8" s="9">
        <v>1</v>
      </c>
      <c r="C8" s="12" t="s">
        <v>10</v>
      </c>
      <c r="H8" s="3" t="s">
        <v>105</v>
      </c>
    </row>
    <row r="9" spans="1:12" x14ac:dyDescent="0.25">
      <c r="A9" t="s">
        <v>11</v>
      </c>
      <c r="B9" s="9">
        <v>0.6</v>
      </c>
      <c r="C9" s="12" t="s">
        <v>12</v>
      </c>
      <c r="H9" s="3" t="s">
        <v>106</v>
      </c>
      <c r="J9" s="19" t="s">
        <v>145</v>
      </c>
      <c r="K9" s="19"/>
      <c r="L9" s="19"/>
    </row>
    <row r="10" spans="1:12" x14ac:dyDescent="0.25">
      <c r="A10" t="s">
        <v>13</v>
      </c>
      <c r="B10" s="10">
        <v>0.5</v>
      </c>
      <c r="C10" s="12" t="s">
        <v>14</v>
      </c>
      <c r="H10" s="3" t="s">
        <v>107</v>
      </c>
      <c r="J10" s="24" t="s">
        <v>146</v>
      </c>
      <c r="K10" s="24" t="s">
        <v>18</v>
      </c>
      <c r="L10" s="24" t="s">
        <v>147</v>
      </c>
    </row>
    <row r="11" spans="1:12" x14ac:dyDescent="0.25">
      <c r="A11" t="s">
        <v>15</v>
      </c>
      <c r="B11" s="11">
        <v>8</v>
      </c>
      <c r="C11" s="12" t="s">
        <v>16</v>
      </c>
      <c r="H11" s="3" t="s">
        <v>108</v>
      </c>
      <c r="J11" s="210" t="s">
        <v>218</v>
      </c>
      <c r="K11" s="3" t="s">
        <v>24</v>
      </c>
      <c r="L11" s="5">
        <v>1</v>
      </c>
    </row>
    <row r="12" spans="1:12" x14ac:dyDescent="0.25">
      <c r="H12" s="3" t="s">
        <v>109</v>
      </c>
      <c r="J12" s="210" t="s">
        <v>219</v>
      </c>
      <c r="K12" s="3" t="s">
        <v>24</v>
      </c>
      <c r="L12" s="5">
        <v>1</v>
      </c>
    </row>
    <row r="13" spans="1:12" x14ac:dyDescent="0.25">
      <c r="A13" s="19" t="s">
        <v>17</v>
      </c>
      <c r="B13" s="19"/>
      <c r="C13" s="19"/>
      <c r="D13" s="19"/>
      <c r="E13" s="19"/>
      <c r="F13" s="19"/>
      <c r="H13" s="3" t="s">
        <v>110</v>
      </c>
      <c r="J13" s="210" t="s">
        <v>220</v>
      </c>
      <c r="K13" s="3" t="s">
        <v>25</v>
      </c>
      <c r="L13" s="5">
        <v>1</v>
      </c>
    </row>
    <row r="14" spans="1:12" ht="32.1" customHeight="1" x14ac:dyDescent="0.25">
      <c r="A14" s="21" t="s">
        <v>18</v>
      </c>
      <c r="B14" s="20" t="s">
        <v>19</v>
      </c>
      <c r="C14" s="20" t="s">
        <v>20</v>
      </c>
      <c r="D14" s="20" t="s">
        <v>21</v>
      </c>
      <c r="E14" s="20" t="s">
        <v>22</v>
      </c>
      <c r="F14" s="20" t="s">
        <v>23</v>
      </c>
      <c r="H14" s="3" t="s">
        <v>112</v>
      </c>
      <c r="J14" s="210" t="s">
        <v>221</v>
      </c>
      <c r="K14" s="3" t="s">
        <v>26</v>
      </c>
      <c r="L14" s="5">
        <v>1</v>
      </c>
    </row>
    <row r="15" spans="1:12" x14ac:dyDescent="0.25">
      <c r="A15" t="s">
        <v>24</v>
      </c>
      <c r="B15" s="14">
        <v>290</v>
      </c>
      <c r="C15" s="122">
        <f>SUMIFS(tblStaff[FTE],tblStaff[Staff Level],$A15)</f>
        <v>2</v>
      </c>
      <c r="D15" s="6">
        <v>40</v>
      </c>
      <c r="E15" s="4">
        <v>0.75</v>
      </c>
      <c r="F15" s="13">
        <f>C15*D15*E15</f>
        <v>60</v>
      </c>
      <c r="H15" s="3" t="s">
        <v>149</v>
      </c>
      <c r="J15" s="210" t="s">
        <v>222</v>
      </c>
      <c r="K15" s="3" t="s">
        <v>172</v>
      </c>
      <c r="L15" s="5">
        <v>1</v>
      </c>
    </row>
    <row r="16" spans="1:12" x14ac:dyDescent="0.25">
      <c r="A16" t="s">
        <v>25</v>
      </c>
      <c r="B16" s="14">
        <v>250</v>
      </c>
      <c r="C16" s="122">
        <f>SUMIFS(tblStaff[FTE],tblStaff[Staff Level],$A16)</f>
        <v>1</v>
      </c>
      <c r="D16" s="6">
        <v>40</v>
      </c>
      <c r="E16" s="4">
        <v>0.8</v>
      </c>
      <c r="F16" s="13">
        <f>C16*D16*E16</f>
        <v>32</v>
      </c>
      <c r="H16" s="3" t="s">
        <v>150</v>
      </c>
      <c r="J16" s="210" t="s">
        <v>223</v>
      </c>
      <c r="K16" s="3" t="s">
        <v>172</v>
      </c>
      <c r="L16" s="5">
        <v>1</v>
      </c>
    </row>
    <row r="17" spans="1:12" x14ac:dyDescent="0.25">
      <c r="A17" t="s">
        <v>26</v>
      </c>
      <c r="B17" s="14">
        <v>200</v>
      </c>
      <c r="C17" s="122">
        <f>SUMIFS(tblStaff[FTE],tblStaff[Staff Level],$A17)</f>
        <v>1</v>
      </c>
      <c r="D17" s="6">
        <v>40</v>
      </c>
      <c r="E17" s="4">
        <v>0.9</v>
      </c>
      <c r="F17" s="13">
        <f>C17*D17*E17</f>
        <v>36</v>
      </c>
      <c r="H17" s="3" t="s">
        <v>151</v>
      </c>
      <c r="J17" s="3" t="s">
        <v>171</v>
      </c>
      <c r="K17" s="3" t="s">
        <v>27</v>
      </c>
      <c r="L17" s="5">
        <v>1</v>
      </c>
    </row>
    <row r="18" spans="1:12" x14ac:dyDescent="0.25">
      <c r="A18" t="s">
        <v>172</v>
      </c>
      <c r="B18" s="14">
        <v>175</v>
      </c>
      <c r="C18" s="122">
        <f>SUMIFS(tblStaff[FTE],tblStaff[Staff Level],$A18)</f>
        <v>2</v>
      </c>
      <c r="D18" s="6">
        <v>40</v>
      </c>
      <c r="E18" s="4">
        <v>0.9</v>
      </c>
      <c r="F18" s="13">
        <f>C18*D18*E18</f>
        <v>72</v>
      </c>
      <c r="H18" s="3" t="s">
        <v>152</v>
      </c>
      <c r="K18" s="3"/>
      <c r="L18" s="5"/>
    </row>
    <row r="19" spans="1:12" x14ac:dyDescent="0.25">
      <c r="A19" t="s">
        <v>27</v>
      </c>
      <c r="B19" s="14">
        <v>135</v>
      </c>
      <c r="C19" s="122">
        <f>SUMIFS(tblStaff[FTE],tblStaff[Staff Level],$A19)</f>
        <v>1</v>
      </c>
      <c r="D19" s="6">
        <v>40</v>
      </c>
      <c r="E19" s="4">
        <v>0.9</v>
      </c>
      <c r="F19" s="13">
        <f>C19*D19*E19</f>
        <v>36</v>
      </c>
      <c r="H19" s="3" t="s">
        <v>153</v>
      </c>
      <c r="J19" s="12" t="s">
        <v>148</v>
      </c>
    </row>
    <row r="20" spans="1:12" x14ac:dyDescent="0.25">
      <c r="A20" s="16" t="s">
        <v>28</v>
      </c>
      <c r="B20" s="16"/>
      <c r="C20" s="17">
        <f>SUM(C15:C19)</f>
        <v>7</v>
      </c>
      <c r="D20" s="16"/>
      <c r="E20" s="16"/>
      <c r="F20" s="18">
        <f>SUM(F15:F19)</f>
        <v>236</v>
      </c>
      <c r="H20" s="3" t="s">
        <v>154</v>
      </c>
    </row>
    <row r="21" spans="1:12" x14ac:dyDescent="0.25">
      <c r="A21" s="12" t="s">
        <v>29</v>
      </c>
    </row>
    <row r="23" spans="1:12" x14ac:dyDescent="0.25">
      <c r="A23" s="19" t="s">
        <v>30</v>
      </c>
      <c r="B23" s="19"/>
      <c r="C23" s="19"/>
      <c r="D23" s="19"/>
      <c r="E23" s="19"/>
      <c r="F23" s="19"/>
    </row>
    <row r="24" spans="1:12" x14ac:dyDescent="0.25">
      <c r="A24" s="15" t="s">
        <v>31</v>
      </c>
      <c r="B24" s="15" t="s">
        <v>32</v>
      </c>
    </row>
    <row r="25" spans="1:12" x14ac:dyDescent="0.25">
      <c r="A25" t="s">
        <v>33</v>
      </c>
      <c r="B25" t="s">
        <v>34</v>
      </c>
    </row>
    <row r="26" spans="1:12" x14ac:dyDescent="0.25">
      <c r="A26" t="s">
        <v>35</v>
      </c>
      <c r="B26" t="s">
        <v>5</v>
      </c>
    </row>
    <row r="27" spans="1:12" x14ac:dyDescent="0.25">
      <c r="A27" s="38" t="s">
        <v>173</v>
      </c>
    </row>
    <row r="28" spans="1:12" x14ac:dyDescent="0.25">
      <c r="A28" s="19" t="s">
        <v>98</v>
      </c>
      <c r="B28" s="19"/>
      <c r="C28" s="19"/>
      <c r="D28" s="19"/>
      <c r="E28" s="19"/>
      <c r="F28" s="19"/>
    </row>
    <row r="29" spans="1:12" x14ac:dyDescent="0.25">
      <c r="A29" s="31" t="s">
        <v>134</v>
      </c>
    </row>
    <row r="30" spans="1:12" x14ac:dyDescent="0.25">
      <c r="A30" s="31" t="s">
        <v>135</v>
      </c>
    </row>
    <row r="31" spans="1:12" x14ac:dyDescent="0.25">
      <c r="A31" s="31" t="s">
        <v>99</v>
      </c>
    </row>
    <row r="32" spans="1:12" x14ac:dyDescent="0.25">
      <c r="A32" s="31" t="s">
        <v>100</v>
      </c>
    </row>
    <row r="33" spans="1:1" x14ac:dyDescent="0.25">
      <c r="A33" s="31" t="s">
        <v>136</v>
      </c>
    </row>
  </sheetData>
  <dataValidations count="5">
    <dataValidation type="list" allowBlank="1" showInputMessage="1" showErrorMessage="1" sqref="B6" xr:uid="{0CA4E188-E6D0-4EAF-8019-C7138738FEE6}">
      <formula1>$B$25:$B$26</formula1>
    </dataValidation>
    <dataValidation type="decimal" allowBlank="1" showInputMessage="1" showErrorMessage="1" sqref="B7:B9" xr:uid="{A8F1607E-C0B6-487C-95AB-6D04E84EC26A}">
      <formula1>0</formula1>
      <formula2>5</formula2>
    </dataValidation>
    <dataValidation type="decimal" allowBlank="1" showInputMessage="1" showErrorMessage="1" sqref="L11:L201 E15:E19" xr:uid="{F65B85EB-7DA2-4181-929C-6163D24F4463}">
      <formula1>0</formula1>
      <formula2>1</formula2>
    </dataValidation>
    <dataValidation type="whole" allowBlank="1" showInputMessage="1" showErrorMessage="1" sqref="K5:K6" xr:uid="{E7546573-9E6E-4259-A389-3CD22842628C}">
      <formula1>1</formula1>
      <formula2>52</formula2>
    </dataValidation>
    <dataValidation type="list" allowBlank="1" showInputMessage="1" showErrorMessage="1" sqref="K11:K201" xr:uid="{583FA50C-BF9E-4DE6-8A9A-EAC2690218DE}">
      <formula1>$A$15:$A$19</formula1>
    </dataValidation>
  </dataValidation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57770-44A7-45B3-9D48-715736190D90}">
  <dimension ref="A1:AE248"/>
  <sheetViews>
    <sheetView showGridLines="0" zoomScale="80" zoomScaleNormal="80" workbookViewId="0">
      <pane xSplit="8" ySplit="4" topLeftCell="I157" activePane="bottomRight" state="frozen"/>
      <selection pane="topRight" activeCell="I1" sqref="I1"/>
      <selection pane="bottomLeft" activeCell="A5" sqref="A5"/>
      <selection pane="bottomRight" activeCell="I167" sqref="I167"/>
    </sheetView>
  </sheetViews>
  <sheetFormatPr defaultRowHeight="15" outlineLevelRow="2" outlineLevelCol="2" x14ac:dyDescent="0.25"/>
  <cols>
    <col min="1" max="1" width="13.28515625" customWidth="1"/>
    <col min="2" max="2" width="39.5703125" bestFit="1" customWidth="1"/>
    <col min="3" max="3" width="21.85546875" bestFit="1" customWidth="1"/>
    <col min="4" max="4" width="6.7109375" bestFit="1" customWidth="1"/>
    <col min="5" max="5" width="10" bestFit="1" customWidth="1"/>
    <col min="6" max="6" width="9.140625" bestFit="1" customWidth="1"/>
    <col min="7" max="7" width="9.7109375" customWidth="1"/>
    <col min="8" max="8" width="18.5703125" customWidth="1"/>
    <col min="9" max="15" width="9.85546875" customWidth="1"/>
    <col min="16" max="16" width="12.5703125" hidden="1" customWidth="1" outlineLevel="1"/>
    <col min="17" max="17" width="13.7109375" hidden="1" customWidth="1" outlineLevel="1"/>
    <col min="18" max="18" width="11.85546875" hidden="1" customWidth="1" outlineLevel="1"/>
    <col min="19" max="21" width="14.140625" hidden="1" customWidth="1" outlineLevel="1"/>
    <col min="22" max="22" width="14.140625" hidden="1" customWidth="1" outlineLevel="2"/>
    <col min="23" max="23" width="14.140625" hidden="1" customWidth="1" outlineLevel="1"/>
    <col min="24" max="24" width="17.5703125" customWidth="1" collapsed="1"/>
    <col min="25" max="25" width="17.5703125" customWidth="1"/>
    <col min="26" max="26" width="12.5703125" customWidth="1"/>
    <col min="27" max="27" width="12.140625" hidden="1" customWidth="1" outlineLevel="1"/>
    <col min="28" max="28" width="32.42578125" customWidth="1" collapsed="1"/>
    <col min="29" max="29" width="11.85546875" hidden="1" customWidth="1" outlineLevel="1"/>
    <col min="30" max="30" width="11.42578125" hidden="1" customWidth="1" outlineLevel="1" collapsed="1"/>
    <col min="31" max="31" width="12.140625" customWidth="1" collapsed="1"/>
    <col min="32" max="232" width="12.140625" customWidth="1"/>
  </cols>
  <sheetData>
    <row r="1" spans="1:30" ht="18.75" x14ac:dyDescent="0.3">
      <c r="A1" s="1" t="s">
        <v>131</v>
      </c>
      <c r="G1" s="130" t="s">
        <v>174</v>
      </c>
      <c r="H1" s="131">
        <f>SUMIFS(pjFee,pjType,"&lt;&gt;Project",pjStatus,"&lt;&gt;Inactive")</f>
        <v>2591500</v>
      </c>
      <c r="I1" s="154" t="s">
        <v>164</v>
      </c>
    </row>
    <row r="2" spans="1:30" x14ac:dyDescent="0.25">
      <c r="A2" s="2" t="s">
        <v>166</v>
      </c>
    </row>
    <row r="3" spans="1:30" ht="26.1" customHeight="1" x14ac:dyDescent="0.25">
      <c r="A3" s="22" t="s">
        <v>132</v>
      </c>
      <c r="B3" s="22"/>
      <c r="C3" s="22"/>
      <c r="D3" s="22"/>
      <c r="E3" s="22"/>
      <c r="F3" s="22"/>
      <c r="G3" s="133"/>
      <c r="H3" s="22"/>
      <c r="I3" s="129" t="str">
        <f>IFERROR(INDEX(tblStaff[Staff Level],1),"")</f>
        <v>Principal</v>
      </c>
      <c r="J3" s="129" t="str">
        <f>IFERROR(INDEX(tblStaff[Staff Level],2),"")</f>
        <v>Principal</v>
      </c>
      <c r="K3" s="129" t="str">
        <f>IFERROR(INDEX(tblStaff[Staff Level],3),"")</f>
        <v>Director</v>
      </c>
      <c r="L3" s="129" t="str">
        <f>IFERROR(INDEX(tblStaff[Staff Level],4),"")</f>
        <v>Senior Designer</v>
      </c>
      <c r="M3" s="129" t="str">
        <f>IFERROR(INDEX(tblStaff[Staff Level],5),"")</f>
        <v>Mid Level Designer</v>
      </c>
      <c r="N3" s="129" t="str">
        <f>IFERROR(INDEX(tblStaff[Staff Level],6),"")</f>
        <v>Mid Level Designer</v>
      </c>
      <c r="O3" s="129" t="str">
        <f>IFERROR(INDEX(tblStaff[Staff Level],7),"")</f>
        <v>Project Designer</v>
      </c>
      <c r="P3" s="123" t="s">
        <v>161</v>
      </c>
      <c r="Q3" s="123"/>
      <c r="R3" s="123"/>
      <c r="S3" s="123"/>
      <c r="T3" s="123"/>
      <c r="U3" s="123"/>
      <c r="V3" s="123"/>
      <c r="W3" s="123"/>
      <c r="X3" s="123"/>
      <c r="Y3" s="123"/>
      <c r="Z3" s="123"/>
      <c r="AA3" s="123"/>
      <c r="AB3" s="123"/>
      <c r="AC3" s="123"/>
      <c r="AD3" s="23"/>
    </row>
    <row r="4" spans="1:30" ht="44.1" customHeight="1" x14ac:dyDescent="0.25">
      <c r="A4" s="53" t="s">
        <v>36</v>
      </c>
      <c r="B4" s="53" t="s">
        <v>37</v>
      </c>
      <c r="C4" s="53" t="s">
        <v>38</v>
      </c>
      <c r="D4" s="53" t="s">
        <v>39</v>
      </c>
      <c r="E4" s="53" t="s">
        <v>40</v>
      </c>
      <c r="F4" s="53" t="s">
        <v>41</v>
      </c>
      <c r="G4" s="132" t="s">
        <v>43</v>
      </c>
      <c r="H4" s="124" t="s">
        <v>42</v>
      </c>
      <c r="I4" s="49" t="str">
        <f>IFERROR(INDEX(tblStaff[Initials],1),"")</f>
        <v>PK</v>
      </c>
      <c r="J4" s="49" t="str">
        <f>IFERROR(INDEX(tblStaff[Initials],2),"")</f>
        <v>DF</v>
      </c>
      <c r="K4" s="49" t="str">
        <f>IFERROR(INDEX(tblStaff[Initials],3),"")</f>
        <v>KJ</v>
      </c>
      <c r="L4" s="49" t="str">
        <f>IFERROR(INDEX(tblStaff[Initials],4),"")</f>
        <v>HL</v>
      </c>
      <c r="M4" s="49" t="str">
        <f>IFERROR(INDEX(tblStaff[Initials],5),"")</f>
        <v>EHH</v>
      </c>
      <c r="N4" s="49" t="str">
        <f>IFERROR(INDEX(tblStaff[Initials],6),"")</f>
        <v>KD</v>
      </c>
      <c r="O4" s="49" t="str">
        <f>IFERROR(INDEX(tblStaff[Initials],7),"")</f>
        <v>XX</v>
      </c>
      <c r="P4" s="50" t="s">
        <v>165</v>
      </c>
      <c r="Q4" s="50" t="s">
        <v>162</v>
      </c>
      <c r="R4" s="50" t="s">
        <v>163</v>
      </c>
      <c r="S4" s="50" t="str">
        <f>Assumptions!A15&amp;" Pool Hrs"</f>
        <v>Principal Pool Hrs</v>
      </c>
      <c r="T4" s="50" t="str">
        <f>Assumptions!A16&amp;" Pool Hrs"</f>
        <v>Director Pool Hrs</v>
      </c>
      <c r="U4" s="50" t="str">
        <f>Assumptions!A17&amp;" Pool Hrs"</f>
        <v>Senior Designer Pool Hrs</v>
      </c>
      <c r="V4" s="50" t="str">
        <f>Assumptions!A18&amp;" Pool Hrs"</f>
        <v>Mid Level Designer Pool Hrs</v>
      </c>
      <c r="W4" s="50" t="str">
        <f>Assumptions!A19&amp;" Pool Hrs"</f>
        <v>Project Designer Pool Hrs</v>
      </c>
      <c r="X4" s="50" t="s">
        <v>139</v>
      </c>
      <c r="Y4" s="50" t="s">
        <v>140</v>
      </c>
      <c r="Z4" s="50" t="s">
        <v>144</v>
      </c>
      <c r="AA4" s="50" t="s">
        <v>44</v>
      </c>
      <c r="AB4" s="50" t="s">
        <v>45</v>
      </c>
      <c r="AC4" s="50" t="s">
        <v>133</v>
      </c>
      <c r="AD4" s="155" t="s">
        <v>167</v>
      </c>
    </row>
    <row r="5" spans="1:30" x14ac:dyDescent="0.25">
      <c r="A5" s="59">
        <v>2256</v>
      </c>
      <c r="B5" s="207" t="s">
        <v>190</v>
      </c>
      <c r="C5" s="61" t="s">
        <v>129</v>
      </c>
      <c r="D5" s="62" t="s">
        <v>33</v>
      </c>
      <c r="E5" s="63">
        <f>IF(COUNT(E6:E6)=0,"",MIN(E6:E6))</f>
        <v>46478</v>
      </c>
      <c r="F5" s="63">
        <f>IF(COUNT(F6:F6)=0,"",MAX(F6:F6))</f>
        <v>46665</v>
      </c>
      <c r="G5" s="134"/>
      <c r="H5" s="125">
        <f>SUM(H6:H6)</f>
        <v>43500</v>
      </c>
      <c r="I5" s="141"/>
      <c r="J5" s="141"/>
      <c r="K5" s="141"/>
      <c r="L5" s="141"/>
      <c r="M5" s="141"/>
      <c r="N5" s="141"/>
      <c r="O5" s="141"/>
      <c r="P5" s="141">
        <f>SUM(P6:P6)</f>
        <v>81</v>
      </c>
      <c r="Q5" s="141">
        <f>SUM(Q6:Q6)</f>
        <v>80</v>
      </c>
      <c r="R5" s="141">
        <f t="shared" ref="R5:R68" si="0">P5-Q5</f>
        <v>1</v>
      </c>
      <c r="S5" s="141">
        <f t="shared" ref="S5:X5" si="1">SUM(S6:S6)</f>
        <v>27</v>
      </c>
      <c r="T5" s="141">
        <f t="shared" si="1"/>
        <v>54</v>
      </c>
      <c r="U5" s="141">
        <f t="shared" si="1"/>
        <v>0</v>
      </c>
      <c r="V5" s="141">
        <f t="shared" si="1"/>
        <v>0</v>
      </c>
      <c r="W5" s="141">
        <f t="shared" si="1"/>
        <v>0</v>
      </c>
      <c r="X5" s="142">
        <f t="shared" si="1"/>
        <v>21330</v>
      </c>
      <c r="Y5" s="142">
        <f>H5-X5</f>
        <v>22170</v>
      </c>
      <c r="Z5" s="143">
        <f>IF(H5=0,"",X5/H5)</f>
        <v>0.4903448275862069</v>
      </c>
      <c r="AA5" s="143"/>
      <c r="AB5" s="40" t="str">
        <f>IF(COUNTIF(AB6:AB6,"?*")=0,"No phases yet",IF(COUNTIF(AB6:AB6,"OK")=COUNTIF(AB6:AB6,"?*"),"All OK",(COUNTIF(AB6:AB6,"?*")-COUNTIF(AB6:AB6,"OK"))&amp;" to fix"))</f>
        <v>1 to fix</v>
      </c>
      <c r="AC5" s="52" t="s">
        <v>130</v>
      </c>
      <c r="AD5" s="156">
        <f t="shared" ref="AD5:AD68" si="2">IF(AC5="Phase",N(G5),0)</f>
        <v>0</v>
      </c>
    </row>
    <row r="6" spans="1:30" outlineLevel="2" x14ac:dyDescent="0.25">
      <c r="A6" s="54">
        <f>IF(A5="","",A5)</f>
        <v>2256</v>
      </c>
      <c r="B6" s="55" t="str">
        <f>IF(B5="","",B5)</f>
        <v>Marigold Promenade</v>
      </c>
      <c r="C6" s="56" t="s">
        <v>110</v>
      </c>
      <c r="D6" s="57" t="str">
        <f>IF(COUNTA(C6,E6,H6,I6:O6)=0,"",IF(D5="","",D5))</f>
        <v>Active</v>
      </c>
      <c r="E6" s="58">
        <v>46478</v>
      </c>
      <c r="F6" s="58">
        <v>46665</v>
      </c>
      <c r="G6" s="135">
        <f>IF(OR(E6="",F6=""),"",IF(F6&lt;E6,"",ROUNDUP((F6-E6+1)/7,0)))</f>
        <v>27</v>
      </c>
      <c r="H6" s="126">
        <v>43500</v>
      </c>
      <c r="I6" s="148">
        <v>1</v>
      </c>
      <c r="J6" s="148"/>
      <c r="K6" s="148">
        <v>2</v>
      </c>
      <c r="L6" s="148"/>
      <c r="M6" s="148"/>
      <c r="N6" s="148"/>
      <c r="O6" s="148"/>
      <c r="P6" s="144">
        <f>SUM(I6:O6)*N(G6)</f>
        <v>81</v>
      </c>
      <c r="Q6" s="144" cm="1">
        <f t="array" ref="Q6">IF(OR(A6="",E6="",F6=""),0,SUMPRODUCT((tlNo=A6)*(Timeline!$H$18:$BG$18+6&gt;=E6)*(Timeline!$H$18:$BG$18&lt;=F6)*Timeline!$H$20:$BG$378))</f>
        <v>80</v>
      </c>
      <c r="R6" s="144">
        <f t="shared" si="0"/>
        <v>1</v>
      </c>
      <c r="S6" s="144">
        <f>SUMIF($I$3:$O$3,Assumptions!$A$15,$I6:$O6)*N($G6)</f>
        <v>27</v>
      </c>
      <c r="T6" s="144">
        <f>SUMIF($I$3:$O$3,Assumptions!$A$16,$I6:$O6)*N($G6)</f>
        <v>54</v>
      </c>
      <c r="U6" s="144">
        <f>SUMIF($I$3:$O$3,Assumptions!$A$17,$I6:$O6)*N($G6)</f>
        <v>0</v>
      </c>
      <c r="V6" s="144">
        <f>SUMIF($I$3:$O$3,Assumptions!$A$18,$I6:$O6)*N($G6)</f>
        <v>0</v>
      </c>
      <c r="W6" s="144">
        <f>SUMIF($I$3:$O$3,Assumptions!$A$19,$I6:$O6)*N($G6)</f>
        <v>0</v>
      </c>
      <c r="X6" s="145">
        <f>S6*Assumptions!$B$15+T6*Assumptions!$B$16+U6*Assumptions!$B$17+V6*Assumptions!$B$18+W6*Assumptions!$B$19</f>
        <v>21330</v>
      </c>
      <c r="Y6" s="145">
        <f>IF(D6="","",H6-X6)</f>
        <v>22170</v>
      </c>
      <c r="Z6" s="146">
        <f>IF(OR(D6="",H6=0),"",X6/H6)</f>
        <v>0.4903448275862069</v>
      </c>
      <c r="AA6" s="146">
        <f>IF(D6="Active",1,IF(D6="Prospective",IF(Assumptions!$B$6="Active only",0,Assumptions!$B$7),0))</f>
        <v>1</v>
      </c>
      <c r="AB6" s="147" t="str">
        <f>IF(COUNTA(C6,E6,H6,I6:O6)=0,"",IF(C6="","Select phase",IF(OR(E6="",F6=""),"Enter dates",IF(F6&lt;E6,"End before start",IF(H6="","Enter phase fee",IF(P6=0,"Enter staff hours",IF(R6&lt;0,"Over-mapped on Timeline",IF(R6&gt;0,"Map hours on Timeline","OK"))))))))</f>
        <v>Map hours on Timeline</v>
      </c>
      <c r="AC6" s="152" t="s">
        <v>103</v>
      </c>
      <c r="AD6" s="156">
        <f t="shared" si="2"/>
        <v>27</v>
      </c>
    </row>
    <row r="7" spans="1:30" x14ac:dyDescent="0.25">
      <c r="A7" s="59">
        <v>2348</v>
      </c>
      <c r="B7" s="207" t="s">
        <v>191</v>
      </c>
      <c r="C7" s="61" t="s">
        <v>129</v>
      </c>
      <c r="D7" s="62" t="s">
        <v>173</v>
      </c>
      <c r="E7" s="63" t="str">
        <f>IF(COUNT(E8:E15)=0,"",MIN(E8:E15))</f>
        <v/>
      </c>
      <c r="F7" s="63" t="str">
        <f>IF(COUNT(F8:F15)=0,"",MAX(F8:F15))</f>
        <v/>
      </c>
      <c r="G7" s="134"/>
      <c r="H7" s="125">
        <f>SUM(H8:H15)</f>
        <v>0</v>
      </c>
      <c r="I7" s="141"/>
      <c r="J7" s="141"/>
      <c r="K7" s="141"/>
      <c r="L7" s="141"/>
      <c r="M7" s="141"/>
      <c r="N7" s="141"/>
      <c r="O7" s="141"/>
      <c r="P7" s="141">
        <f>SUM(P8:P15)</f>
        <v>0</v>
      </c>
      <c r="Q7" s="141">
        <f>SUM(Q8:Q15)</f>
        <v>0</v>
      </c>
      <c r="R7" s="141">
        <f t="shared" si="0"/>
        <v>0</v>
      </c>
      <c r="S7" s="141">
        <f t="shared" ref="S7:X7" si="3">SUM(S8:S15)</f>
        <v>0</v>
      </c>
      <c r="T7" s="141">
        <f t="shared" si="3"/>
        <v>0</v>
      </c>
      <c r="U7" s="141">
        <f t="shared" si="3"/>
        <v>0</v>
      </c>
      <c r="V7" s="141">
        <f t="shared" si="3"/>
        <v>0</v>
      </c>
      <c r="W7" s="141">
        <f t="shared" si="3"/>
        <v>0</v>
      </c>
      <c r="X7" s="142">
        <f t="shared" si="3"/>
        <v>0</v>
      </c>
      <c r="Y7" s="142">
        <f>H7-X7</f>
        <v>0</v>
      </c>
      <c r="Z7" s="143" t="str">
        <f>IF(H7=0,"",X7/H7)</f>
        <v/>
      </c>
      <c r="AA7" s="143"/>
      <c r="AB7" s="40" t="str">
        <f>IF(COUNTIF(AB8:AB15,"?*")=0,"No phases yet",IF(COUNTIF(AB8:AB15,"OK")=COUNTIF(AB8:AB15,"?*"),"All OK",(COUNTIF(AB8:AB15,"?*")-COUNTIF(AB8:AB15,"OK"))&amp;" to fix"))</f>
        <v>No phases yet</v>
      </c>
      <c r="AC7" s="52" t="s">
        <v>130</v>
      </c>
      <c r="AD7" s="156">
        <f t="shared" si="2"/>
        <v>0</v>
      </c>
    </row>
    <row r="8" spans="1:30" hidden="1" outlineLevel="1" x14ac:dyDescent="0.25">
      <c r="A8" s="54">
        <f>IF(A7="","",A7)</f>
        <v>2348</v>
      </c>
      <c r="B8" s="55" t="str">
        <f>IF(B7="","",B7)</f>
        <v>Fairhaven Senior Housing</v>
      </c>
      <c r="C8" s="56"/>
      <c r="D8" s="57" t="str">
        <f>IF(COUNTA(C8,E8,H8,I8:O8)=0,"",IF(D7="","",D7))</f>
        <v/>
      </c>
      <c r="E8" s="58"/>
      <c r="F8" s="138" t="str">
        <f t="shared" ref="F8:F15" si="4">IF(_xlfn.ISFORMULA(G8),"",IF(AND(E8&lt;&gt;"",N(G8)&gt;0),E8+7*G8-1,""))</f>
        <v/>
      </c>
      <c r="G8" s="135" t="str">
        <f t="shared" ref="G8:G15" si="5">IF(OR(E8="",F8=""),"",IF(F8&lt;E8,"",ROUNDUP((F8-E8+1)/7,0)))</f>
        <v/>
      </c>
      <c r="H8" s="126"/>
      <c r="I8" s="148"/>
      <c r="J8" s="148"/>
      <c r="K8" s="148"/>
      <c r="L8" s="148"/>
      <c r="M8" s="148"/>
      <c r="N8" s="148"/>
      <c r="O8" s="148"/>
      <c r="P8" s="144">
        <f t="shared" ref="P8:P15" si="6">SUM(I8:O8)*N(G8)</f>
        <v>0</v>
      </c>
      <c r="Q8" s="144" cm="1">
        <f t="array" ref="Q8">IF(OR(A8="",E8="",F8=""),0,SUMPRODUCT((tlNo=A8)*(Timeline!$H$18:$BG$18+6&gt;=E8)*(Timeline!$H$18:$BG$18&lt;=F8)*Timeline!$H$20:$BG$378))</f>
        <v>0</v>
      </c>
      <c r="R8" s="144">
        <f t="shared" si="0"/>
        <v>0</v>
      </c>
      <c r="S8" s="144">
        <f>SUMIF($I$3:$O$3,Assumptions!$A$15,$I8:$O8)*N($G8)</f>
        <v>0</v>
      </c>
      <c r="T8" s="144">
        <f>SUMIF($I$3:$O$3,Assumptions!$A$16,$I8:$O8)*N($G8)</f>
        <v>0</v>
      </c>
      <c r="U8" s="144">
        <f>SUMIF($I$3:$O$3,Assumptions!$A$17,$I8:$O8)*N($G8)</f>
        <v>0</v>
      </c>
      <c r="V8" s="144">
        <f>SUMIF($I$3:$O$3,Assumptions!$A$18,$I8:$O8)*N($G8)</f>
        <v>0</v>
      </c>
      <c r="W8" s="144">
        <f>SUMIF($I$3:$O$3,Assumptions!$A$19,$I8:$O8)*N($G8)</f>
        <v>0</v>
      </c>
      <c r="X8" s="145">
        <f>S8*Assumptions!$B$15+T8*Assumptions!$B$16+U8*Assumptions!$B$17+V8*Assumptions!$B$18+W8*Assumptions!$B$19</f>
        <v>0</v>
      </c>
      <c r="Y8" s="145" t="str">
        <f t="shared" ref="Y8:Y15" si="7">IF(D8="","",H8-X8)</f>
        <v/>
      </c>
      <c r="Z8" s="146" t="str">
        <f t="shared" ref="Z8:Z15" si="8">IF(OR(D8="",H8=0),"",X8/H8)</f>
        <v/>
      </c>
      <c r="AA8" s="146">
        <f>IF(D8="Active",1,IF(D8="Prospective",IF(Assumptions!$B$6="Active only",0,Assumptions!$B$7),0))</f>
        <v>0</v>
      </c>
      <c r="AB8" s="147" t="str">
        <f t="shared" ref="AB8:AB15" si="9">IF(COUNTA(C8,E8,H8,I8:O8)=0,"",IF(C8="","Select phase",IF(OR(E8="",F8=""),"Enter dates",IF(F8&lt;E8,"End before start",IF(H8="","Enter phase fee",IF(P8=0,"Enter staff hours",IF(R8&lt;0,"Over-mapped on Timeline",IF(R8&gt;0,"Map hours on Timeline","OK"))))))))</f>
        <v/>
      </c>
      <c r="AC8" s="152" t="s">
        <v>103</v>
      </c>
      <c r="AD8" s="156">
        <f t="shared" si="2"/>
        <v>0</v>
      </c>
    </row>
    <row r="9" spans="1:30" hidden="1" outlineLevel="1" x14ac:dyDescent="0.25">
      <c r="A9" s="51">
        <f>IF(A7="","",A7)</f>
        <v>2348</v>
      </c>
      <c r="B9" s="41" t="str">
        <f>IF(B7="","",B7)</f>
        <v>Fairhaven Senior Housing</v>
      </c>
      <c r="C9" s="42"/>
      <c r="D9" s="43" t="str">
        <f>IF(COUNTA(C9,E9,H9,I9:O9)=0,"",IF(D7="","",D7))</f>
        <v/>
      </c>
      <c r="E9" s="44"/>
      <c r="F9" s="139" t="str">
        <f t="shared" si="4"/>
        <v/>
      </c>
      <c r="G9" s="136" t="str">
        <f t="shared" si="5"/>
        <v/>
      </c>
      <c r="H9" s="127"/>
      <c r="I9" s="148"/>
      <c r="J9" s="148"/>
      <c r="K9" s="148"/>
      <c r="L9" s="148"/>
      <c r="M9" s="148"/>
      <c r="N9" s="148"/>
      <c r="O9" s="148"/>
      <c r="P9" s="144">
        <f t="shared" si="6"/>
        <v>0</v>
      </c>
      <c r="Q9" s="144" cm="1">
        <f t="array" ref="Q9">IF(OR(A9="",E9="",F9=""),0,SUMPRODUCT((tlNo=A9)*(Timeline!$H$18:$BG$18+6&gt;=E9)*(Timeline!$H$18:$BG$18&lt;=F9)*Timeline!$H$20:$BG$378))</f>
        <v>0</v>
      </c>
      <c r="R9" s="144">
        <f t="shared" si="0"/>
        <v>0</v>
      </c>
      <c r="S9" s="144">
        <f>SUMIF($I$3:$O$3,Assumptions!$A$15,$I9:$O9)*N($G9)</f>
        <v>0</v>
      </c>
      <c r="T9" s="144">
        <f>SUMIF($I$3:$O$3,Assumptions!$A$16,$I9:$O9)*N($G9)</f>
        <v>0</v>
      </c>
      <c r="U9" s="144">
        <f>SUMIF($I$3:$O$3,Assumptions!$A$17,$I9:$O9)*N($G9)</f>
        <v>0</v>
      </c>
      <c r="V9" s="144">
        <f>SUMIF($I$3:$O$3,Assumptions!$A$18,$I9:$O9)*N($G9)</f>
        <v>0</v>
      </c>
      <c r="W9" s="144">
        <f>SUMIF($I$3:$O$3,Assumptions!$A$19,$I9:$O9)*N($G9)</f>
        <v>0</v>
      </c>
      <c r="X9" s="145">
        <f>S9*Assumptions!$B$15+T9*Assumptions!$B$16+U9*Assumptions!$B$17+V9*Assumptions!$B$18+W9*Assumptions!$B$19</f>
        <v>0</v>
      </c>
      <c r="Y9" s="145" t="str">
        <f t="shared" si="7"/>
        <v/>
      </c>
      <c r="Z9" s="146" t="str">
        <f t="shared" si="8"/>
        <v/>
      </c>
      <c r="AA9" s="146">
        <f>IF(D9="Active",1,IF(D9="Prospective",IF(Assumptions!$B$6="Active only",0,Assumptions!$B$7),0))</f>
        <v>0</v>
      </c>
      <c r="AB9" s="147" t="str">
        <f t="shared" si="9"/>
        <v/>
      </c>
      <c r="AC9" s="152" t="s">
        <v>103</v>
      </c>
      <c r="AD9" s="156">
        <f t="shared" si="2"/>
        <v>0</v>
      </c>
    </row>
    <row r="10" spans="1:30" hidden="1" outlineLevel="1" x14ac:dyDescent="0.25">
      <c r="A10" s="51">
        <f>IF(A7="","",A7)</f>
        <v>2348</v>
      </c>
      <c r="B10" s="41" t="str">
        <f>IF(B7="","",B7)</f>
        <v>Fairhaven Senior Housing</v>
      </c>
      <c r="C10" s="42"/>
      <c r="D10" s="43" t="str">
        <f>IF(COUNTA(C10,E10,H10,I10:O10)=0,"",IF(D7="","",D7))</f>
        <v/>
      </c>
      <c r="E10" s="44"/>
      <c r="F10" s="139" t="str">
        <f t="shared" si="4"/>
        <v/>
      </c>
      <c r="G10" s="136" t="str">
        <f t="shared" si="5"/>
        <v/>
      </c>
      <c r="H10" s="127"/>
      <c r="I10" s="148"/>
      <c r="J10" s="148"/>
      <c r="K10" s="148"/>
      <c r="L10" s="148"/>
      <c r="M10" s="148"/>
      <c r="N10" s="148"/>
      <c r="O10" s="148"/>
      <c r="P10" s="144">
        <f t="shared" si="6"/>
        <v>0</v>
      </c>
      <c r="Q10" s="144" cm="1">
        <f t="array" ref="Q10">IF(OR(A10="",E10="",F10=""),0,SUMPRODUCT((tlNo=A10)*(Timeline!$H$18:$BG$18+6&gt;=E10)*(Timeline!$H$18:$BG$18&lt;=F10)*Timeline!$H$20:$BG$378))</f>
        <v>0</v>
      </c>
      <c r="R10" s="144">
        <f t="shared" si="0"/>
        <v>0</v>
      </c>
      <c r="S10" s="144">
        <f>SUMIF($I$3:$O$3,Assumptions!$A$15,$I10:$O10)*N($G10)</f>
        <v>0</v>
      </c>
      <c r="T10" s="144">
        <f>SUMIF($I$3:$O$3,Assumptions!$A$16,$I10:$O10)*N($G10)</f>
        <v>0</v>
      </c>
      <c r="U10" s="144">
        <f>SUMIF($I$3:$O$3,Assumptions!$A$17,$I10:$O10)*N($G10)</f>
        <v>0</v>
      </c>
      <c r="V10" s="144">
        <f>SUMIF($I$3:$O$3,Assumptions!$A$18,$I10:$O10)*N($G10)</f>
        <v>0</v>
      </c>
      <c r="W10" s="144">
        <f>SUMIF($I$3:$O$3,Assumptions!$A$19,$I10:$O10)*N($G10)</f>
        <v>0</v>
      </c>
      <c r="X10" s="145">
        <f>S10*Assumptions!$B$15+T10*Assumptions!$B$16+U10*Assumptions!$B$17+V10*Assumptions!$B$18+W10*Assumptions!$B$19</f>
        <v>0</v>
      </c>
      <c r="Y10" s="145" t="str">
        <f t="shared" si="7"/>
        <v/>
      </c>
      <c r="Z10" s="146" t="str">
        <f t="shared" si="8"/>
        <v/>
      </c>
      <c r="AA10" s="146">
        <f>IF(D10="Active",1,IF(D10="Prospective",IF(Assumptions!$B$6="Active only",0,Assumptions!$B$7),0))</f>
        <v>0</v>
      </c>
      <c r="AB10" s="147" t="str">
        <f t="shared" si="9"/>
        <v/>
      </c>
      <c r="AC10" s="152" t="s">
        <v>103</v>
      </c>
      <c r="AD10" s="156">
        <f t="shared" si="2"/>
        <v>0</v>
      </c>
    </row>
    <row r="11" spans="1:30" hidden="1" outlineLevel="1" x14ac:dyDescent="0.25">
      <c r="A11" s="51">
        <f>IF(A7="","",A7)</f>
        <v>2348</v>
      </c>
      <c r="B11" s="41" t="str">
        <f>IF(B7="","",B7)</f>
        <v>Fairhaven Senior Housing</v>
      </c>
      <c r="C11" s="42"/>
      <c r="D11" s="43" t="str">
        <f>IF(COUNTA(C11,E11,H11,I11:O11)=0,"",IF(D7="","",D7))</f>
        <v/>
      </c>
      <c r="E11" s="44"/>
      <c r="F11" s="139" t="str">
        <f t="shared" si="4"/>
        <v/>
      </c>
      <c r="G11" s="136" t="str">
        <f t="shared" si="5"/>
        <v/>
      </c>
      <c r="H11" s="127"/>
      <c r="I11" s="148"/>
      <c r="J11" s="148"/>
      <c r="K11" s="148"/>
      <c r="L11" s="148"/>
      <c r="M11" s="148"/>
      <c r="N11" s="148"/>
      <c r="O11" s="148"/>
      <c r="P11" s="144">
        <f t="shared" si="6"/>
        <v>0</v>
      </c>
      <c r="Q11" s="144" cm="1">
        <f t="array" ref="Q11">IF(OR(A11="",E11="",F11=""),0,SUMPRODUCT((tlNo=A11)*(Timeline!$H$18:$BG$18+6&gt;=E11)*(Timeline!$H$18:$BG$18&lt;=F11)*Timeline!$H$20:$BG$378))</f>
        <v>0</v>
      </c>
      <c r="R11" s="144">
        <f t="shared" si="0"/>
        <v>0</v>
      </c>
      <c r="S11" s="144">
        <f>SUMIF($I$3:$O$3,Assumptions!$A$15,$I11:$O11)*N($G11)</f>
        <v>0</v>
      </c>
      <c r="T11" s="144">
        <f>SUMIF($I$3:$O$3,Assumptions!$A$16,$I11:$O11)*N($G11)</f>
        <v>0</v>
      </c>
      <c r="U11" s="144">
        <f>SUMIF($I$3:$O$3,Assumptions!$A$17,$I11:$O11)*N($G11)</f>
        <v>0</v>
      </c>
      <c r="V11" s="144">
        <f>SUMIF($I$3:$O$3,Assumptions!$A$18,$I11:$O11)*N($G11)</f>
        <v>0</v>
      </c>
      <c r="W11" s="144">
        <f>SUMIF($I$3:$O$3,Assumptions!$A$19,$I11:$O11)*N($G11)</f>
        <v>0</v>
      </c>
      <c r="X11" s="145">
        <f>S11*Assumptions!$B$15+T11*Assumptions!$B$16+U11*Assumptions!$B$17+V11*Assumptions!$B$18+W11*Assumptions!$B$19</f>
        <v>0</v>
      </c>
      <c r="Y11" s="145" t="str">
        <f t="shared" si="7"/>
        <v/>
      </c>
      <c r="Z11" s="146" t="str">
        <f t="shared" si="8"/>
        <v/>
      </c>
      <c r="AA11" s="146">
        <f>IF(D11="Active",1,IF(D11="Prospective",IF(Assumptions!$B$6="Active only",0,Assumptions!$B$7),0))</f>
        <v>0</v>
      </c>
      <c r="AB11" s="147" t="str">
        <f t="shared" si="9"/>
        <v/>
      </c>
      <c r="AC11" s="152" t="s">
        <v>103</v>
      </c>
      <c r="AD11" s="156">
        <f t="shared" si="2"/>
        <v>0</v>
      </c>
    </row>
    <row r="12" spans="1:30" hidden="1" outlineLevel="1" x14ac:dyDescent="0.25">
      <c r="A12" s="51">
        <f>IF(A7="","",A7)</f>
        <v>2348</v>
      </c>
      <c r="B12" s="41" t="str">
        <f>IF(B7="","",B7)</f>
        <v>Fairhaven Senior Housing</v>
      </c>
      <c r="C12" s="42"/>
      <c r="D12" s="43" t="str">
        <f>IF(COUNTA(C12,E12,H12,I12:O12)=0,"",IF(D7="","",D7))</f>
        <v/>
      </c>
      <c r="E12" s="44"/>
      <c r="F12" s="139" t="str">
        <f t="shared" si="4"/>
        <v/>
      </c>
      <c r="G12" s="136" t="str">
        <f t="shared" si="5"/>
        <v/>
      </c>
      <c r="H12" s="127"/>
      <c r="I12" s="148"/>
      <c r="J12" s="148"/>
      <c r="K12" s="148"/>
      <c r="L12" s="148"/>
      <c r="M12" s="148"/>
      <c r="N12" s="148"/>
      <c r="O12" s="148"/>
      <c r="P12" s="144">
        <f t="shared" si="6"/>
        <v>0</v>
      </c>
      <c r="Q12" s="144" cm="1">
        <f t="array" ref="Q12">IF(OR(A12="",E12="",F12=""),0,SUMPRODUCT((tlNo=A12)*(Timeline!$H$18:$BG$18+6&gt;=E12)*(Timeline!$H$18:$BG$18&lt;=F12)*Timeline!$H$20:$BG$378))</f>
        <v>0</v>
      </c>
      <c r="R12" s="144">
        <f t="shared" si="0"/>
        <v>0</v>
      </c>
      <c r="S12" s="144">
        <f>SUMIF($I$3:$O$3,Assumptions!$A$15,$I12:$O12)*N($G12)</f>
        <v>0</v>
      </c>
      <c r="T12" s="144">
        <f>SUMIF($I$3:$O$3,Assumptions!$A$16,$I12:$O12)*N($G12)</f>
        <v>0</v>
      </c>
      <c r="U12" s="144">
        <f>SUMIF($I$3:$O$3,Assumptions!$A$17,$I12:$O12)*N($G12)</f>
        <v>0</v>
      </c>
      <c r="V12" s="144">
        <f>SUMIF($I$3:$O$3,Assumptions!$A$18,$I12:$O12)*N($G12)</f>
        <v>0</v>
      </c>
      <c r="W12" s="144">
        <f>SUMIF($I$3:$O$3,Assumptions!$A$19,$I12:$O12)*N($G12)</f>
        <v>0</v>
      </c>
      <c r="X12" s="145">
        <f>S12*Assumptions!$B$15+T12*Assumptions!$B$16+U12*Assumptions!$B$17+V12*Assumptions!$B$18+W12*Assumptions!$B$19</f>
        <v>0</v>
      </c>
      <c r="Y12" s="145" t="str">
        <f t="shared" si="7"/>
        <v/>
      </c>
      <c r="Z12" s="146" t="str">
        <f t="shared" si="8"/>
        <v/>
      </c>
      <c r="AA12" s="146">
        <f>IF(D12="Active",1,IF(D12="Prospective",IF(Assumptions!$B$6="Active only",0,Assumptions!$B$7),0))</f>
        <v>0</v>
      </c>
      <c r="AB12" s="147" t="str">
        <f t="shared" si="9"/>
        <v/>
      </c>
      <c r="AC12" s="152" t="s">
        <v>103</v>
      </c>
      <c r="AD12" s="156">
        <f t="shared" si="2"/>
        <v>0</v>
      </c>
    </row>
    <row r="13" spans="1:30" hidden="1" outlineLevel="1" x14ac:dyDescent="0.25">
      <c r="A13" s="51">
        <f>IF(A7="","",A7)</f>
        <v>2348</v>
      </c>
      <c r="B13" s="41" t="str">
        <f>IF(B7="","",B7)</f>
        <v>Fairhaven Senior Housing</v>
      </c>
      <c r="C13" s="42"/>
      <c r="D13" s="43" t="str">
        <f>IF(COUNTA(C13,E13,H13,I13:O13)=0,"",IF(D7="","",D7))</f>
        <v/>
      </c>
      <c r="E13" s="44"/>
      <c r="F13" s="139" t="str">
        <f t="shared" si="4"/>
        <v/>
      </c>
      <c r="G13" s="136" t="str">
        <f t="shared" si="5"/>
        <v/>
      </c>
      <c r="H13" s="127"/>
      <c r="I13" s="148"/>
      <c r="J13" s="148"/>
      <c r="K13" s="148"/>
      <c r="L13" s="148"/>
      <c r="M13" s="148"/>
      <c r="N13" s="148"/>
      <c r="O13" s="148"/>
      <c r="P13" s="144">
        <f t="shared" si="6"/>
        <v>0</v>
      </c>
      <c r="Q13" s="144" cm="1">
        <f t="array" ref="Q13">IF(OR(A13="",E13="",F13=""),0,SUMPRODUCT((tlNo=A13)*(Timeline!$H$18:$BG$18+6&gt;=E13)*(Timeline!$H$18:$BG$18&lt;=F13)*Timeline!$H$20:$BG$378))</f>
        <v>0</v>
      </c>
      <c r="R13" s="144">
        <f t="shared" si="0"/>
        <v>0</v>
      </c>
      <c r="S13" s="144">
        <f>SUMIF($I$3:$O$3,Assumptions!$A$15,$I13:$O13)*N($G13)</f>
        <v>0</v>
      </c>
      <c r="T13" s="144">
        <f>SUMIF($I$3:$O$3,Assumptions!$A$16,$I13:$O13)*N($G13)</f>
        <v>0</v>
      </c>
      <c r="U13" s="144">
        <f>SUMIF($I$3:$O$3,Assumptions!$A$17,$I13:$O13)*N($G13)</f>
        <v>0</v>
      </c>
      <c r="V13" s="144">
        <f>SUMIF($I$3:$O$3,Assumptions!$A$18,$I13:$O13)*N($G13)</f>
        <v>0</v>
      </c>
      <c r="W13" s="144">
        <f>SUMIF($I$3:$O$3,Assumptions!$A$19,$I13:$O13)*N($G13)</f>
        <v>0</v>
      </c>
      <c r="X13" s="145">
        <f>S13*Assumptions!$B$15+T13*Assumptions!$B$16+U13*Assumptions!$B$17+V13*Assumptions!$B$18+W13*Assumptions!$B$19</f>
        <v>0</v>
      </c>
      <c r="Y13" s="145" t="str">
        <f t="shared" si="7"/>
        <v/>
      </c>
      <c r="Z13" s="146" t="str">
        <f t="shared" si="8"/>
        <v/>
      </c>
      <c r="AA13" s="146">
        <f>IF(D13="Active",1,IF(D13="Prospective",IF(Assumptions!$B$6="Active only",0,Assumptions!$B$7),0))</f>
        <v>0</v>
      </c>
      <c r="AB13" s="147" t="str">
        <f t="shared" si="9"/>
        <v/>
      </c>
      <c r="AC13" s="152" t="s">
        <v>103</v>
      </c>
      <c r="AD13" s="156">
        <f t="shared" si="2"/>
        <v>0</v>
      </c>
    </row>
    <row r="14" spans="1:30" hidden="1" outlineLevel="1" x14ac:dyDescent="0.25">
      <c r="A14" s="51">
        <f>IF(A7="","",A7)</f>
        <v>2348</v>
      </c>
      <c r="B14" s="41" t="str">
        <f>IF(B7="","",B7)</f>
        <v>Fairhaven Senior Housing</v>
      </c>
      <c r="C14" s="42"/>
      <c r="D14" s="43" t="str">
        <f>IF(COUNTA(C14,E14,H14,I14:O14)=0,"",IF(D7="","",D7))</f>
        <v/>
      </c>
      <c r="E14" s="44"/>
      <c r="F14" s="139" t="str">
        <f t="shared" si="4"/>
        <v/>
      </c>
      <c r="G14" s="136" t="str">
        <f t="shared" si="5"/>
        <v/>
      </c>
      <c r="H14" s="127"/>
      <c r="I14" s="148"/>
      <c r="J14" s="148"/>
      <c r="K14" s="148"/>
      <c r="L14" s="148"/>
      <c r="M14" s="148"/>
      <c r="N14" s="148"/>
      <c r="O14" s="148"/>
      <c r="P14" s="144">
        <f t="shared" si="6"/>
        <v>0</v>
      </c>
      <c r="Q14" s="144" cm="1">
        <f t="array" ref="Q14">IF(OR(A14="",E14="",F14=""),0,SUMPRODUCT((tlNo=A14)*(Timeline!$H$18:$BG$18+6&gt;=E14)*(Timeline!$H$18:$BG$18&lt;=F14)*Timeline!$H$20:$BG$378))</f>
        <v>0</v>
      </c>
      <c r="R14" s="144">
        <f t="shared" si="0"/>
        <v>0</v>
      </c>
      <c r="S14" s="144">
        <f>SUMIF($I$3:$O$3,Assumptions!$A$15,$I14:$O14)*N($G14)</f>
        <v>0</v>
      </c>
      <c r="T14" s="144">
        <f>SUMIF($I$3:$O$3,Assumptions!$A$16,$I14:$O14)*N($G14)</f>
        <v>0</v>
      </c>
      <c r="U14" s="144">
        <f>SUMIF($I$3:$O$3,Assumptions!$A$17,$I14:$O14)*N($G14)</f>
        <v>0</v>
      </c>
      <c r="V14" s="144">
        <f>SUMIF($I$3:$O$3,Assumptions!$A$18,$I14:$O14)*N($G14)</f>
        <v>0</v>
      </c>
      <c r="W14" s="144">
        <f>SUMIF($I$3:$O$3,Assumptions!$A$19,$I14:$O14)*N($G14)</f>
        <v>0</v>
      </c>
      <c r="X14" s="145">
        <f>S14*Assumptions!$B$15+T14*Assumptions!$B$16+U14*Assumptions!$B$17+V14*Assumptions!$B$18+W14*Assumptions!$B$19</f>
        <v>0</v>
      </c>
      <c r="Y14" s="145" t="str">
        <f t="shared" si="7"/>
        <v/>
      </c>
      <c r="Z14" s="146" t="str">
        <f t="shared" si="8"/>
        <v/>
      </c>
      <c r="AA14" s="146">
        <f>IF(D14="Active",1,IF(D14="Prospective",IF(Assumptions!$B$6="Active only",0,Assumptions!$B$7),0))</f>
        <v>0</v>
      </c>
      <c r="AB14" s="147" t="str">
        <f t="shared" si="9"/>
        <v/>
      </c>
      <c r="AC14" s="152" t="s">
        <v>103</v>
      </c>
      <c r="AD14" s="156">
        <f t="shared" si="2"/>
        <v>0</v>
      </c>
    </row>
    <row r="15" spans="1:30" hidden="1" outlineLevel="1" x14ac:dyDescent="0.25">
      <c r="A15" s="64">
        <f>IF(A7="","",A7)</f>
        <v>2348</v>
      </c>
      <c r="B15" s="45" t="str">
        <f>IF(B7="","",B7)</f>
        <v>Fairhaven Senior Housing</v>
      </c>
      <c r="C15" s="46"/>
      <c r="D15" s="47" t="str">
        <f>IF(COUNTA(C15,E15,H15,I15:O15)=0,"",IF(D7="","",D7))</f>
        <v/>
      </c>
      <c r="E15" s="48"/>
      <c r="F15" s="140" t="str">
        <f t="shared" si="4"/>
        <v/>
      </c>
      <c r="G15" s="137" t="str">
        <f t="shared" si="5"/>
        <v/>
      </c>
      <c r="H15" s="128"/>
      <c r="I15" s="148"/>
      <c r="J15" s="148"/>
      <c r="K15" s="148"/>
      <c r="L15" s="148"/>
      <c r="M15" s="148"/>
      <c r="N15" s="148"/>
      <c r="O15" s="148"/>
      <c r="P15" s="144">
        <f t="shared" si="6"/>
        <v>0</v>
      </c>
      <c r="Q15" s="144" cm="1">
        <f t="array" ref="Q15">IF(OR(A15="",E15="",F15=""),0,SUMPRODUCT((tlNo=A15)*(Timeline!$H$18:$BG$18+6&gt;=E15)*(Timeline!$H$18:$BG$18&lt;=F15)*Timeline!$H$20:$BG$378))</f>
        <v>0</v>
      </c>
      <c r="R15" s="144">
        <f t="shared" si="0"/>
        <v>0</v>
      </c>
      <c r="S15" s="144">
        <f>SUMIF($I$3:$O$3,Assumptions!$A$15,$I15:$O15)*N($G15)</f>
        <v>0</v>
      </c>
      <c r="T15" s="144">
        <f>SUMIF($I$3:$O$3,Assumptions!$A$16,$I15:$O15)*N($G15)</f>
        <v>0</v>
      </c>
      <c r="U15" s="144">
        <f>SUMIF($I$3:$O$3,Assumptions!$A$17,$I15:$O15)*N($G15)</f>
        <v>0</v>
      </c>
      <c r="V15" s="144">
        <f>SUMIF($I$3:$O$3,Assumptions!$A$18,$I15:$O15)*N($G15)</f>
        <v>0</v>
      </c>
      <c r="W15" s="144">
        <f>SUMIF($I$3:$O$3,Assumptions!$A$19,$I15:$O15)*N($G15)</f>
        <v>0</v>
      </c>
      <c r="X15" s="145">
        <f>S15*Assumptions!$B$15+T15*Assumptions!$B$16+U15*Assumptions!$B$17+V15*Assumptions!$B$18+W15*Assumptions!$B$19</f>
        <v>0</v>
      </c>
      <c r="Y15" s="145" t="str">
        <f t="shared" si="7"/>
        <v/>
      </c>
      <c r="Z15" s="146" t="str">
        <f t="shared" si="8"/>
        <v/>
      </c>
      <c r="AA15" s="146">
        <f>IF(D15="Active",1,IF(D15="Prospective",IF(Assumptions!$B$6="Active only",0,Assumptions!$B$7),0))</f>
        <v>0</v>
      </c>
      <c r="AB15" s="147" t="str">
        <f t="shared" si="9"/>
        <v/>
      </c>
      <c r="AC15" s="152" t="s">
        <v>103</v>
      </c>
      <c r="AD15" s="156">
        <f t="shared" si="2"/>
        <v>0</v>
      </c>
    </row>
    <row r="16" spans="1:30" collapsed="1" x14ac:dyDescent="0.25">
      <c r="A16" s="59">
        <v>2370</v>
      </c>
      <c r="B16" s="207" t="s">
        <v>192</v>
      </c>
      <c r="C16" s="61" t="s">
        <v>129</v>
      </c>
      <c r="D16" s="62" t="s">
        <v>173</v>
      </c>
      <c r="E16" s="63" t="str">
        <f>IF(COUNT(E17:E24)=0,"",MIN(E17:E24))</f>
        <v/>
      </c>
      <c r="F16" s="63" t="str">
        <f>IF(COUNT(F17:F24)=0,"",MAX(F17:F24))</f>
        <v/>
      </c>
      <c r="G16" s="134"/>
      <c r="H16" s="125">
        <f>SUM(H17:H24)</f>
        <v>0</v>
      </c>
      <c r="I16" s="141"/>
      <c r="J16" s="141"/>
      <c r="K16" s="141"/>
      <c r="L16" s="141"/>
      <c r="M16" s="141"/>
      <c r="N16" s="141"/>
      <c r="O16" s="141"/>
      <c r="P16" s="141">
        <f>SUM(P17:P24)</f>
        <v>0</v>
      </c>
      <c r="Q16" s="141">
        <f>SUM(Q17:Q24)</f>
        <v>0</v>
      </c>
      <c r="R16" s="141">
        <f t="shared" si="0"/>
        <v>0</v>
      </c>
      <c r="S16" s="141">
        <f t="shared" ref="S16:X16" si="10">SUM(S17:S24)</f>
        <v>0</v>
      </c>
      <c r="T16" s="141">
        <f t="shared" si="10"/>
        <v>0</v>
      </c>
      <c r="U16" s="141">
        <f t="shared" si="10"/>
        <v>0</v>
      </c>
      <c r="V16" s="141">
        <f t="shared" si="10"/>
        <v>0</v>
      </c>
      <c r="W16" s="141">
        <f t="shared" si="10"/>
        <v>0</v>
      </c>
      <c r="X16" s="142">
        <f t="shared" si="10"/>
        <v>0</v>
      </c>
      <c r="Y16" s="142">
        <f>H16-X16</f>
        <v>0</v>
      </c>
      <c r="Z16" s="143" t="str">
        <f>IF(H16=0,"",X16/H16)</f>
        <v/>
      </c>
      <c r="AA16" s="143"/>
      <c r="AB16" s="40" t="str">
        <f>IF(COUNTIF(AB17:AB24,"?*")=0,"No phases yet",IF(COUNTIF(AB17:AB24,"OK")=COUNTIF(AB17:AB24,"?*"),"All OK",(COUNTIF(AB17:AB24,"?*")-COUNTIF(AB17:AB24,"OK"))&amp;" to fix"))</f>
        <v>No phases yet</v>
      </c>
      <c r="AC16" s="52" t="s">
        <v>130</v>
      </c>
      <c r="AD16" s="156">
        <f t="shared" si="2"/>
        <v>0</v>
      </c>
    </row>
    <row r="17" spans="1:30" hidden="1" outlineLevel="1" x14ac:dyDescent="0.25">
      <c r="A17" s="54">
        <f>IF(A16="","",A16)</f>
        <v>2370</v>
      </c>
      <c r="B17" s="55" t="str">
        <f>IF(B16="","",B16)</f>
        <v>Tamarack Housing</v>
      </c>
      <c r="C17" s="56"/>
      <c r="D17" s="57" t="str">
        <f>IF(COUNTA(C17,E17,H17,I17:O17)=0,"",IF(D16="","",D16))</f>
        <v/>
      </c>
      <c r="E17" s="58"/>
      <c r="F17" s="138" t="str">
        <f t="shared" ref="F17:F24" si="11">IF(_xlfn.ISFORMULA(G17),"",IF(AND(E17&lt;&gt;"",N(G17)&gt;0),E17+7*G17-1,""))</f>
        <v/>
      </c>
      <c r="G17" s="135" t="str">
        <f t="shared" ref="G17:G24" si="12">IF(OR(E17="",F17=""),"",IF(F17&lt;E17,"",ROUNDUP((F17-E17+1)/7,0)))</f>
        <v/>
      </c>
      <c r="H17" s="126"/>
      <c r="I17" s="148"/>
      <c r="J17" s="148"/>
      <c r="K17" s="148"/>
      <c r="L17" s="148"/>
      <c r="M17" s="148"/>
      <c r="N17" s="148"/>
      <c r="O17" s="148"/>
      <c r="P17" s="144">
        <f t="shared" ref="P17:P24" si="13">SUM(I17:O17)*N(G17)</f>
        <v>0</v>
      </c>
      <c r="Q17" s="144" cm="1">
        <f t="array" ref="Q17">IF(OR(A17="",E17="",F17=""),0,SUMPRODUCT((tlNo=A17)*(Timeline!$H$18:$BG$18+6&gt;=E17)*(Timeline!$H$18:$BG$18&lt;=F17)*Timeline!$H$20:$BG$378))</f>
        <v>0</v>
      </c>
      <c r="R17" s="144">
        <f t="shared" si="0"/>
        <v>0</v>
      </c>
      <c r="S17" s="144">
        <f>SUMIF($I$3:$O$3,Assumptions!$A$15,$I17:$O17)*N($G17)</f>
        <v>0</v>
      </c>
      <c r="T17" s="144">
        <f>SUMIF($I$3:$O$3,Assumptions!$A$16,$I17:$O17)*N($G17)</f>
        <v>0</v>
      </c>
      <c r="U17" s="144">
        <f>SUMIF($I$3:$O$3,Assumptions!$A$17,$I17:$O17)*N($G17)</f>
        <v>0</v>
      </c>
      <c r="V17" s="144">
        <f>SUMIF($I$3:$O$3,Assumptions!$A$18,$I17:$O17)*N($G17)</f>
        <v>0</v>
      </c>
      <c r="W17" s="144">
        <f>SUMIF($I$3:$O$3,Assumptions!$A$19,$I17:$O17)*N($G17)</f>
        <v>0</v>
      </c>
      <c r="X17" s="145">
        <f>S17*Assumptions!$B$15+T17*Assumptions!$B$16+U17*Assumptions!$B$17+V17*Assumptions!$B$18+W17*Assumptions!$B$19</f>
        <v>0</v>
      </c>
      <c r="Y17" s="145" t="str">
        <f t="shared" ref="Y17:Y24" si="14">IF(D17="","",H17-X17)</f>
        <v/>
      </c>
      <c r="Z17" s="146" t="str">
        <f t="shared" ref="Z17:Z24" si="15">IF(OR(D17="",H17=0),"",X17/H17)</f>
        <v/>
      </c>
      <c r="AA17" s="146">
        <f>IF(D17="Active",1,IF(D17="Prospective",IF(Assumptions!$B$6="Active only",0,Assumptions!$B$7),0))</f>
        <v>0</v>
      </c>
      <c r="AB17" s="147" t="str">
        <f t="shared" ref="AB17:AB24" si="16">IF(COUNTA(C17,E17,H17,I17:O17)=0,"",IF(C17="","Select phase",IF(OR(E17="",F17=""),"Enter dates",IF(F17&lt;E17,"End before start",IF(H17="","Enter phase fee",IF(P17=0,"Enter staff hours",IF(R17&lt;0,"Over-mapped on Timeline",IF(R17&gt;0,"Map hours on Timeline","OK"))))))))</f>
        <v/>
      </c>
      <c r="AC17" s="152" t="s">
        <v>103</v>
      </c>
      <c r="AD17" s="156">
        <f t="shared" si="2"/>
        <v>0</v>
      </c>
    </row>
    <row r="18" spans="1:30" hidden="1" outlineLevel="1" x14ac:dyDescent="0.25">
      <c r="A18" s="51">
        <f>IF(A16="","",A16)</f>
        <v>2370</v>
      </c>
      <c r="B18" s="41" t="str">
        <f>IF(B16="","",B16)</f>
        <v>Tamarack Housing</v>
      </c>
      <c r="C18" s="42"/>
      <c r="D18" s="43" t="str">
        <f>IF(COUNTA(C18,E18,H18,I18:O18)=0,"",IF(D16="","",D16))</f>
        <v/>
      </c>
      <c r="E18" s="44"/>
      <c r="F18" s="139" t="str">
        <f t="shared" si="11"/>
        <v/>
      </c>
      <c r="G18" s="136" t="str">
        <f t="shared" si="12"/>
        <v/>
      </c>
      <c r="H18" s="127"/>
      <c r="I18" s="148"/>
      <c r="J18" s="148"/>
      <c r="K18" s="148"/>
      <c r="L18" s="148"/>
      <c r="M18" s="148"/>
      <c r="N18" s="148"/>
      <c r="O18" s="148"/>
      <c r="P18" s="144">
        <f t="shared" si="13"/>
        <v>0</v>
      </c>
      <c r="Q18" s="144" cm="1">
        <f t="array" ref="Q18">IF(OR(A18="",E18="",F18=""),0,SUMPRODUCT((tlNo=A18)*(Timeline!$H$18:$BG$18+6&gt;=E18)*(Timeline!$H$18:$BG$18&lt;=F18)*Timeline!$H$20:$BG$378))</f>
        <v>0</v>
      </c>
      <c r="R18" s="144">
        <f t="shared" si="0"/>
        <v>0</v>
      </c>
      <c r="S18" s="144">
        <f>SUMIF($I$3:$O$3,Assumptions!$A$15,$I18:$O18)*N($G18)</f>
        <v>0</v>
      </c>
      <c r="T18" s="144">
        <f>SUMIF($I$3:$O$3,Assumptions!$A$16,$I18:$O18)*N($G18)</f>
        <v>0</v>
      </c>
      <c r="U18" s="144">
        <f>SUMIF($I$3:$O$3,Assumptions!$A$17,$I18:$O18)*N($G18)</f>
        <v>0</v>
      </c>
      <c r="V18" s="144">
        <f>SUMIF($I$3:$O$3,Assumptions!$A$18,$I18:$O18)*N($G18)</f>
        <v>0</v>
      </c>
      <c r="W18" s="144">
        <f>SUMIF($I$3:$O$3,Assumptions!$A$19,$I18:$O18)*N($G18)</f>
        <v>0</v>
      </c>
      <c r="X18" s="145">
        <f>S18*Assumptions!$B$15+T18*Assumptions!$B$16+U18*Assumptions!$B$17+V18*Assumptions!$B$18+W18*Assumptions!$B$19</f>
        <v>0</v>
      </c>
      <c r="Y18" s="145" t="str">
        <f t="shared" si="14"/>
        <v/>
      </c>
      <c r="Z18" s="146" t="str">
        <f t="shared" si="15"/>
        <v/>
      </c>
      <c r="AA18" s="146">
        <f>IF(D18="Active",1,IF(D18="Prospective",IF(Assumptions!$B$6="Active only",0,Assumptions!$B$7),0))</f>
        <v>0</v>
      </c>
      <c r="AB18" s="147" t="str">
        <f t="shared" si="16"/>
        <v/>
      </c>
      <c r="AC18" s="152" t="s">
        <v>103</v>
      </c>
      <c r="AD18" s="156">
        <f t="shared" si="2"/>
        <v>0</v>
      </c>
    </row>
    <row r="19" spans="1:30" hidden="1" outlineLevel="1" x14ac:dyDescent="0.25">
      <c r="A19" s="51">
        <f>IF(A16="","",A16)</f>
        <v>2370</v>
      </c>
      <c r="B19" s="41" t="str">
        <f>IF(B16="","",B16)</f>
        <v>Tamarack Housing</v>
      </c>
      <c r="C19" s="42"/>
      <c r="D19" s="43" t="str">
        <f>IF(COUNTA(C19,E19,H19,I19:O19)=0,"",IF(D16="","",D16))</f>
        <v/>
      </c>
      <c r="E19" s="44"/>
      <c r="F19" s="139" t="str">
        <f t="shared" si="11"/>
        <v/>
      </c>
      <c r="G19" s="136" t="str">
        <f t="shared" si="12"/>
        <v/>
      </c>
      <c r="H19" s="127"/>
      <c r="I19" s="148"/>
      <c r="J19" s="148"/>
      <c r="K19" s="148"/>
      <c r="L19" s="148"/>
      <c r="M19" s="148"/>
      <c r="N19" s="148"/>
      <c r="O19" s="148"/>
      <c r="P19" s="144">
        <f t="shared" si="13"/>
        <v>0</v>
      </c>
      <c r="Q19" s="144" cm="1">
        <f t="array" ref="Q19">IF(OR(A19="",E19="",F19=""),0,SUMPRODUCT((tlNo=A19)*(Timeline!$H$18:$BG$18+6&gt;=E19)*(Timeline!$H$18:$BG$18&lt;=F19)*Timeline!$H$20:$BG$378))</f>
        <v>0</v>
      </c>
      <c r="R19" s="144">
        <f t="shared" si="0"/>
        <v>0</v>
      </c>
      <c r="S19" s="144">
        <f>SUMIF($I$3:$O$3,Assumptions!$A$15,$I19:$O19)*N($G19)</f>
        <v>0</v>
      </c>
      <c r="T19" s="144">
        <f>SUMIF($I$3:$O$3,Assumptions!$A$16,$I19:$O19)*N($G19)</f>
        <v>0</v>
      </c>
      <c r="U19" s="144">
        <f>SUMIF($I$3:$O$3,Assumptions!$A$17,$I19:$O19)*N($G19)</f>
        <v>0</v>
      </c>
      <c r="V19" s="144">
        <f>SUMIF($I$3:$O$3,Assumptions!$A$18,$I19:$O19)*N($G19)</f>
        <v>0</v>
      </c>
      <c r="W19" s="144">
        <f>SUMIF($I$3:$O$3,Assumptions!$A$19,$I19:$O19)*N($G19)</f>
        <v>0</v>
      </c>
      <c r="X19" s="145">
        <f>S19*Assumptions!$B$15+T19*Assumptions!$B$16+U19*Assumptions!$B$17+V19*Assumptions!$B$18+W19*Assumptions!$B$19</f>
        <v>0</v>
      </c>
      <c r="Y19" s="145" t="str">
        <f t="shared" si="14"/>
        <v/>
      </c>
      <c r="Z19" s="146" t="str">
        <f t="shared" si="15"/>
        <v/>
      </c>
      <c r="AA19" s="146">
        <f>IF(D19="Active",1,IF(D19="Prospective",IF(Assumptions!$B$6="Active only",0,Assumptions!$B$7),0))</f>
        <v>0</v>
      </c>
      <c r="AB19" s="147" t="str">
        <f t="shared" si="16"/>
        <v/>
      </c>
      <c r="AC19" s="152" t="s">
        <v>103</v>
      </c>
      <c r="AD19" s="156">
        <f t="shared" si="2"/>
        <v>0</v>
      </c>
    </row>
    <row r="20" spans="1:30" hidden="1" outlineLevel="1" x14ac:dyDescent="0.25">
      <c r="A20" s="51">
        <f>IF(A16="","",A16)</f>
        <v>2370</v>
      </c>
      <c r="B20" s="41" t="str">
        <f>IF(B16="","",B16)</f>
        <v>Tamarack Housing</v>
      </c>
      <c r="C20" s="42"/>
      <c r="D20" s="43" t="str">
        <f>IF(COUNTA(C20,E20,H20,I20:O20)=0,"",IF(D16="","",D16))</f>
        <v/>
      </c>
      <c r="E20" s="44"/>
      <c r="F20" s="139" t="str">
        <f t="shared" si="11"/>
        <v/>
      </c>
      <c r="G20" s="136" t="str">
        <f t="shared" si="12"/>
        <v/>
      </c>
      <c r="H20" s="127"/>
      <c r="I20" s="148"/>
      <c r="J20" s="148"/>
      <c r="K20" s="148"/>
      <c r="L20" s="148"/>
      <c r="M20" s="148"/>
      <c r="N20" s="148"/>
      <c r="O20" s="148"/>
      <c r="P20" s="144">
        <f t="shared" si="13"/>
        <v>0</v>
      </c>
      <c r="Q20" s="144" cm="1">
        <f t="array" ref="Q20">IF(OR(A20="",E20="",F20=""),0,SUMPRODUCT((tlNo=A20)*(Timeline!$H$18:$BG$18+6&gt;=E20)*(Timeline!$H$18:$BG$18&lt;=F20)*Timeline!$H$20:$BG$378))</f>
        <v>0</v>
      </c>
      <c r="R20" s="144">
        <f t="shared" si="0"/>
        <v>0</v>
      </c>
      <c r="S20" s="144">
        <f>SUMIF($I$3:$O$3,Assumptions!$A$15,$I20:$O20)*N($G20)</f>
        <v>0</v>
      </c>
      <c r="T20" s="144">
        <f>SUMIF($I$3:$O$3,Assumptions!$A$16,$I20:$O20)*N($G20)</f>
        <v>0</v>
      </c>
      <c r="U20" s="144">
        <f>SUMIF($I$3:$O$3,Assumptions!$A$17,$I20:$O20)*N($G20)</f>
        <v>0</v>
      </c>
      <c r="V20" s="144">
        <f>SUMIF($I$3:$O$3,Assumptions!$A$18,$I20:$O20)*N($G20)</f>
        <v>0</v>
      </c>
      <c r="W20" s="144">
        <f>SUMIF($I$3:$O$3,Assumptions!$A$19,$I20:$O20)*N($G20)</f>
        <v>0</v>
      </c>
      <c r="X20" s="145">
        <f>S20*Assumptions!$B$15+T20*Assumptions!$B$16+U20*Assumptions!$B$17+V20*Assumptions!$B$18+W20*Assumptions!$B$19</f>
        <v>0</v>
      </c>
      <c r="Y20" s="145" t="str">
        <f t="shared" si="14"/>
        <v/>
      </c>
      <c r="Z20" s="146" t="str">
        <f t="shared" si="15"/>
        <v/>
      </c>
      <c r="AA20" s="146">
        <f>IF(D20="Active",1,IF(D20="Prospective",IF(Assumptions!$B$6="Active only",0,Assumptions!$B$7),0))</f>
        <v>0</v>
      </c>
      <c r="AB20" s="147" t="str">
        <f t="shared" si="16"/>
        <v/>
      </c>
      <c r="AC20" s="152" t="s">
        <v>103</v>
      </c>
      <c r="AD20" s="156">
        <f t="shared" si="2"/>
        <v>0</v>
      </c>
    </row>
    <row r="21" spans="1:30" hidden="1" outlineLevel="1" x14ac:dyDescent="0.25">
      <c r="A21" s="51">
        <f>IF(A16="","",A16)</f>
        <v>2370</v>
      </c>
      <c r="B21" s="41" t="str">
        <f>IF(B16="","",B16)</f>
        <v>Tamarack Housing</v>
      </c>
      <c r="C21" s="42"/>
      <c r="D21" s="43" t="str">
        <f>IF(COUNTA(C21,E21,H21,I21:O21)=0,"",IF(D16="","",D16))</f>
        <v/>
      </c>
      <c r="E21" s="44"/>
      <c r="F21" s="139" t="str">
        <f t="shared" si="11"/>
        <v/>
      </c>
      <c r="G21" s="136" t="str">
        <f t="shared" si="12"/>
        <v/>
      </c>
      <c r="H21" s="127"/>
      <c r="I21" s="148"/>
      <c r="J21" s="148"/>
      <c r="K21" s="148"/>
      <c r="L21" s="148"/>
      <c r="M21" s="148"/>
      <c r="N21" s="148"/>
      <c r="O21" s="148"/>
      <c r="P21" s="144">
        <f t="shared" si="13"/>
        <v>0</v>
      </c>
      <c r="Q21" s="144" cm="1">
        <f t="array" ref="Q21">IF(OR(A21="",E21="",F21=""),0,SUMPRODUCT((tlNo=A21)*(Timeline!$H$18:$BG$18+6&gt;=E21)*(Timeline!$H$18:$BG$18&lt;=F21)*Timeline!$H$20:$BG$378))</f>
        <v>0</v>
      </c>
      <c r="R21" s="144">
        <f t="shared" si="0"/>
        <v>0</v>
      </c>
      <c r="S21" s="144">
        <f>SUMIF($I$3:$O$3,Assumptions!$A$15,$I21:$O21)*N($G21)</f>
        <v>0</v>
      </c>
      <c r="T21" s="144">
        <f>SUMIF($I$3:$O$3,Assumptions!$A$16,$I21:$O21)*N($G21)</f>
        <v>0</v>
      </c>
      <c r="U21" s="144">
        <f>SUMIF($I$3:$O$3,Assumptions!$A$17,$I21:$O21)*N($G21)</f>
        <v>0</v>
      </c>
      <c r="V21" s="144">
        <f>SUMIF($I$3:$O$3,Assumptions!$A$18,$I21:$O21)*N($G21)</f>
        <v>0</v>
      </c>
      <c r="W21" s="144">
        <f>SUMIF($I$3:$O$3,Assumptions!$A$19,$I21:$O21)*N($G21)</f>
        <v>0</v>
      </c>
      <c r="X21" s="145">
        <f>S21*Assumptions!$B$15+T21*Assumptions!$B$16+U21*Assumptions!$B$17+V21*Assumptions!$B$18+W21*Assumptions!$B$19</f>
        <v>0</v>
      </c>
      <c r="Y21" s="145" t="str">
        <f t="shared" si="14"/>
        <v/>
      </c>
      <c r="Z21" s="146" t="str">
        <f t="shared" si="15"/>
        <v/>
      </c>
      <c r="AA21" s="146">
        <f>IF(D21="Active",1,IF(D21="Prospective",IF(Assumptions!$B$6="Active only",0,Assumptions!$B$7),0))</f>
        <v>0</v>
      </c>
      <c r="AB21" s="147" t="str">
        <f t="shared" si="16"/>
        <v/>
      </c>
      <c r="AC21" s="152" t="s">
        <v>103</v>
      </c>
      <c r="AD21" s="156">
        <f t="shared" si="2"/>
        <v>0</v>
      </c>
    </row>
    <row r="22" spans="1:30" hidden="1" outlineLevel="1" x14ac:dyDescent="0.25">
      <c r="A22" s="51">
        <f>IF(A16="","",A16)</f>
        <v>2370</v>
      </c>
      <c r="B22" s="41" t="str">
        <f>IF(B16="","",B16)</f>
        <v>Tamarack Housing</v>
      </c>
      <c r="C22" s="42"/>
      <c r="D22" s="43" t="str">
        <f>IF(COUNTA(C22,E22,H22,I22:O22)=0,"",IF(D16="","",D16))</f>
        <v/>
      </c>
      <c r="E22" s="44"/>
      <c r="F22" s="139" t="str">
        <f t="shared" si="11"/>
        <v/>
      </c>
      <c r="G22" s="136" t="str">
        <f t="shared" si="12"/>
        <v/>
      </c>
      <c r="H22" s="127"/>
      <c r="I22" s="148"/>
      <c r="J22" s="148"/>
      <c r="K22" s="148"/>
      <c r="L22" s="148"/>
      <c r="M22" s="148"/>
      <c r="N22" s="148"/>
      <c r="O22" s="148"/>
      <c r="P22" s="144">
        <f t="shared" si="13"/>
        <v>0</v>
      </c>
      <c r="Q22" s="144" cm="1">
        <f t="array" ref="Q22">IF(OR(A22="",E22="",F22=""),0,SUMPRODUCT((tlNo=A22)*(Timeline!$H$18:$BG$18+6&gt;=E22)*(Timeline!$H$18:$BG$18&lt;=F22)*Timeline!$H$20:$BG$378))</f>
        <v>0</v>
      </c>
      <c r="R22" s="144">
        <f t="shared" si="0"/>
        <v>0</v>
      </c>
      <c r="S22" s="144">
        <f>SUMIF($I$3:$O$3,Assumptions!$A$15,$I22:$O22)*N($G22)</f>
        <v>0</v>
      </c>
      <c r="T22" s="144">
        <f>SUMIF($I$3:$O$3,Assumptions!$A$16,$I22:$O22)*N($G22)</f>
        <v>0</v>
      </c>
      <c r="U22" s="144">
        <f>SUMIF($I$3:$O$3,Assumptions!$A$17,$I22:$O22)*N($G22)</f>
        <v>0</v>
      </c>
      <c r="V22" s="144">
        <f>SUMIF($I$3:$O$3,Assumptions!$A$18,$I22:$O22)*N($G22)</f>
        <v>0</v>
      </c>
      <c r="W22" s="144">
        <f>SUMIF($I$3:$O$3,Assumptions!$A$19,$I22:$O22)*N($G22)</f>
        <v>0</v>
      </c>
      <c r="X22" s="145">
        <f>S22*Assumptions!$B$15+T22*Assumptions!$B$16+U22*Assumptions!$B$17+V22*Assumptions!$B$18+W22*Assumptions!$B$19</f>
        <v>0</v>
      </c>
      <c r="Y22" s="145" t="str">
        <f t="shared" si="14"/>
        <v/>
      </c>
      <c r="Z22" s="146" t="str">
        <f t="shared" si="15"/>
        <v/>
      </c>
      <c r="AA22" s="146">
        <f>IF(D22="Active",1,IF(D22="Prospective",IF(Assumptions!$B$6="Active only",0,Assumptions!$B$7),0))</f>
        <v>0</v>
      </c>
      <c r="AB22" s="147" t="str">
        <f t="shared" si="16"/>
        <v/>
      </c>
      <c r="AC22" s="152" t="s">
        <v>103</v>
      </c>
      <c r="AD22" s="156">
        <f t="shared" si="2"/>
        <v>0</v>
      </c>
    </row>
    <row r="23" spans="1:30" hidden="1" outlineLevel="1" x14ac:dyDescent="0.25">
      <c r="A23" s="51">
        <f>IF(A16="","",A16)</f>
        <v>2370</v>
      </c>
      <c r="B23" s="41" t="str">
        <f>IF(B16="","",B16)</f>
        <v>Tamarack Housing</v>
      </c>
      <c r="C23" s="42"/>
      <c r="D23" s="43" t="str">
        <f>IF(COUNTA(C23,E23,H23,I23:O23)=0,"",IF(D16="","",D16))</f>
        <v/>
      </c>
      <c r="E23" s="44"/>
      <c r="F23" s="139" t="str">
        <f t="shared" si="11"/>
        <v/>
      </c>
      <c r="G23" s="136" t="str">
        <f t="shared" si="12"/>
        <v/>
      </c>
      <c r="H23" s="127"/>
      <c r="I23" s="148"/>
      <c r="J23" s="148"/>
      <c r="K23" s="148"/>
      <c r="L23" s="148"/>
      <c r="M23" s="148"/>
      <c r="N23" s="148"/>
      <c r="O23" s="148"/>
      <c r="P23" s="144">
        <f t="shared" si="13"/>
        <v>0</v>
      </c>
      <c r="Q23" s="144" cm="1">
        <f t="array" ref="Q23">IF(OR(A23="",E23="",F23=""),0,SUMPRODUCT((tlNo=A23)*(Timeline!$H$18:$BG$18+6&gt;=E23)*(Timeline!$H$18:$BG$18&lt;=F23)*Timeline!$H$20:$BG$378))</f>
        <v>0</v>
      </c>
      <c r="R23" s="144">
        <f t="shared" si="0"/>
        <v>0</v>
      </c>
      <c r="S23" s="144">
        <f>SUMIF($I$3:$O$3,Assumptions!$A$15,$I23:$O23)*N($G23)</f>
        <v>0</v>
      </c>
      <c r="T23" s="144">
        <f>SUMIF($I$3:$O$3,Assumptions!$A$16,$I23:$O23)*N($G23)</f>
        <v>0</v>
      </c>
      <c r="U23" s="144">
        <f>SUMIF($I$3:$O$3,Assumptions!$A$17,$I23:$O23)*N($G23)</f>
        <v>0</v>
      </c>
      <c r="V23" s="144">
        <f>SUMIF($I$3:$O$3,Assumptions!$A$18,$I23:$O23)*N($G23)</f>
        <v>0</v>
      </c>
      <c r="W23" s="144">
        <f>SUMIF($I$3:$O$3,Assumptions!$A$19,$I23:$O23)*N($G23)</f>
        <v>0</v>
      </c>
      <c r="X23" s="145">
        <f>S23*Assumptions!$B$15+T23*Assumptions!$B$16+U23*Assumptions!$B$17+V23*Assumptions!$B$18+W23*Assumptions!$B$19</f>
        <v>0</v>
      </c>
      <c r="Y23" s="145" t="str">
        <f t="shared" si="14"/>
        <v/>
      </c>
      <c r="Z23" s="146" t="str">
        <f t="shared" si="15"/>
        <v/>
      </c>
      <c r="AA23" s="146">
        <f>IF(D23="Active",1,IF(D23="Prospective",IF(Assumptions!$B$6="Active only",0,Assumptions!$B$7),0))</f>
        <v>0</v>
      </c>
      <c r="AB23" s="147" t="str">
        <f t="shared" si="16"/>
        <v/>
      </c>
      <c r="AC23" s="152" t="s">
        <v>103</v>
      </c>
      <c r="AD23" s="156">
        <f t="shared" si="2"/>
        <v>0</v>
      </c>
    </row>
    <row r="24" spans="1:30" hidden="1" outlineLevel="1" x14ac:dyDescent="0.25">
      <c r="A24" s="64">
        <f>IF(A16="","",A16)</f>
        <v>2370</v>
      </c>
      <c r="B24" s="45" t="str">
        <f>IF(B16="","",B16)</f>
        <v>Tamarack Housing</v>
      </c>
      <c r="C24" s="46"/>
      <c r="D24" s="47" t="str">
        <f>IF(COUNTA(C24,E24,H24,I24:O24)=0,"",IF(D16="","",D16))</f>
        <v/>
      </c>
      <c r="E24" s="48"/>
      <c r="F24" s="140" t="str">
        <f t="shared" si="11"/>
        <v/>
      </c>
      <c r="G24" s="137" t="str">
        <f t="shared" si="12"/>
        <v/>
      </c>
      <c r="H24" s="128"/>
      <c r="I24" s="148"/>
      <c r="J24" s="148"/>
      <c r="K24" s="148"/>
      <c r="L24" s="148"/>
      <c r="M24" s="148"/>
      <c r="N24" s="148"/>
      <c r="O24" s="148"/>
      <c r="P24" s="144">
        <f t="shared" si="13"/>
        <v>0</v>
      </c>
      <c r="Q24" s="144" cm="1">
        <f t="array" ref="Q24">IF(OR(A24="",E24="",F24=""),0,SUMPRODUCT((tlNo=A24)*(Timeline!$H$18:$BG$18+6&gt;=E24)*(Timeline!$H$18:$BG$18&lt;=F24)*Timeline!$H$20:$BG$378))</f>
        <v>0</v>
      </c>
      <c r="R24" s="144">
        <f t="shared" si="0"/>
        <v>0</v>
      </c>
      <c r="S24" s="144">
        <f>SUMIF($I$3:$O$3,Assumptions!$A$15,$I24:$O24)*N($G24)</f>
        <v>0</v>
      </c>
      <c r="T24" s="144">
        <f>SUMIF($I$3:$O$3,Assumptions!$A$16,$I24:$O24)*N($G24)</f>
        <v>0</v>
      </c>
      <c r="U24" s="144">
        <f>SUMIF($I$3:$O$3,Assumptions!$A$17,$I24:$O24)*N($G24)</f>
        <v>0</v>
      </c>
      <c r="V24" s="144">
        <f>SUMIF($I$3:$O$3,Assumptions!$A$18,$I24:$O24)*N($G24)</f>
        <v>0</v>
      </c>
      <c r="W24" s="144">
        <f>SUMIF($I$3:$O$3,Assumptions!$A$19,$I24:$O24)*N($G24)</f>
        <v>0</v>
      </c>
      <c r="X24" s="145">
        <f>S24*Assumptions!$B$15+T24*Assumptions!$B$16+U24*Assumptions!$B$17+V24*Assumptions!$B$18+W24*Assumptions!$B$19</f>
        <v>0</v>
      </c>
      <c r="Y24" s="145" t="str">
        <f t="shared" si="14"/>
        <v/>
      </c>
      <c r="Z24" s="146" t="str">
        <f t="shared" si="15"/>
        <v/>
      </c>
      <c r="AA24" s="146">
        <f>IF(D24="Active",1,IF(D24="Prospective",IF(Assumptions!$B$6="Active only",0,Assumptions!$B$7),0))</f>
        <v>0</v>
      </c>
      <c r="AB24" s="147" t="str">
        <f t="shared" si="16"/>
        <v/>
      </c>
      <c r="AC24" s="152" t="s">
        <v>103</v>
      </c>
      <c r="AD24" s="156">
        <f t="shared" si="2"/>
        <v>0</v>
      </c>
    </row>
    <row r="25" spans="1:30" collapsed="1" x14ac:dyDescent="0.25">
      <c r="A25" s="59">
        <v>2458</v>
      </c>
      <c r="B25" s="207" t="s">
        <v>193</v>
      </c>
      <c r="C25" s="61" t="s">
        <v>129</v>
      </c>
      <c r="D25" s="62" t="s">
        <v>173</v>
      </c>
      <c r="E25" s="63" t="str">
        <f>IF(COUNT(E26:E33)=0,"",MIN(E26:E33))</f>
        <v/>
      </c>
      <c r="F25" s="63" t="str">
        <f>IF(COUNT(F26:F33)=0,"",MAX(F26:F33))</f>
        <v/>
      </c>
      <c r="G25" s="134"/>
      <c r="H25" s="125">
        <f>SUM(H26:H33)</f>
        <v>0</v>
      </c>
      <c r="I25" s="141"/>
      <c r="J25" s="141"/>
      <c r="K25" s="141"/>
      <c r="L25" s="141"/>
      <c r="M25" s="141"/>
      <c r="N25" s="141"/>
      <c r="O25" s="141"/>
      <c r="P25" s="141">
        <f>SUM(P26:P33)</f>
        <v>0</v>
      </c>
      <c r="Q25" s="141">
        <f>SUM(Q26:Q33)</f>
        <v>0</v>
      </c>
      <c r="R25" s="141">
        <f t="shared" si="0"/>
        <v>0</v>
      </c>
      <c r="S25" s="141">
        <f t="shared" ref="S25:X25" si="17">SUM(S26:S33)</f>
        <v>0</v>
      </c>
      <c r="T25" s="141">
        <f t="shared" si="17"/>
        <v>0</v>
      </c>
      <c r="U25" s="141">
        <f t="shared" si="17"/>
        <v>0</v>
      </c>
      <c r="V25" s="141">
        <f t="shared" si="17"/>
        <v>0</v>
      </c>
      <c r="W25" s="141">
        <f t="shared" si="17"/>
        <v>0</v>
      </c>
      <c r="X25" s="142">
        <f t="shared" si="17"/>
        <v>0</v>
      </c>
      <c r="Y25" s="142">
        <f>H25-X25</f>
        <v>0</v>
      </c>
      <c r="Z25" s="143" t="str">
        <f>IF(H25=0,"",X25/H25)</f>
        <v/>
      </c>
      <c r="AA25" s="143"/>
      <c r="AB25" s="40" t="str">
        <f>IF(COUNTIF(AB26:AB33,"?*")=0,"No phases yet",IF(COUNTIF(AB26:AB33,"OK")=COUNTIF(AB26:AB33,"?*"),"All OK",(COUNTIF(AB26:AB33,"?*")-COUNTIF(AB26:AB33,"OK"))&amp;" to fix"))</f>
        <v>No phases yet</v>
      </c>
      <c r="AC25" s="52" t="s">
        <v>130</v>
      </c>
      <c r="AD25" s="156">
        <f t="shared" si="2"/>
        <v>0</v>
      </c>
    </row>
    <row r="26" spans="1:30" hidden="1" outlineLevel="1" x14ac:dyDescent="0.25">
      <c r="A26" s="54">
        <f>IF(A25="","",A25)</f>
        <v>2458</v>
      </c>
      <c r="B26" s="55" t="str">
        <f>IF(B25="","",B25)</f>
        <v>Summit Ridge Village</v>
      </c>
      <c r="C26" s="56"/>
      <c r="D26" s="57" t="str">
        <f>IF(COUNTA(C26,E26,H26,I26:O26)=0,"",IF(D25="","",D25))</f>
        <v/>
      </c>
      <c r="E26" s="58"/>
      <c r="F26" s="138" t="str">
        <f t="shared" ref="F26:F33" si="18">IF(_xlfn.ISFORMULA(G26),"",IF(AND(E26&lt;&gt;"",N(G26)&gt;0),E26+7*G26-1,""))</f>
        <v/>
      </c>
      <c r="G26" s="135" t="str">
        <f t="shared" ref="G26:G33" si="19">IF(OR(E26="",F26=""),"",IF(F26&lt;E26,"",ROUNDUP((F26-E26+1)/7,0)))</f>
        <v/>
      </c>
      <c r="H26" s="126"/>
      <c r="I26" s="148"/>
      <c r="J26" s="148"/>
      <c r="K26" s="148"/>
      <c r="L26" s="148"/>
      <c r="M26" s="148"/>
      <c r="N26" s="148"/>
      <c r="O26" s="148"/>
      <c r="P26" s="144">
        <f t="shared" ref="P26:P33" si="20">SUM(I26:O26)*N(G26)</f>
        <v>0</v>
      </c>
      <c r="Q26" s="144" cm="1">
        <f t="array" ref="Q26">IF(OR(A26="",E26="",F26=""),0,SUMPRODUCT((tlNo=A26)*(Timeline!$H$18:$BG$18+6&gt;=E26)*(Timeline!$H$18:$BG$18&lt;=F26)*Timeline!$H$20:$BG$378))</f>
        <v>0</v>
      </c>
      <c r="R26" s="144">
        <f t="shared" si="0"/>
        <v>0</v>
      </c>
      <c r="S26" s="144">
        <f>SUMIF($I$3:$O$3,Assumptions!$A$15,$I26:$O26)*N($G26)</f>
        <v>0</v>
      </c>
      <c r="T26" s="144">
        <f>SUMIF($I$3:$O$3,Assumptions!$A$16,$I26:$O26)*N($G26)</f>
        <v>0</v>
      </c>
      <c r="U26" s="144">
        <f>SUMIF($I$3:$O$3,Assumptions!$A$17,$I26:$O26)*N($G26)</f>
        <v>0</v>
      </c>
      <c r="V26" s="144">
        <f>SUMIF($I$3:$O$3,Assumptions!$A$18,$I26:$O26)*N($G26)</f>
        <v>0</v>
      </c>
      <c r="W26" s="144">
        <f>SUMIF($I$3:$O$3,Assumptions!$A$19,$I26:$O26)*N($G26)</f>
        <v>0</v>
      </c>
      <c r="X26" s="145">
        <f>S26*Assumptions!$B$15+T26*Assumptions!$B$16+U26*Assumptions!$B$17+V26*Assumptions!$B$18+W26*Assumptions!$B$19</f>
        <v>0</v>
      </c>
      <c r="Y26" s="145" t="str">
        <f t="shared" ref="Y26:Y33" si="21">IF(D26="","",H26-X26)</f>
        <v/>
      </c>
      <c r="Z26" s="146" t="str">
        <f t="shared" ref="Z26:Z33" si="22">IF(OR(D26="",H26=0),"",X26/H26)</f>
        <v/>
      </c>
      <c r="AA26" s="146">
        <f>IF(D26="Active",1,IF(D26="Prospective",IF(Assumptions!$B$6="Active only",0,Assumptions!$B$7),0))</f>
        <v>0</v>
      </c>
      <c r="AB26" s="147" t="str">
        <f t="shared" ref="AB26:AB33" si="23">IF(COUNTA(C26,E26,H26,I26:O26)=0,"",IF(C26="","Select phase",IF(OR(E26="",F26=""),"Enter dates",IF(F26&lt;E26,"End before start",IF(H26="","Enter phase fee",IF(P26=0,"Enter staff hours",IF(R26&lt;0,"Over-mapped on Timeline",IF(R26&gt;0,"Map hours on Timeline","OK"))))))))</f>
        <v/>
      </c>
      <c r="AC26" s="152" t="s">
        <v>103</v>
      </c>
      <c r="AD26" s="156">
        <f t="shared" si="2"/>
        <v>0</v>
      </c>
    </row>
    <row r="27" spans="1:30" hidden="1" outlineLevel="1" x14ac:dyDescent="0.25">
      <c r="A27" s="51">
        <f>IF(A25="","",A25)</f>
        <v>2458</v>
      </c>
      <c r="B27" s="41" t="str">
        <f>IF(B25="","",B25)</f>
        <v>Summit Ridge Village</v>
      </c>
      <c r="C27" s="42"/>
      <c r="D27" s="43" t="str">
        <f>IF(COUNTA(C27,E27,H27,I27:O27)=0,"",IF(D25="","",D25))</f>
        <v/>
      </c>
      <c r="E27" s="44"/>
      <c r="F27" s="139" t="str">
        <f t="shared" si="18"/>
        <v/>
      </c>
      <c r="G27" s="136" t="str">
        <f t="shared" si="19"/>
        <v/>
      </c>
      <c r="H27" s="127"/>
      <c r="I27" s="148"/>
      <c r="J27" s="148"/>
      <c r="K27" s="148"/>
      <c r="L27" s="148"/>
      <c r="M27" s="148"/>
      <c r="N27" s="148"/>
      <c r="O27" s="148"/>
      <c r="P27" s="144">
        <f t="shared" si="20"/>
        <v>0</v>
      </c>
      <c r="Q27" s="144" cm="1">
        <f t="array" ref="Q27">IF(OR(A27="",E27="",F27=""),0,SUMPRODUCT((tlNo=A27)*(Timeline!$H$18:$BG$18+6&gt;=E27)*(Timeline!$H$18:$BG$18&lt;=F27)*Timeline!$H$20:$BG$378))</f>
        <v>0</v>
      </c>
      <c r="R27" s="144">
        <f t="shared" si="0"/>
        <v>0</v>
      </c>
      <c r="S27" s="144">
        <f>SUMIF($I$3:$O$3,Assumptions!$A$15,$I27:$O27)*N($G27)</f>
        <v>0</v>
      </c>
      <c r="T27" s="144">
        <f>SUMIF($I$3:$O$3,Assumptions!$A$16,$I27:$O27)*N($G27)</f>
        <v>0</v>
      </c>
      <c r="U27" s="144">
        <f>SUMIF($I$3:$O$3,Assumptions!$A$17,$I27:$O27)*N($G27)</f>
        <v>0</v>
      </c>
      <c r="V27" s="144">
        <f>SUMIF($I$3:$O$3,Assumptions!$A$18,$I27:$O27)*N($G27)</f>
        <v>0</v>
      </c>
      <c r="W27" s="144">
        <f>SUMIF($I$3:$O$3,Assumptions!$A$19,$I27:$O27)*N($G27)</f>
        <v>0</v>
      </c>
      <c r="X27" s="145">
        <f>S27*Assumptions!$B$15+T27*Assumptions!$B$16+U27*Assumptions!$B$17+V27*Assumptions!$B$18+W27*Assumptions!$B$19</f>
        <v>0</v>
      </c>
      <c r="Y27" s="145" t="str">
        <f t="shared" si="21"/>
        <v/>
      </c>
      <c r="Z27" s="146" t="str">
        <f t="shared" si="22"/>
        <v/>
      </c>
      <c r="AA27" s="146">
        <f>IF(D27="Active",1,IF(D27="Prospective",IF(Assumptions!$B$6="Active only",0,Assumptions!$B$7),0))</f>
        <v>0</v>
      </c>
      <c r="AB27" s="147" t="str">
        <f t="shared" si="23"/>
        <v/>
      </c>
      <c r="AC27" s="152" t="s">
        <v>103</v>
      </c>
      <c r="AD27" s="156">
        <f t="shared" si="2"/>
        <v>0</v>
      </c>
    </row>
    <row r="28" spans="1:30" hidden="1" outlineLevel="1" x14ac:dyDescent="0.25">
      <c r="A28" s="51">
        <f>IF(A25="","",A25)</f>
        <v>2458</v>
      </c>
      <c r="B28" s="41" t="str">
        <f>IF(B25="","",B25)</f>
        <v>Summit Ridge Village</v>
      </c>
      <c r="C28" s="42"/>
      <c r="D28" s="43" t="str">
        <f>IF(COUNTA(C28,E28,H28,I28:O28)=0,"",IF(D25="","",D25))</f>
        <v/>
      </c>
      <c r="E28" s="44"/>
      <c r="F28" s="139" t="str">
        <f t="shared" si="18"/>
        <v/>
      </c>
      <c r="G28" s="136" t="str">
        <f t="shared" si="19"/>
        <v/>
      </c>
      <c r="H28" s="127"/>
      <c r="I28" s="148"/>
      <c r="J28" s="148"/>
      <c r="K28" s="148"/>
      <c r="L28" s="148"/>
      <c r="M28" s="148"/>
      <c r="N28" s="148"/>
      <c r="O28" s="148"/>
      <c r="P28" s="144">
        <f t="shared" si="20"/>
        <v>0</v>
      </c>
      <c r="Q28" s="144" cm="1">
        <f t="array" ref="Q28">IF(OR(A28="",E28="",F28=""),0,SUMPRODUCT((tlNo=A28)*(Timeline!$H$18:$BG$18+6&gt;=E28)*(Timeline!$H$18:$BG$18&lt;=F28)*Timeline!$H$20:$BG$378))</f>
        <v>0</v>
      </c>
      <c r="R28" s="144">
        <f t="shared" si="0"/>
        <v>0</v>
      </c>
      <c r="S28" s="144">
        <f>SUMIF($I$3:$O$3,Assumptions!$A$15,$I28:$O28)*N($G28)</f>
        <v>0</v>
      </c>
      <c r="T28" s="144">
        <f>SUMIF($I$3:$O$3,Assumptions!$A$16,$I28:$O28)*N($G28)</f>
        <v>0</v>
      </c>
      <c r="U28" s="144">
        <f>SUMIF($I$3:$O$3,Assumptions!$A$17,$I28:$O28)*N($G28)</f>
        <v>0</v>
      </c>
      <c r="V28" s="144">
        <f>SUMIF($I$3:$O$3,Assumptions!$A$18,$I28:$O28)*N($G28)</f>
        <v>0</v>
      </c>
      <c r="W28" s="144">
        <f>SUMIF($I$3:$O$3,Assumptions!$A$19,$I28:$O28)*N($G28)</f>
        <v>0</v>
      </c>
      <c r="X28" s="145">
        <f>S28*Assumptions!$B$15+T28*Assumptions!$B$16+U28*Assumptions!$B$17+V28*Assumptions!$B$18+W28*Assumptions!$B$19</f>
        <v>0</v>
      </c>
      <c r="Y28" s="145" t="str">
        <f t="shared" si="21"/>
        <v/>
      </c>
      <c r="Z28" s="146" t="str">
        <f t="shared" si="22"/>
        <v/>
      </c>
      <c r="AA28" s="146">
        <f>IF(D28="Active",1,IF(D28="Prospective",IF(Assumptions!$B$6="Active only",0,Assumptions!$B$7),0))</f>
        <v>0</v>
      </c>
      <c r="AB28" s="147" t="str">
        <f t="shared" si="23"/>
        <v/>
      </c>
      <c r="AC28" s="152" t="s">
        <v>103</v>
      </c>
      <c r="AD28" s="156">
        <f t="shared" si="2"/>
        <v>0</v>
      </c>
    </row>
    <row r="29" spans="1:30" hidden="1" outlineLevel="1" x14ac:dyDescent="0.25">
      <c r="A29" s="51">
        <f>IF(A25="","",A25)</f>
        <v>2458</v>
      </c>
      <c r="B29" s="41" t="str">
        <f>IF(B25="","",B25)</f>
        <v>Summit Ridge Village</v>
      </c>
      <c r="C29" s="42"/>
      <c r="D29" s="43" t="str">
        <f>IF(COUNTA(C29,E29,H29,I29:O29)=0,"",IF(D25="","",D25))</f>
        <v/>
      </c>
      <c r="E29" s="44"/>
      <c r="F29" s="139" t="str">
        <f t="shared" si="18"/>
        <v/>
      </c>
      <c r="G29" s="136" t="str">
        <f t="shared" si="19"/>
        <v/>
      </c>
      <c r="H29" s="127"/>
      <c r="I29" s="148"/>
      <c r="J29" s="148"/>
      <c r="K29" s="148"/>
      <c r="L29" s="148"/>
      <c r="M29" s="148"/>
      <c r="N29" s="148"/>
      <c r="O29" s="148"/>
      <c r="P29" s="144">
        <f t="shared" si="20"/>
        <v>0</v>
      </c>
      <c r="Q29" s="144" cm="1">
        <f t="array" ref="Q29">IF(OR(A29="",E29="",F29=""),0,SUMPRODUCT((tlNo=A29)*(Timeline!$H$18:$BG$18+6&gt;=E29)*(Timeline!$H$18:$BG$18&lt;=F29)*Timeline!$H$20:$BG$378))</f>
        <v>0</v>
      </c>
      <c r="R29" s="144">
        <f t="shared" si="0"/>
        <v>0</v>
      </c>
      <c r="S29" s="144">
        <f>SUMIF($I$3:$O$3,Assumptions!$A$15,$I29:$O29)*N($G29)</f>
        <v>0</v>
      </c>
      <c r="T29" s="144">
        <f>SUMIF($I$3:$O$3,Assumptions!$A$16,$I29:$O29)*N($G29)</f>
        <v>0</v>
      </c>
      <c r="U29" s="144">
        <f>SUMIF($I$3:$O$3,Assumptions!$A$17,$I29:$O29)*N($G29)</f>
        <v>0</v>
      </c>
      <c r="V29" s="144">
        <f>SUMIF($I$3:$O$3,Assumptions!$A$18,$I29:$O29)*N($G29)</f>
        <v>0</v>
      </c>
      <c r="W29" s="144">
        <f>SUMIF($I$3:$O$3,Assumptions!$A$19,$I29:$O29)*N($G29)</f>
        <v>0</v>
      </c>
      <c r="X29" s="145">
        <f>S29*Assumptions!$B$15+T29*Assumptions!$B$16+U29*Assumptions!$B$17+V29*Assumptions!$B$18+W29*Assumptions!$B$19</f>
        <v>0</v>
      </c>
      <c r="Y29" s="145" t="str">
        <f t="shared" si="21"/>
        <v/>
      </c>
      <c r="Z29" s="146" t="str">
        <f t="shared" si="22"/>
        <v/>
      </c>
      <c r="AA29" s="146">
        <f>IF(D29="Active",1,IF(D29="Prospective",IF(Assumptions!$B$6="Active only",0,Assumptions!$B$7),0))</f>
        <v>0</v>
      </c>
      <c r="AB29" s="147" t="str">
        <f t="shared" si="23"/>
        <v/>
      </c>
      <c r="AC29" s="152" t="s">
        <v>103</v>
      </c>
      <c r="AD29" s="156">
        <f t="shared" si="2"/>
        <v>0</v>
      </c>
    </row>
    <row r="30" spans="1:30" hidden="1" outlineLevel="1" x14ac:dyDescent="0.25">
      <c r="A30" s="51">
        <f>IF(A25="","",A25)</f>
        <v>2458</v>
      </c>
      <c r="B30" s="41" t="str">
        <f>IF(B25="","",B25)</f>
        <v>Summit Ridge Village</v>
      </c>
      <c r="C30" s="42"/>
      <c r="D30" s="43" t="str">
        <f>IF(COUNTA(C30,E30,H30,I30:O30)=0,"",IF(D25="","",D25))</f>
        <v/>
      </c>
      <c r="E30" s="44"/>
      <c r="F30" s="139" t="str">
        <f t="shared" si="18"/>
        <v/>
      </c>
      <c r="G30" s="136" t="str">
        <f t="shared" si="19"/>
        <v/>
      </c>
      <c r="H30" s="127"/>
      <c r="I30" s="148"/>
      <c r="J30" s="148"/>
      <c r="K30" s="148"/>
      <c r="L30" s="148"/>
      <c r="M30" s="148"/>
      <c r="N30" s="148"/>
      <c r="O30" s="148"/>
      <c r="P30" s="144">
        <f t="shared" si="20"/>
        <v>0</v>
      </c>
      <c r="Q30" s="144" cm="1">
        <f t="array" ref="Q30">IF(OR(A30="",E30="",F30=""),0,SUMPRODUCT((tlNo=A30)*(Timeline!$H$18:$BG$18+6&gt;=E30)*(Timeline!$H$18:$BG$18&lt;=F30)*Timeline!$H$20:$BG$378))</f>
        <v>0</v>
      </c>
      <c r="R30" s="144">
        <f t="shared" si="0"/>
        <v>0</v>
      </c>
      <c r="S30" s="144">
        <f>SUMIF($I$3:$O$3,Assumptions!$A$15,$I30:$O30)*N($G30)</f>
        <v>0</v>
      </c>
      <c r="T30" s="144">
        <f>SUMIF($I$3:$O$3,Assumptions!$A$16,$I30:$O30)*N($G30)</f>
        <v>0</v>
      </c>
      <c r="U30" s="144">
        <f>SUMIF($I$3:$O$3,Assumptions!$A$17,$I30:$O30)*N($G30)</f>
        <v>0</v>
      </c>
      <c r="V30" s="144">
        <f>SUMIF($I$3:$O$3,Assumptions!$A$18,$I30:$O30)*N($G30)</f>
        <v>0</v>
      </c>
      <c r="W30" s="144">
        <f>SUMIF($I$3:$O$3,Assumptions!$A$19,$I30:$O30)*N($G30)</f>
        <v>0</v>
      </c>
      <c r="X30" s="145">
        <f>S30*Assumptions!$B$15+T30*Assumptions!$B$16+U30*Assumptions!$B$17+V30*Assumptions!$B$18+W30*Assumptions!$B$19</f>
        <v>0</v>
      </c>
      <c r="Y30" s="145" t="str">
        <f t="shared" si="21"/>
        <v/>
      </c>
      <c r="Z30" s="146" t="str">
        <f t="shared" si="22"/>
        <v/>
      </c>
      <c r="AA30" s="146">
        <f>IF(D30="Active",1,IF(D30="Prospective",IF(Assumptions!$B$6="Active only",0,Assumptions!$B$7),0))</f>
        <v>0</v>
      </c>
      <c r="AB30" s="147" t="str">
        <f t="shared" si="23"/>
        <v/>
      </c>
      <c r="AC30" s="152" t="s">
        <v>103</v>
      </c>
      <c r="AD30" s="156">
        <f t="shared" si="2"/>
        <v>0</v>
      </c>
    </row>
    <row r="31" spans="1:30" hidden="1" outlineLevel="1" x14ac:dyDescent="0.25">
      <c r="A31" s="51">
        <f>IF(A25="","",A25)</f>
        <v>2458</v>
      </c>
      <c r="B31" s="41" t="str">
        <f>IF(B25="","",B25)</f>
        <v>Summit Ridge Village</v>
      </c>
      <c r="C31" s="42"/>
      <c r="D31" s="43" t="str">
        <f>IF(COUNTA(C31,E31,H31,I31:O31)=0,"",IF(D25="","",D25))</f>
        <v/>
      </c>
      <c r="E31" s="44"/>
      <c r="F31" s="139" t="str">
        <f t="shared" si="18"/>
        <v/>
      </c>
      <c r="G31" s="136" t="str">
        <f t="shared" si="19"/>
        <v/>
      </c>
      <c r="H31" s="127"/>
      <c r="I31" s="148"/>
      <c r="J31" s="148"/>
      <c r="K31" s="148"/>
      <c r="L31" s="148"/>
      <c r="M31" s="148"/>
      <c r="N31" s="148"/>
      <c r="O31" s="148"/>
      <c r="P31" s="144">
        <f t="shared" si="20"/>
        <v>0</v>
      </c>
      <c r="Q31" s="144" cm="1">
        <f t="array" ref="Q31">IF(OR(A31="",E31="",F31=""),0,SUMPRODUCT((tlNo=A31)*(Timeline!$H$18:$BG$18+6&gt;=E31)*(Timeline!$H$18:$BG$18&lt;=F31)*Timeline!$H$20:$BG$378))</f>
        <v>0</v>
      </c>
      <c r="R31" s="144">
        <f t="shared" si="0"/>
        <v>0</v>
      </c>
      <c r="S31" s="144">
        <f>SUMIF($I$3:$O$3,Assumptions!$A$15,$I31:$O31)*N($G31)</f>
        <v>0</v>
      </c>
      <c r="T31" s="144">
        <f>SUMIF($I$3:$O$3,Assumptions!$A$16,$I31:$O31)*N($G31)</f>
        <v>0</v>
      </c>
      <c r="U31" s="144">
        <f>SUMIF($I$3:$O$3,Assumptions!$A$17,$I31:$O31)*N($G31)</f>
        <v>0</v>
      </c>
      <c r="V31" s="144">
        <f>SUMIF($I$3:$O$3,Assumptions!$A$18,$I31:$O31)*N($G31)</f>
        <v>0</v>
      </c>
      <c r="W31" s="144">
        <f>SUMIF($I$3:$O$3,Assumptions!$A$19,$I31:$O31)*N($G31)</f>
        <v>0</v>
      </c>
      <c r="X31" s="145">
        <f>S31*Assumptions!$B$15+T31*Assumptions!$B$16+U31*Assumptions!$B$17+V31*Assumptions!$B$18+W31*Assumptions!$B$19</f>
        <v>0</v>
      </c>
      <c r="Y31" s="145" t="str">
        <f t="shared" si="21"/>
        <v/>
      </c>
      <c r="Z31" s="146" t="str">
        <f t="shared" si="22"/>
        <v/>
      </c>
      <c r="AA31" s="146">
        <f>IF(D31="Active",1,IF(D31="Prospective",IF(Assumptions!$B$6="Active only",0,Assumptions!$B$7),0))</f>
        <v>0</v>
      </c>
      <c r="AB31" s="147" t="str">
        <f t="shared" si="23"/>
        <v/>
      </c>
      <c r="AC31" s="152" t="s">
        <v>103</v>
      </c>
      <c r="AD31" s="156">
        <f t="shared" si="2"/>
        <v>0</v>
      </c>
    </row>
    <row r="32" spans="1:30" hidden="1" outlineLevel="1" x14ac:dyDescent="0.25">
      <c r="A32" s="51">
        <f>IF(A25="","",A25)</f>
        <v>2458</v>
      </c>
      <c r="B32" s="41" t="str">
        <f>IF(B25="","",B25)</f>
        <v>Summit Ridge Village</v>
      </c>
      <c r="C32" s="42"/>
      <c r="D32" s="43" t="str">
        <f>IF(COUNTA(C32,E32,H32,I32:O32)=0,"",IF(D25="","",D25))</f>
        <v/>
      </c>
      <c r="E32" s="44"/>
      <c r="F32" s="139" t="str">
        <f t="shared" si="18"/>
        <v/>
      </c>
      <c r="G32" s="136" t="str">
        <f t="shared" si="19"/>
        <v/>
      </c>
      <c r="H32" s="127"/>
      <c r="I32" s="148"/>
      <c r="J32" s="148"/>
      <c r="K32" s="148"/>
      <c r="L32" s="148"/>
      <c r="M32" s="148"/>
      <c r="N32" s="148"/>
      <c r="O32" s="148"/>
      <c r="P32" s="144">
        <f t="shared" si="20"/>
        <v>0</v>
      </c>
      <c r="Q32" s="144" cm="1">
        <f t="array" ref="Q32">IF(OR(A32="",E32="",F32=""),0,SUMPRODUCT((tlNo=A32)*(Timeline!$H$18:$BG$18+6&gt;=E32)*(Timeline!$H$18:$BG$18&lt;=F32)*Timeline!$H$20:$BG$378))</f>
        <v>0</v>
      </c>
      <c r="R32" s="144">
        <f t="shared" si="0"/>
        <v>0</v>
      </c>
      <c r="S32" s="144">
        <f>SUMIF($I$3:$O$3,Assumptions!$A$15,$I32:$O32)*N($G32)</f>
        <v>0</v>
      </c>
      <c r="T32" s="144">
        <f>SUMIF($I$3:$O$3,Assumptions!$A$16,$I32:$O32)*N($G32)</f>
        <v>0</v>
      </c>
      <c r="U32" s="144">
        <f>SUMIF($I$3:$O$3,Assumptions!$A$17,$I32:$O32)*N($G32)</f>
        <v>0</v>
      </c>
      <c r="V32" s="144">
        <f>SUMIF($I$3:$O$3,Assumptions!$A$18,$I32:$O32)*N($G32)</f>
        <v>0</v>
      </c>
      <c r="W32" s="144">
        <f>SUMIF($I$3:$O$3,Assumptions!$A$19,$I32:$O32)*N($G32)</f>
        <v>0</v>
      </c>
      <c r="X32" s="145">
        <f>S32*Assumptions!$B$15+T32*Assumptions!$B$16+U32*Assumptions!$B$17+V32*Assumptions!$B$18+W32*Assumptions!$B$19</f>
        <v>0</v>
      </c>
      <c r="Y32" s="145" t="str">
        <f t="shared" si="21"/>
        <v/>
      </c>
      <c r="Z32" s="146" t="str">
        <f t="shared" si="22"/>
        <v/>
      </c>
      <c r="AA32" s="146">
        <f>IF(D32="Active",1,IF(D32="Prospective",IF(Assumptions!$B$6="Active only",0,Assumptions!$B$7),0))</f>
        <v>0</v>
      </c>
      <c r="AB32" s="147" t="str">
        <f t="shared" si="23"/>
        <v/>
      </c>
      <c r="AC32" s="152" t="s">
        <v>103</v>
      </c>
      <c r="AD32" s="156">
        <f t="shared" si="2"/>
        <v>0</v>
      </c>
    </row>
    <row r="33" spans="1:30" hidden="1" outlineLevel="1" x14ac:dyDescent="0.25">
      <c r="A33" s="64">
        <f>IF(A25="","",A25)</f>
        <v>2458</v>
      </c>
      <c r="B33" s="45" t="str">
        <f>IF(B25="","",B25)</f>
        <v>Summit Ridge Village</v>
      </c>
      <c r="C33" s="46"/>
      <c r="D33" s="47" t="str">
        <f>IF(COUNTA(C33,E33,H33,I33:O33)=0,"",IF(D25="","",D25))</f>
        <v/>
      </c>
      <c r="E33" s="48"/>
      <c r="F33" s="140" t="str">
        <f t="shared" si="18"/>
        <v/>
      </c>
      <c r="G33" s="137" t="str">
        <f t="shared" si="19"/>
        <v/>
      </c>
      <c r="H33" s="128"/>
      <c r="I33" s="148"/>
      <c r="J33" s="148"/>
      <c r="K33" s="148"/>
      <c r="L33" s="148"/>
      <c r="M33" s="148"/>
      <c r="N33" s="148"/>
      <c r="O33" s="148"/>
      <c r="P33" s="144">
        <f t="shared" si="20"/>
        <v>0</v>
      </c>
      <c r="Q33" s="144" cm="1">
        <f t="array" ref="Q33">IF(OR(A33="",E33="",F33=""),0,SUMPRODUCT((tlNo=A33)*(Timeline!$H$18:$BG$18+6&gt;=E33)*(Timeline!$H$18:$BG$18&lt;=F33)*Timeline!$H$20:$BG$378))</f>
        <v>0</v>
      </c>
      <c r="R33" s="144">
        <f t="shared" si="0"/>
        <v>0</v>
      </c>
      <c r="S33" s="144">
        <f>SUMIF($I$3:$O$3,Assumptions!$A$15,$I33:$O33)*N($G33)</f>
        <v>0</v>
      </c>
      <c r="T33" s="144">
        <f>SUMIF($I$3:$O$3,Assumptions!$A$16,$I33:$O33)*N($G33)</f>
        <v>0</v>
      </c>
      <c r="U33" s="144">
        <f>SUMIF($I$3:$O$3,Assumptions!$A$17,$I33:$O33)*N($G33)</f>
        <v>0</v>
      </c>
      <c r="V33" s="144">
        <f>SUMIF($I$3:$O$3,Assumptions!$A$18,$I33:$O33)*N($G33)</f>
        <v>0</v>
      </c>
      <c r="W33" s="144">
        <f>SUMIF($I$3:$O$3,Assumptions!$A$19,$I33:$O33)*N($G33)</f>
        <v>0</v>
      </c>
      <c r="X33" s="145">
        <f>S33*Assumptions!$B$15+T33*Assumptions!$B$16+U33*Assumptions!$B$17+V33*Assumptions!$B$18+W33*Assumptions!$B$19</f>
        <v>0</v>
      </c>
      <c r="Y33" s="145" t="str">
        <f t="shared" si="21"/>
        <v/>
      </c>
      <c r="Z33" s="146" t="str">
        <f t="shared" si="22"/>
        <v/>
      </c>
      <c r="AA33" s="146">
        <f>IF(D33="Active",1,IF(D33="Prospective",IF(Assumptions!$B$6="Active only",0,Assumptions!$B$7),0))</f>
        <v>0</v>
      </c>
      <c r="AB33" s="147" t="str">
        <f t="shared" si="23"/>
        <v/>
      </c>
      <c r="AC33" s="152" t="s">
        <v>103</v>
      </c>
      <c r="AD33" s="156">
        <f t="shared" si="2"/>
        <v>0</v>
      </c>
    </row>
    <row r="34" spans="1:30" collapsed="1" x14ac:dyDescent="0.25">
      <c r="A34" s="59">
        <v>2469</v>
      </c>
      <c r="B34" s="207" t="s">
        <v>194</v>
      </c>
      <c r="C34" s="61" t="s">
        <v>129</v>
      </c>
      <c r="D34" s="62" t="s">
        <v>33</v>
      </c>
      <c r="E34" s="63" t="str">
        <f>IF(COUNT(E35:E42)=0,"",MIN(E35:E42))</f>
        <v/>
      </c>
      <c r="F34" s="63" t="str">
        <f>IF(COUNT(F35:F42)=0,"",MAX(F35:F42))</f>
        <v/>
      </c>
      <c r="G34" s="134"/>
      <c r="H34" s="125">
        <f>SUM(H35:H42)</f>
        <v>0</v>
      </c>
      <c r="I34" s="141"/>
      <c r="J34" s="141"/>
      <c r="K34" s="141"/>
      <c r="L34" s="141"/>
      <c r="M34" s="141"/>
      <c r="N34" s="141"/>
      <c r="O34" s="141"/>
      <c r="P34" s="141">
        <f>SUM(P35:P42)</f>
        <v>0</v>
      </c>
      <c r="Q34" s="141">
        <f>SUM(Q35:Q42)</f>
        <v>0</v>
      </c>
      <c r="R34" s="141">
        <f t="shared" si="0"/>
        <v>0</v>
      </c>
      <c r="S34" s="141">
        <f t="shared" ref="S34:X34" si="24">SUM(S35:S42)</f>
        <v>0</v>
      </c>
      <c r="T34" s="141">
        <f t="shared" si="24"/>
        <v>0</v>
      </c>
      <c r="U34" s="141">
        <f t="shared" si="24"/>
        <v>0</v>
      </c>
      <c r="V34" s="141">
        <f t="shared" si="24"/>
        <v>0</v>
      </c>
      <c r="W34" s="141">
        <f t="shared" si="24"/>
        <v>0</v>
      </c>
      <c r="X34" s="142">
        <f t="shared" si="24"/>
        <v>0</v>
      </c>
      <c r="Y34" s="142">
        <f>H34-X34</f>
        <v>0</v>
      </c>
      <c r="Z34" s="143" t="str">
        <f>IF(H34=0,"",X34/H34)</f>
        <v/>
      </c>
      <c r="AA34" s="143"/>
      <c r="AB34" s="40" t="str">
        <f>IF(COUNTIF(AB35:AB42,"?*")=0,"No phases yet",IF(COUNTIF(AB35:AB42,"OK")=COUNTIF(AB35:AB42,"?*"),"All OK",(COUNTIF(AB35:AB42,"?*")-COUNTIF(AB35:AB42,"OK"))&amp;" to fix"))</f>
        <v>No phases yet</v>
      </c>
      <c r="AC34" s="52" t="s">
        <v>130</v>
      </c>
      <c r="AD34" s="156">
        <f t="shared" si="2"/>
        <v>0</v>
      </c>
    </row>
    <row r="35" spans="1:30" hidden="1" outlineLevel="1" x14ac:dyDescent="0.25">
      <c r="A35" s="54">
        <f>IF(A34="","",A34)</f>
        <v>2469</v>
      </c>
      <c r="B35" s="55" t="str">
        <f>IF(B34="","",B34)</f>
        <v>Fairhaven Village</v>
      </c>
      <c r="C35" s="56"/>
      <c r="D35" s="57" t="str">
        <f>IF(COUNTA(C35,E35,H35,I35:O35)=0,"",IF(D34="","",D34))</f>
        <v/>
      </c>
      <c r="E35" s="58"/>
      <c r="F35" s="138" t="str">
        <f t="shared" ref="F35:F42" si="25">IF(_xlfn.ISFORMULA(G35),"",IF(AND(E35&lt;&gt;"",N(G35)&gt;0),E35+7*G35-1,""))</f>
        <v/>
      </c>
      <c r="G35" s="135" t="str">
        <f t="shared" ref="G35:G42" si="26">IF(OR(E35="",F35=""),"",IF(F35&lt;E35,"",ROUNDUP((F35-E35+1)/7,0)))</f>
        <v/>
      </c>
      <c r="H35" s="126"/>
      <c r="I35" s="148"/>
      <c r="J35" s="148"/>
      <c r="K35" s="148"/>
      <c r="L35" s="148"/>
      <c r="M35" s="148"/>
      <c r="N35" s="148"/>
      <c r="O35" s="148"/>
      <c r="P35" s="144">
        <f t="shared" ref="P35:P42" si="27">SUM(I35:O35)*N(G35)</f>
        <v>0</v>
      </c>
      <c r="Q35" s="144" cm="1">
        <f t="array" ref="Q35">IF(OR(A35="",E35="",F35=""),0,SUMPRODUCT((tlNo=A35)*(Timeline!$H$18:$BG$18+6&gt;=E35)*(Timeline!$H$18:$BG$18&lt;=F35)*Timeline!$H$20:$BG$378))</f>
        <v>0</v>
      </c>
      <c r="R35" s="144">
        <f t="shared" si="0"/>
        <v>0</v>
      </c>
      <c r="S35" s="144">
        <f>SUMIF($I$3:$O$3,Assumptions!$A$15,$I35:$O35)*N($G35)</f>
        <v>0</v>
      </c>
      <c r="T35" s="144">
        <f>SUMIF($I$3:$O$3,Assumptions!$A$16,$I35:$O35)*N($G35)</f>
        <v>0</v>
      </c>
      <c r="U35" s="144">
        <f>SUMIF($I$3:$O$3,Assumptions!$A$17,$I35:$O35)*N($G35)</f>
        <v>0</v>
      </c>
      <c r="V35" s="144">
        <f>SUMIF($I$3:$O$3,Assumptions!$A$18,$I35:$O35)*N($G35)</f>
        <v>0</v>
      </c>
      <c r="W35" s="144">
        <f>SUMIF($I$3:$O$3,Assumptions!$A$19,$I35:$O35)*N($G35)</f>
        <v>0</v>
      </c>
      <c r="X35" s="145">
        <f>S35*Assumptions!$B$15+T35*Assumptions!$B$16+U35*Assumptions!$B$17+V35*Assumptions!$B$18+W35*Assumptions!$B$19</f>
        <v>0</v>
      </c>
      <c r="Y35" s="145" t="str">
        <f t="shared" ref="Y35:Y42" si="28">IF(D35="","",H35-X35)</f>
        <v/>
      </c>
      <c r="Z35" s="146" t="str">
        <f t="shared" ref="Z35:Z42" si="29">IF(OR(D35="",H35=0),"",X35/H35)</f>
        <v/>
      </c>
      <c r="AA35" s="146">
        <f>IF(D35="Active",1,IF(D35="Prospective",IF(Assumptions!$B$6="Active only",0,Assumptions!$B$7),0))</f>
        <v>0</v>
      </c>
      <c r="AB35" s="147" t="str">
        <f t="shared" ref="AB35:AB42" si="30">IF(COUNTA(C35,E35,H35,I35:O35)=0,"",IF(C35="","Select phase",IF(OR(E35="",F35=""),"Enter dates",IF(F35&lt;E35,"End before start",IF(H35="","Enter phase fee",IF(P35=0,"Enter staff hours",IF(R35&lt;0,"Over-mapped on Timeline",IF(R35&gt;0,"Map hours on Timeline","OK"))))))))</f>
        <v/>
      </c>
      <c r="AC35" s="152" t="s">
        <v>103</v>
      </c>
      <c r="AD35" s="156">
        <f t="shared" si="2"/>
        <v>0</v>
      </c>
    </row>
    <row r="36" spans="1:30" hidden="1" outlineLevel="1" x14ac:dyDescent="0.25">
      <c r="A36" s="51">
        <f>IF(A34="","",A34)</f>
        <v>2469</v>
      </c>
      <c r="B36" s="41" t="str">
        <f>IF(B34="","",B34)</f>
        <v>Fairhaven Village</v>
      </c>
      <c r="C36" s="42"/>
      <c r="D36" s="43" t="str">
        <f>IF(COUNTA(C36,E36,H36,I36:O36)=0,"",IF(D34="","",D34))</f>
        <v/>
      </c>
      <c r="E36" s="44"/>
      <c r="F36" s="139" t="str">
        <f t="shared" si="25"/>
        <v/>
      </c>
      <c r="G36" s="136" t="str">
        <f t="shared" si="26"/>
        <v/>
      </c>
      <c r="H36" s="127"/>
      <c r="I36" s="148"/>
      <c r="J36" s="148"/>
      <c r="K36" s="148"/>
      <c r="L36" s="148"/>
      <c r="M36" s="148"/>
      <c r="N36" s="148"/>
      <c r="O36" s="148"/>
      <c r="P36" s="144">
        <f t="shared" si="27"/>
        <v>0</v>
      </c>
      <c r="Q36" s="144" cm="1">
        <f t="array" ref="Q36">IF(OR(A36="",E36="",F36=""),0,SUMPRODUCT((tlNo=A36)*(Timeline!$H$18:$BG$18+6&gt;=E36)*(Timeline!$H$18:$BG$18&lt;=F36)*Timeline!$H$20:$BG$378))</f>
        <v>0</v>
      </c>
      <c r="R36" s="144">
        <f t="shared" si="0"/>
        <v>0</v>
      </c>
      <c r="S36" s="144">
        <f>SUMIF($I$3:$O$3,Assumptions!$A$15,$I36:$O36)*N($G36)</f>
        <v>0</v>
      </c>
      <c r="T36" s="144">
        <f>SUMIF($I$3:$O$3,Assumptions!$A$16,$I36:$O36)*N($G36)</f>
        <v>0</v>
      </c>
      <c r="U36" s="144">
        <f>SUMIF($I$3:$O$3,Assumptions!$A$17,$I36:$O36)*N($G36)</f>
        <v>0</v>
      </c>
      <c r="V36" s="144">
        <f>SUMIF($I$3:$O$3,Assumptions!$A$18,$I36:$O36)*N($G36)</f>
        <v>0</v>
      </c>
      <c r="W36" s="144">
        <f>SUMIF($I$3:$O$3,Assumptions!$A$19,$I36:$O36)*N($G36)</f>
        <v>0</v>
      </c>
      <c r="X36" s="145">
        <f>S36*Assumptions!$B$15+T36*Assumptions!$B$16+U36*Assumptions!$B$17+V36*Assumptions!$B$18+W36*Assumptions!$B$19</f>
        <v>0</v>
      </c>
      <c r="Y36" s="145" t="str">
        <f t="shared" si="28"/>
        <v/>
      </c>
      <c r="Z36" s="146" t="str">
        <f t="shared" si="29"/>
        <v/>
      </c>
      <c r="AA36" s="146">
        <f>IF(D36="Active",1,IF(D36="Prospective",IF(Assumptions!$B$6="Active only",0,Assumptions!$B$7),0))</f>
        <v>0</v>
      </c>
      <c r="AB36" s="147" t="str">
        <f t="shared" si="30"/>
        <v/>
      </c>
      <c r="AC36" s="152" t="s">
        <v>103</v>
      </c>
      <c r="AD36" s="156">
        <f t="shared" si="2"/>
        <v>0</v>
      </c>
    </row>
    <row r="37" spans="1:30" hidden="1" outlineLevel="1" x14ac:dyDescent="0.25">
      <c r="A37" s="51">
        <f>IF(A34="","",A34)</f>
        <v>2469</v>
      </c>
      <c r="B37" s="41" t="str">
        <f>IF(B34="","",B34)</f>
        <v>Fairhaven Village</v>
      </c>
      <c r="C37" s="42"/>
      <c r="D37" s="43" t="str">
        <f>IF(COUNTA(C37,E37,H37,I37:O37)=0,"",IF(D34="","",D34))</f>
        <v/>
      </c>
      <c r="E37" s="44"/>
      <c r="F37" s="139" t="str">
        <f t="shared" si="25"/>
        <v/>
      </c>
      <c r="G37" s="136" t="str">
        <f t="shared" si="26"/>
        <v/>
      </c>
      <c r="H37" s="127"/>
      <c r="I37" s="148"/>
      <c r="J37" s="148"/>
      <c r="K37" s="148"/>
      <c r="L37" s="148"/>
      <c r="M37" s="148"/>
      <c r="N37" s="148"/>
      <c r="O37" s="148"/>
      <c r="P37" s="144">
        <f t="shared" si="27"/>
        <v>0</v>
      </c>
      <c r="Q37" s="144" cm="1">
        <f t="array" ref="Q37">IF(OR(A37="",E37="",F37=""),0,SUMPRODUCT((tlNo=A37)*(Timeline!$H$18:$BG$18+6&gt;=E37)*(Timeline!$H$18:$BG$18&lt;=F37)*Timeline!$H$20:$BG$378))</f>
        <v>0</v>
      </c>
      <c r="R37" s="144">
        <f t="shared" si="0"/>
        <v>0</v>
      </c>
      <c r="S37" s="144">
        <f>SUMIF($I$3:$O$3,Assumptions!$A$15,$I37:$O37)*N($G37)</f>
        <v>0</v>
      </c>
      <c r="T37" s="144">
        <f>SUMIF($I$3:$O$3,Assumptions!$A$16,$I37:$O37)*N($G37)</f>
        <v>0</v>
      </c>
      <c r="U37" s="144">
        <f>SUMIF($I$3:$O$3,Assumptions!$A$17,$I37:$O37)*N($G37)</f>
        <v>0</v>
      </c>
      <c r="V37" s="144">
        <f>SUMIF($I$3:$O$3,Assumptions!$A$18,$I37:$O37)*N($G37)</f>
        <v>0</v>
      </c>
      <c r="W37" s="144">
        <f>SUMIF($I$3:$O$3,Assumptions!$A$19,$I37:$O37)*N($G37)</f>
        <v>0</v>
      </c>
      <c r="X37" s="145">
        <f>S37*Assumptions!$B$15+T37*Assumptions!$B$16+U37*Assumptions!$B$17+V37*Assumptions!$B$18+W37*Assumptions!$B$19</f>
        <v>0</v>
      </c>
      <c r="Y37" s="145" t="str">
        <f t="shared" si="28"/>
        <v/>
      </c>
      <c r="Z37" s="146" t="str">
        <f t="shared" si="29"/>
        <v/>
      </c>
      <c r="AA37" s="146">
        <f>IF(D37="Active",1,IF(D37="Prospective",IF(Assumptions!$B$6="Active only",0,Assumptions!$B$7),0))</f>
        <v>0</v>
      </c>
      <c r="AB37" s="147" t="str">
        <f t="shared" si="30"/>
        <v/>
      </c>
      <c r="AC37" s="152" t="s">
        <v>103</v>
      </c>
      <c r="AD37" s="156">
        <f t="shared" si="2"/>
        <v>0</v>
      </c>
    </row>
    <row r="38" spans="1:30" hidden="1" outlineLevel="1" x14ac:dyDescent="0.25">
      <c r="A38" s="51">
        <f>IF(A34="","",A34)</f>
        <v>2469</v>
      </c>
      <c r="B38" s="41" t="str">
        <f>IF(B34="","",B34)</f>
        <v>Fairhaven Village</v>
      </c>
      <c r="C38" s="42"/>
      <c r="D38" s="43" t="str">
        <f>IF(COUNTA(C38,E38,H38,I38:O38)=0,"",IF(D34="","",D34))</f>
        <v/>
      </c>
      <c r="E38" s="44"/>
      <c r="F38" s="139" t="str">
        <f t="shared" si="25"/>
        <v/>
      </c>
      <c r="G38" s="136" t="str">
        <f t="shared" si="26"/>
        <v/>
      </c>
      <c r="H38" s="127"/>
      <c r="I38" s="148"/>
      <c r="J38" s="148"/>
      <c r="K38" s="148"/>
      <c r="L38" s="148"/>
      <c r="M38" s="148"/>
      <c r="N38" s="148"/>
      <c r="O38" s="148"/>
      <c r="P38" s="144">
        <f t="shared" si="27"/>
        <v>0</v>
      </c>
      <c r="Q38" s="144" cm="1">
        <f t="array" ref="Q38">IF(OR(A38="",E38="",F38=""),0,SUMPRODUCT((tlNo=A38)*(Timeline!$H$18:$BG$18+6&gt;=E38)*(Timeline!$H$18:$BG$18&lt;=F38)*Timeline!$H$20:$BG$378))</f>
        <v>0</v>
      </c>
      <c r="R38" s="144">
        <f t="shared" si="0"/>
        <v>0</v>
      </c>
      <c r="S38" s="144">
        <f>SUMIF($I$3:$O$3,Assumptions!$A$15,$I38:$O38)*N($G38)</f>
        <v>0</v>
      </c>
      <c r="T38" s="144">
        <f>SUMIF($I$3:$O$3,Assumptions!$A$16,$I38:$O38)*N($G38)</f>
        <v>0</v>
      </c>
      <c r="U38" s="144">
        <f>SUMIF($I$3:$O$3,Assumptions!$A$17,$I38:$O38)*N($G38)</f>
        <v>0</v>
      </c>
      <c r="V38" s="144">
        <f>SUMIF($I$3:$O$3,Assumptions!$A$18,$I38:$O38)*N($G38)</f>
        <v>0</v>
      </c>
      <c r="W38" s="144">
        <f>SUMIF($I$3:$O$3,Assumptions!$A$19,$I38:$O38)*N($G38)</f>
        <v>0</v>
      </c>
      <c r="X38" s="145">
        <f>S38*Assumptions!$B$15+T38*Assumptions!$B$16+U38*Assumptions!$B$17+V38*Assumptions!$B$18+W38*Assumptions!$B$19</f>
        <v>0</v>
      </c>
      <c r="Y38" s="145" t="str">
        <f t="shared" si="28"/>
        <v/>
      </c>
      <c r="Z38" s="146" t="str">
        <f t="shared" si="29"/>
        <v/>
      </c>
      <c r="AA38" s="146">
        <f>IF(D38="Active",1,IF(D38="Prospective",IF(Assumptions!$B$6="Active only",0,Assumptions!$B$7),0))</f>
        <v>0</v>
      </c>
      <c r="AB38" s="147" t="str">
        <f t="shared" si="30"/>
        <v/>
      </c>
      <c r="AC38" s="152" t="s">
        <v>103</v>
      </c>
      <c r="AD38" s="156">
        <f t="shared" si="2"/>
        <v>0</v>
      </c>
    </row>
    <row r="39" spans="1:30" hidden="1" outlineLevel="1" x14ac:dyDescent="0.25">
      <c r="A39" s="51">
        <f>IF(A34="","",A34)</f>
        <v>2469</v>
      </c>
      <c r="B39" s="41" t="str">
        <f>IF(B34="","",B34)</f>
        <v>Fairhaven Village</v>
      </c>
      <c r="C39" s="42"/>
      <c r="D39" s="43" t="str">
        <f>IF(COUNTA(C39,E39,H39,I39:O39)=0,"",IF(D34="","",D34))</f>
        <v/>
      </c>
      <c r="E39" s="44"/>
      <c r="F39" s="139" t="str">
        <f t="shared" si="25"/>
        <v/>
      </c>
      <c r="G39" s="136" t="str">
        <f t="shared" si="26"/>
        <v/>
      </c>
      <c r="H39" s="127"/>
      <c r="I39" s="148"/>
      <c r="J39" s="148"/>
      <c r="K39" s="148"/>
      <c r="L39" s="148"/>
      <c r="M39" s="148"/>
      <c r="N39" s="148"/>
      <c r="O39" s="148"/>
      <c r="P39" s="144">
        <f t="shared" si="27"/>
        <v>0</v>
      </c>
      <c r="Q39" s="144" cm="1">
        <f t="array" ref="Q39">IF(OR(A39="",E39="",F39=""),0,SUMPRODUCT((tlNo=A39)*(Timeline!$H$18:$BG$18+6&gt;=E39)*(Timeline!$H$18:$BG$18&lt;=F39)*Timeline!$H$20:$BG$378))</f>
        <v>0</v>
      </c>
      <c r="R39" s="144">
        <f t="shared" si="0"/>
        <v>0</v>
      </c>
      <c r="S39" s="144">
        <f>SUMIF($I$3:$O$3,Assumptions!$A$15,$I39:$O39)*N($G39)</f>
        <v>0</v>
      </c>
      <c r="T39" s="144">
        <f>SUMIF($I$3:$O$3,Assumptions!$A$16,$I39:$O39)*N($G39)</f>
        <v>0</v>
      </c>
      <c r="U39" s="144">
        <f>SUMIF($I$3:$O$3,Assumptions!$A$17,$I39:$O39)*N($G39)</f>
        <v>0</v>
      </c>
      <c r="V39" s="144">
        <f>SUMIF($I$3:$O$3,Assumptions!$A$18,$I39:$O39)*N($G39)</f>
        <v>0</v>
      </c>
      <c r="W39" s="144">
        <f>SUMIF($I$3:$O$3,Assumptions!$A$19,$I39:$O39)*N($G39)</f>
        <v>0</v>
      </c>
      <c r="X39" s="145">
        <f>S39*Assumptions!$B$15+T39*Assumptions!$B$16+U39*Assumptions!$B$17+V39*Assumptions!$B$18+W39*Assumptions!$B$19</f>
        <v>0</v>
      </c>
      <c r="Y39" s="145" t="str">
        <f t="shared" si="28"/>
        <v/>
      </c>
      <c r="Z39" s="146" t="str">
        <f t="shared" si="29"/>
        <v/>
      </c>
      <c r="AA39" s="146">
        <f>IF(D39="Active",1,IF(D39="Prospective",IF(Assumptions!$B$6="Active only",0,Assumptions!$B$7),0))</f>
        <v>0</v>
      </c>
      <c r="AB39" s="147" t="str">
        <f t="shared" si="30"/>
        <v/>
      </c>
      <c r="AC39" s="152" t="s">
        <v>103</v>
      </c>
      <c r="AD39" s="156">
        <f t="shared" si="2"/>
        <v>0</v>
      </c>
    </row>
    <row r="40" spans="1:30" hidden="1" outlineLevel="1" x14ac:dyDescent="0.25">
      <c r="A40" s="51">
        <f>IF(A34="","",A34)</f>
        <v>2469</v>
      </c>
      <c r="B40" s="41" t="str">
        <f>IF(B34="","",B34)</f>
        <v>Fairhaven Village</v>
      </c>
      <c r="C40" s="42"/>
      <c r="D40" s="43" t="str">
        <f>IF(COUNTA(C40,E40,H40,I40:O40)=0,"",IF(D34="","",D34))</f>
        <v/>
      </c>
      <c r="E40" s="44"/>
      <c r="F40" s="139" t="str">
        <f t="shared" si="25"/>
        <v/>
      </c>
      <c r="G40" s="136" t="str">
        <f t="shared" si="26"/>
        <v/>
      </c>
      <c r="H40" s="127"/>
      <c r="I40" s="148"/>
      <c r="J40" s="148"/>
      <c r="K40" s="148"/>
      <c r="L40" s="148"/>
      <c r="M40" s="148"/>
      <c r="N40" s="148"/>
      <c r="O40" s="148"/>
      <c r="P40" s="144">
        <f t="shared" si="27"/>
        <v>0</v>
      </c>
      <c r="Q40" s="144" cm="1">
        <f t="array" ref="Q40">IF(OR(A40="",E40="",F40=""),0,SUMPRODUCT((tlNo=A40)*(Timeline!$H$18:$BG$18+6&gt;=E40)*(Timeline!$H$18:$BG$18&lt;=F40)*Timeline!$H$20:$BG$378))</f>
        <v>0</v>
      </c>
      <c r="R40" s="144">
        <f t="shared" si="0"/>
        <v>0</v>
      </c>
      <c r="S40" s="144">
        <f>SUMIF($I$3:$O$3,Assumptions!$A$15,$I40:$O40)*N($G40)</f>
        <v>0</v>
      </c>
      <c r="T40" s="144">
        <f>SUMIF($I$3:$O$3,Assumptions!$A$16,$I40:$O40)*N($G40)</f>
        <v>0</v>
      </c>
      <c r="U40" s="144">
        <f>SUMIF($I$3:$O$3,Assumptions!$A$17,$I40:$O40)*N($G40)</f>
        <v>0</v>
      </c>
      <c r="V40" s="144">
        <f>SUMIF($I$3:$O$3,Assumptions!$A$18,$I40:$O40)*N($G40)</f>
        <v>0</v>
      </c>
      <c r="W40" s="144">
        <f>SUMIF($I$3:$O$3,Assumptions!$A$19,$I40:$O40)*N($G40)</f>
        <v>0</v>
      </c>
      <c r="X40" s="145">
        <f>S40*Assumptions!$B$15+T40*Assumptions!$B$16+U40*Assumptions!$B$17+V40*Assumptions!$B$18+W40*Assumptions!$B$19</f>
        <v>0</v>
      </c>
      <c r="Y40" s="145" t="str">
        <f t="shared" si="28"/>
        <v/>
      </c>
      <c r="Z40" s="146" t="str">
        <f t="shared" si="29"/>
        <v/>
      </c>
      <c r="AA40" s="146">
        <f>IF(D40="Active",1,IF(D40="Prospective",IF(Assumptions!$B$6="Active only",0,Assumptions!$B$7),0))</f>
        <v>0</v>
      </c>
      <c r="AB40" s="147" t="str">
        <f t="shared" si="30"/>
        <v/>
      </c>
      <c r="AC40" s="152" t="s">
        <v>103</v>
      </c>
      <c r="AD40" s="156">
        <f t="shared" si="2"/>
        <v>0</v>
      </c>
    </row>
    <row r="41" spans="1:30" hidden="1" outlineLevel="1" x14ac:dyDescent="0.25">
      <c r="A41" s="51">
        <f>IF(A34="","",A34)</f>
        <v>2469</v>
      </c>
      <c r="B41" s="41" t="str">
        <f>IF(B34="","",B34)</f>
        <v>Fairhaven Village</v>
      </c>
      <c r="C41" s="42"/>
      <c r="D41" s="43" t="str">
        <f>IF(COUNTA(C41,E41,H41,I41:O41)=0,"",IF(D34="","",D34))</f>
        <v/>
      </c>
      <c r="E41" s="44"/>
      <c r="F41" s="139" t="str">
        <f t="shared" si="25"/>
        <v/>
      </c>
      <c r="G41" s="136" t="str">
        <f t="shared" si="26"/>
        <v/>
      </c>
      <c r="H41" s="127"/>
      <c r="I41" s="148"/>
      <c r="J41" s="148"/>
      <c r="K41" s="148"/>
      <c r="L41" s="148"/>
      <c r="M41" s="148"/>
      <c r="N41" s="148"/>
      <c r="O41" s="148"/>
      <c r="P41" s="144">
        <f t="shared" si="27"/>
        <v>0</v>
      </c>
      <c r="Q41" s="144" cm="1">
        <f t="array" ref="Q41">IF(OR(A41="",E41="",F41=""),0,SUMPRODUCT((tlNo=A41)*(Timeline!$H$18:$BG$18+6&gt;=E41)*(Timeline!$H$18:$BG$18&lt;=F41)*Timeline!$H$20:$BG$378))</f>
        <v>0</v>
      </c>
      <c r="R41" s="144">
        <f t="shared" si="0"/>
        <v>0</v>
      </c>
      <c r="S41" s="144">
        <f>SUMIF($I$3:$O$3,Assumptions!$A$15,$I41:$O41)*N($G41)</f>
        <v>0</v>
      </c>
      <c r="T41" s="144">
        <f>SUMIF($I$3:$O$3,Assumptions!$A$16,$I41:$O41)*N($G41)</f>
        <v>0</v>
      </c>
      <c r="U41" s="144">
        <f>SUMIF($I$3:$O$3,Assumptions!$A$17,$I41:$O41)*N($G41)</f>
        <v>0</v>
      </c>
      <c r="V41" s="144">
        <f>SUMIF($I$3:$O$3,Assumptions!$A$18,$I41:$O41)*N($G41)</f>
        <v>0</v>
      </c>
      <c r="W41" s="144">
        <f>SUMIF($I$3:$O$3,Assumptions!$A$19,$I41:$O41)*N($G41)</f>
        <v>0</v>
      </c>
      <c r="X41" s="145">
        <f>S41*Assumptions!$B$15+T41*Assumptions!$B$16+U41*Assumptions!$B$17+V41*Assumptions!$B$18+W41*Assumptions!$B$19</f>
        <v>0</v>
      </c>
      <c r="Y41" s="145" t="str">
        <f t="shared" si="28"/>
        <v/>
      </c>
      <c r="Z41" s="146" t="str">
        <f t="shared" si="29"/>
        <v/>
      </c>
      <c r="AA41" s="146">
        <f>IF(D41="Active",1,IF(D41="Prospective",IF(Assumptions!$B$6="Active only",0,Assumptions!$B$7),0))</f>
        <v>0</v>
      </c>
      <c r="AB41" s="147" t="str">
        <f t="shared" si="30"/>
        <v/>
      </c>
      <c r="AC41" s="152" t="s">
        <v>103</v>
      </c>
      <c r="AD41" s="156">
        <f t="shared" si="2"/>
        <v>0</v>
      </c>
    </row>
    <row r="42" spans="1:30" hidden="1" outlineLevel="1" x14ac:dyDescent="0.25">
      <c r="A42" s="64">
        <f>IF(A34="","",A34)</f>
        <v>2469</v>
      </c>
      <c r="B42" s="45" t="str">
        <f>IF(B34="","",B34)</f>
        <v>Fairhaven Village</v>
      </c>
      <c r="C42" s="46"/>
      <c r="D42" s="47" t="str">
        <f>IF(COUNTA(C42,E42,H42,I42:O42)=0,"",IF(D34="","",D34))</f>
        <v/>
      </c>
      <c r="E42" s="48"/>
      <c r="F42" s="140" t="str">
        <f t="shared" si="25"/>
        <v/>
      </c>
      <c r="G42" s="137" t="str">
        <f t="shared" si="26"/>
        <v/>
      </c>
      <c r="H42" s="128"/>
      <c r="I42" s="148"/>
      <c r="J42" s="148"/>
      <c r="K42" s="148"/>
      <c r="L42" s="148"/>
      <c r="M42" s="148"/>
      <c r="N42" s="148"/>
      <c r="O42" s="148"/>
      <c r="P42" s="144">
        <f t="shared" si="27"/>
        <v>0</v>
      </c>
      <c r="Q42" s="144" cm="1">
        <f t="array" ref="Q42">IF(OR(A42="",E42="",F42=""),0,SUMPRODUCT((tlNo=A42)*(Timeline!$H$18:$BG$18+6&gt;=E42)*(Timeline!$H$18:$BG$18&lt;=F42)*Timeline!$H$20:$BG$378))</f>
        <v>0</v>
      </c>
      <c r="R42" s="144">
        <f t="shared" si="0"/>
        <v>0</v>
      </c>
      <c r="S42" s="144">
        <f>SUMIF($I$3:$O$3,Assumptions!$A$15,$I42:$O42)*N($G42)</f>
        <v>0</v>
      </c>
      <c r="T42" s="144">
        <f>SUMIF($I$3:$O$3,Assumptions!$A$16,$I42:$O42)*N($G42)</f>
        <v>0</v>
      </c>
      <c r="U42" s="144">
        <f>SUMIF($I$3:$O$3,Assumptions!$A$17,$I42:$O42)*N($G42)</f>
        <v>0</v>
      </c>
      <c r="V42" s="144">
        <f>SUMIF($I$3:$O$3,Assumptions!$A$18,$I42:$O42)*N($G42)</f>
        <v>0</v>
      </c>
      <c r="W42" s="144">
        <f>SUMIF($I$3:$O$3,Assumptions!$A$19,$I42:$O42)*N($G42)</f>
        <v>0</v>
      </c>
      <c r="X42" s="145">
        <f>S42*Assumptions!$B$15+T42*Assumptions!$B$16+U42*Assumptions!$B$17+V42*Assumptions!$B$18+W42*Assumptions!$B$19</f>
        <v>0</v>
      </c>
      <c r="Y42" s="145" t="str">
        <f t="shared" si="28"/>
        <v/>
      </c>
      <c r="Z42" s="146" t="str">
        <f t="shared" si="29"/>
        <v/>
      </c>
      <c r="AA42" s="146">
        <f>IF(D42="Active",1,IF(D42="Prospective",IF(Assumptions!$B$6="Active only",0,Assumptions!$B$7),0))</f>
        <v>0</v>
      </c>
      <c r="AB42" s="147" t="str">
        <f t="shared" si="30"/>
        <v/>
      </c>
      <c r="AC42" s="152" t="s">
        <v>103</v>
      </c>
      <c r="AD42" s="156">
        <f t="shared" si="2"/>
        <v>0</v>
      </c>
    </row>
    <row r="43" spans="1:30" collapsed="1" x14ac:dyDescent="0.25">
      <c r="A43" s="59">
        <v>2470</v>
      </c>
      <c r="B43" s="207" t="s">
        <v>195</v>
      </c>
      <c r="C43" s="61" t="s">
        <v>129</v>
      </c>
      <c r="D43" s="62" t="s">
        <v>33</v>
      </c>
      <c r="E43" s="63" t="str">
        <f>IF(COUNT(E44:E51)=0,"",MIN(E44:E51))</f>
        <v/>
      </c>
      <c r="F43" s="63" t="str">
        <f>IF(COUNT(F44:F51)=0,"",MAX(F44:F51))</f>
        <v/>
      </c>
      <c r="G43" s="134"/>
      <c r="H43" s="125">
        <f>SUM(H44:H51)</f>
        <v>0</v>
      </c>
      <c r="I43" s="141"/>
      <c r="J43" s="141"/>
      <c r="K43" s="141"/>
      <c r="L43" s="141"/>
      <c r="M43" s="141"/>
      <c r="N43" s="141"/>
      <c r="O43" s="141"/>
      <c r="P43" s="141">
        <f>SUM(P44:P51)</f>
        <v>0</v>
      </c>
      <c r="Q43" s="141">
        <f>SUM(Q44:Q51)</f>
        <v>0</v>
      </c>
      <c r="R43" s="141">
        <f t="shared" si="0"/>
        <v>0</v>
      </c>
      <c r="S43" s="141">
        <f t="shared" ref="S43:X43" si="31">SUM(S44:S51)</f>
        <v>0</v>
      </c>
      <c r="T43" s="141">
        <f t="shared" si="31"/>
        <v>0</v>
      </c>
      <c r="U43" s="141">
        <f t="shared" si="31"/>
        <v>0</v>
      </c>
      <c r="V43" s="141">
        <f t="shared" si="31"/>
        <v>0</v>
      </c>
      <c r="W43" s="141">
        <f t="shared" si="31"/>
        <v>0</v>
      </c>
      <c r="X43" s="142">
        <f t="shared" si="31"/>
        <v>0</v>
      </c>
      <c r="Y43" s="142">
        <f>H43-X43</f>
        <v>0</v>
      </c>
      <c r="Z43" s="143" t="str">
        <f>IF(H43=0,"",X43/H43)</f>
        <v/>
      </c>
      <c r="AA43" s="143"/>
      <c r="AB43" s="40" t="str">
        <f>IF(COUNTIF(AB44:AB51,"?*")=0,"No phases yet",IF(COUNTIF(AB44:AB51,"OK")=COUNTIF(AB44:AB51,"?*"),"All OK",(COUNTIF(AB44:AB51,"?*")-COUNTIF(AB44:AB51,"OK"))&amp;" to fix"))</f>
        <v>No phases yet</v>
      </c>
      <c r="AC43" s="52" t="s">
        <v>130</v>
      </c>
      <c r="AD43" s="156">
        <f t="shared" si="2"/>
        <v>0</v>
      </c>
    </row>
    <row r="44" spans="1:30" hidden="1" outlineLevel="1" x14ac:dyDescent="0.25">
      <c r="A44" s="54">
        <f>IF(A43="","",A43)</f>
        <v>2470</v>
      </c>
      <c r="B44" s="55" t="str">
        <f>IF(B43="","",B43)</f>
        <v>Canyon Vista Park</v>
      </c>
      <c r="C44" s="56"/>
      <c r="D44" s="57" t="str">
        <f>IF(COUNTA(C44,E44,H44,I44:O44)=0,"",IF(D43="","",D43))</f>
        <v/>
      </c>
      <c r="E44" s="58"/>
      <c r="F44" s="138" t="str">
        <f t="shared" ref="F44:F51" si="32">IF(_xlfn.ISFORMULA(G44),"",IF(AND(E44&lt;&gt;"",N(G44)&gt;0),E44+7*G44-1,""))</f>
        <v/>
      </c>
      <c r="G44" s="135" t="str">
        <f t="shared" ref="G44:G51" si="33">IF(OR(E44="",F44=""),"",IF(F44&lt;E44,"",ROUNDUP((F44-E44+1)/7,0)))</f>
        <v/>
      </c>
      <c r="H44" s="126"/>
      <c r="I44" s="148"/>
      <c r="J44" s="148"/>
      <c r="K44" s="148"/>
      <c r="L44" s="148"/>
      <c r="M44" s="148"/>
      <c r="N44" s="148"/>
      <c r="O44" s="148"/>
      <c r="P44" s="144">
        <f t="shared" ref="P44:P51" si="34">SUM(I44:O44)*N(G44)</f>
        <v>0</v>
      </c>
      <c r="Q44" s="144" cm="1">
        <f t="array" ref="Q44">IF(OR(A44="",E44="",F44=""),0,SUMPRODUCT((tlNo=A44)*(Timeline!$H$18:$BG$18+6&gt;=E44)*(Timeline!$H$18:$BG$18&lt;=F44)*Timeline!$H$20:$BG$378))</f>
        <v>0</v>
      </c>
      <c r="R44" s="144">
        <f t="shared" si="0"/>
        <v>0</v>
      </c>
      <c r="S44" s="144">
        <f>SUMIF($I$3:$O$3,Assumptions!$A$15,$I44:$O44)*N($G44)</f>
        <v>0</v>
      </c>
      <c r="T44" s="144">
        <f>SUMIF($I$3:$O$3,Assumptions!$A$16,$I44:$O44)*N($G44)</f>
        <v>0</v>
      </c>
      <c r="U44" s="144">
        <f>SUMIF($I$3:$O$3,Assumptions!$A$17,$I44:$O44)*N($G44)</f>
        <v>0</v>
      </c>
      <c r="V44" s="144">
        <f>SUMIF($I$3:$O$3,Assumptions!$A$18,$I44:$O44)*N($G44)</f>
        <v>0</v>
      </c>
      <c r="W44" s="144">
        <f>SUMIF($I$3:$O$3,Assumptions!$A$19,$I44:$O44)*N($G44)</f>
        <v>0</v>
      </c>
      <c r="X44" s="145">
        <f>S44*Assumptions!$B$15+T44*Assumptions!$B$16+U44*Assumptions!$B$17+V44*Assumptions!$B$18+W44*Assumptions!$B$19</f>
        <v>0</v>
      </c>
      <c r="Y44" s="145" t="str">
        <f t="shared" ref="Y44:Y51" si="35">IF(D44="","",H44-X44)</f>
        <v/>
      </c>
      <c r="Z44" s="146" t="str">
        <f t="shared" ref="Z44:Z51" si="36">IF(OR(D44="",H44=0),"",X44/H44)</f>
        <v/>
      </c>
      <c r="AA44" s="146">
        <f>IF(D44="Active",1,IF(D44="Prospective",IF(Assumptions!$B$6="Active only",0,Assumptions!$B$7),0))</f>
        <v>0</v>
      </c>
      <c r="AB44" s="147" t="str">
        <f t="shared" ref="AB44:AB51" si="37">IF(COUNTA(C44,E44,H44,I44:O44)=0,"",IF(C44="","Select phase",IF(OR(E44="",F44=""),"Enter dates",IF(F44&lt;E44,"End before start",IF(H44="","Enter phase fee",IF(P44=0,"Enter staff hours",IF(R44&lt;0,"Over-mapped on Timeline",IF(R44&gt;0,"Map hours on Timeline","OK"))))))))</f>
        <v/>
      </c>
      <c r="AC44" s="152" t="s">
        <v>103</v>
      </c>
      <c r="AD44" s="156">
        <f t="shared" si="2"/>
        <v>0</v>
      </c>
    </row>
    <row r="45" spans="1:30" hidden="1" outlineLevel="1" x14ac:dyDescent="0.25">
      <c r="A45" s="51">
        <f>IF(A43="","",A43)</f>
        <v>2470</v>
      </c>
      <c r="B45" s="41" t="str">
        <f>IF(B43="","",B43)</f>
        <v>Canyon Vista Park</v>
      </c>
      <c r="C45" s="42"/>
      <c r="D45" s="43" t="str">
        <f>IF(COUNTA(C45,E45,H45,I45:O45)=0,"",IF(D43="","",D43))</f>
        <v/>
      </c>
      <c r="E45" s="44"/>
      <c r="F45" s="139" t="str">
        <f t="shared" si="32"/>
        <v/>
      </c>
      <c r="G45" s="136" t="str">
        <f t="shared" si="33"/>
        <v/>
      </c>
      <c r="H45" s="127"/>
      <c r="I45" s="148"/>
      <c r="J45" s="148"/>
      <c r="K45" s="148"/>
      <c r="L45" s="148"/>
      <c r="M45" s="148"/>
      <c r="N45" s="148"/>
      <c r="O45" s="148"/>
      <c r="P45" s="144">
        <f t="shared" si="34"/>
        <v>0</v>
      </c>
      <c r="Q45" s="144" cm="1">
        <f t="array" ref="Q45">IF(OR(A45="",E45="",F45=""),0,SUMPRODUCT((tlNo=A45)*(Timeline!$H$18:$BG$18+6&gt;=E45)*(Timeline!$H$18:$BG$18&lt;=F45)*Timeline!$H$20:$BG$378))</f>
        <v>0</v>
      </c>
      <c r="R45" s="144">
        <f t="shared" si="0"/>
        <v>0</v>
      </c>
      <c r="S45" s="144">
        <f>SUMIF($I$3:$O$3,Assumptions!$A$15,$I45:$O45)*N($G45)</f>
        <v>0</v>
      </c>
      <c r="T45" s="144">
        <f>SUMIF($I$3:$O$3,Assumptions!$A$16,$I45:$O45)*N($G45)</f>
        <v>0</v>
      </c>
      <c r="U45" s="144">
        <f>SUMIF($I$3:$O$3,Assumptions!$A$17,$I45:$O45)*N($G45)</f>
        <v>0</v>
      </c>
      <c r="V45" s="144">
        <f>SUMIF($I$3:$O$3,Assumptions!$A$18,$I45:$O45)*N($G45)</f>
        <v>0</v>
      </c>
      <c r="W45" s="144">
        <f>SUMIF($I$3:$O$3,Assumptions!$A$19,$I45:$O45)*N($G45)</f>
        <v>0</v>
      </c>
      <c r="X45" s="145">
        <f>S45*Assumptions!$B$15+T45*Assumptions!$B$16+U45*Assumptions!$B$17+V45*Assumptions!$B$18+W45*Assumptions!$B$19</f>
        <v>0</v>
      </c>
      <c r="Y45" s="145" t="str">
        <f t="shared" si="35"/>
        <v/>
      </c>
      <c r="Z45" s="146" t="str">
        <f t="shared" si="36"/>
        <v/>
      </c>
      <c r="AA45" s="146">
        <f>IF(D45="Active",1,IF(D45="Prospective",IF(Assumptions!$B$6="Active only",0,Assumptions!$B$7),0))</f>
        <v>0</v>
      </c>
      <c r="AB45" s="147" t="str">
        <f t="shared" si="37"/>
        <v/>
      </c>
      <c r="AC45" s="152" t="s">
        <v>103</v>
      </c>
      <c r="AD45" s="156">
        <f t="shared" si="2"/>
        <v>0</v>
      </c>
    </row>
    <row r="46" spans="1:30" hidden="1" outlineLevel="1" x14ac:dyDescent="0.25">
      <c r="A46" s="51">
        <f>IF(A43="","",A43)</f>
        <v>2470</v>
      </c>
      <c r="B46" s="41" t="str">
        <f>IF(B43="","",B43)</f>
        <v>Canyon Vista Park</v>
      </c>
      <c r="C46" s="42"/>
      <c r="D46" s="43" t="str">
        <f>IF(COUNTA(C46,E46,H46,I46:O46)=0,"",IF(D43="","",D43))</f>
        <v/>
      </c>
      <c r="E46" s="44"/>
      <c r="F46" s="139" t="str">
        <f t="shared" si="32"/>
        <v/>
      </c>
      <c r="G46" s="136" t="str">
        <f t="shared" si="33"/>
        <v/>
      </c>
      <c r="H46" s="127"/>
      <c r="I46" s="148"/>
      <c r="J46" s="148"/>
      <c r="K46" s="148"/>
      <c r="L46" s="148"/>
      <c r="M46" s="148"/>
      <c r="N46" s="148"/>
      <c r="O46" s="148"/>
      <c r="P46" s="144">
        <f t="shared" si="34"/>
        <v>0</v>
      </c>
      <c r="Q46" s="144" cm="1">
        <f t="array" ref="Q46">IF(OR(A46="",E46="",F46=""),0,SUMPRODUCT((tlNo=A46)*(Timeline!$H$18:$BG$18+6&gt;=E46)*(Timeline!$H$18:$BG$18&lt;=F46)*Timeline!$H$20:$BG$378))</f>
        <v>0</v>
      </c>
      <c r="R46" s="144">
        <f t="shared" si="0"/>
        <v>0</v>
      </c>
      <c r="S46" s="144">
        <f>SUMIF($I$3:$O$3,Assumptions!$A$15,$I46:$O46)*N($G46)</f>
        <v>0</v>
      </c>
      <c r="T46" s="144">
        <f>SUMIF($I$3:$O$3,Assumptions!$A$16,$I46:$O46)*N($G46)</f>
        <v>0</v>
      </c>
      <c r="U46" s="144">
        <f>SUMIF($I$3:$O$3,Assumptions!$A$17,$I46:$O46)*N($G46)</f>
        <v>0</v>
      </c>
      <c r="V46" s="144">
        <f>SUMIF($I$3:$O$3,Assumptions!$A$18,$I46:$O46)*N($G46)</f>
        <v>0</v>
      </c>
      <c r="W46" s="144">
        <f>SUMIF($I$3:$O$3,Assumptions!$A$19,$I46:$O46)*N($G46)</f>
        <v>0</v>
      </c>
      <c r="X46" s="145">
        <f>S46*Assumptions!$B$15+T46*Assumptions!$B$16+U46*Assumptions!$B$17+V46*Assumptions!$B$18+W46*Assumptions!$B$19</f>
        <v>0</v>
      </c>
      <c r="Y46" s="145" t="str">
        <f t="shared" si="35"/>
        <v/>
      </c>
      <c r="Z46" s="146" t="str">
        <f t="shared" si="36"/>
        <v/>
      </c>
      <c r="AA46" s="146">
        <f>IF(D46="Active",1,IF(D46="Prospective",IF(Assumptions!$B$6="Active only",0,Assumptions!$B$7),0))</f>
        <v>0</v>
      </c>
      <c r="AB46" s="147" t="str">
        <f t="shared" si="37"/>
        <v/>
      </c>
      <c r="AC46" s="152" t="s">
        <v>103</v>
      </c>
      <c r="AD46" s="156">
        <f t="shared" si="2"/>
        <v>0</v>
      </c>
    </row>
    <row r="47" spans="1:30" hidden="1" outlineLevel="1" x14ac:dyDescent="0.25">
      <c r="A47" s="51">
        <f>IF(A43="","",A43)</f>
        <v>2470</v>
      </c>
      <c r="B47" s="41" t="str">
        <f>IF(B43="","",B43)</f>
        <v>Canyon Vista Park</v>
      </c>
      <c r="C47" s="42"/>
      <c r="D47" s="43" t="str">
        <f>IF(COUNTA(C47,E47,H47,I47:O47)=0,"",IF(D43="","",D43))</f>
        <v/>
      </c>
      <c r="E47" s="44"/>
      <c r="F47" s="139" t="str">
        <f t="shared" si="32"/>
        <v/>
      </c>
      <c r="G47" s="136" t="str">
        <f t="shared" si="33"/>
        <v/>
      </c>
      <c r="H47" s="127"/>
      <c r="I47" s="148"/>
      <c r="J47" s="148"/>
      <c r="K47" s="148"/>
      <c r="L47" s="148"/>
      <c r="M47" s="148"/>
      <c r="N47" s="148"/>
      <c r="O47" s="148"/>
      <c r="P47" s="144">
        <f t="shared" si="34"/>
        <v>0</v>
      </c>
      <c r="Q47" s="144" cm="1">
        <f t="array" ref="Q47">IF(OR(A47="",E47="",F47=""),0,SUMPRODUCT((tlNo=A47)*(Timeline!$H$18:$BG$18+6&gt;=E47)*(Timeline!$H$18:$BG$18&lt;=F47)*Timeline!$H$20:$BG$378))</f>
        <v>0</v>
      </c>
      <c r="R47" s="144">
        <f t="shared" si="0"/>
        <v>0</v>
      </c>
      <c r="S47" s="144">
        <f>SUMIF($I$3:$O$3,Assumptions!$A$15,$I47:$O47)*N($G47)</f>
        <v>0</v>
      </c>
      <c r="T47" s="144">
        <f>SUMIF($I$3:$O$3,Assumptions!$A$16,$I47:$O47)*N($G47)</f>
        <v>0</v>
      </c>
      <c r="U47" s="144">
        <f>SUMIF($I$3:$O$3,Assumptions!$A$17,$I47:$O47)*N($G47)</f>
        <v>0</v>
      </c>
      <c r="V47" s="144">
        <f>SUMIF($I$3:$O$3,Assumptions!$A$18,$I47:$O47)*N($G47)</f>
        <v>0</v>
      </c>
      <c r="W47" s="144">
        <f>SUMIF($I$3:$O$3,Assumptions!$A$19,$I47:$O47)*N($G47)</f>
        <v>0</v>
      </c>
      <c r="X47" s="145">
        <f>S47*Assumptions!$B$15+T47*Assumptions!$B$16+U47*Assumptions!$B$17+V47*Assumptions!$B$18+W47*Assumptions!$B$19</f>
        <v>0</v>
      </c>
      <c r="Y47" s="145" t="str">
        <f t="shared" si="35"/>
        <v/>
      </c>
      <c r="Z47" s="146" t="str">
        <f t="shared" si="36"/>
        <v/>
      </c>
      <c r="AA47" s="146">
        <f>IF(D47="Active",1,IF(D47="Prospective",IF(Assumptions!$B$6="Active only",0,Assumptions!$B$7),0))</f>
        <v>0</v>
      </c>
      <c r="AB47" s="147" t="str">
        <f t="shared" si="37"/>
        <v/>
      </c>
      <c r="AC47" s="152" t="s">
        <v>103</v>
      </c>
      <c r="AD47" s="156">
        <f t="shared" si="2"/>
        <v>0</v>
      </c>
    </row>
    <row r="48" spans="1:30" hidden="1" outlineLevel="1" x14ac:dyDescent="0.25">
      <c r="A48" s="51">
        <f>IF(A43="","",A43)</f>
        <v>2470</v>
      </c>
      <c r="B48" s="41" t="str">
        <f>IF(B43="","",B43)</f>
        <v>Canyon Vista Park</v>
      </c>
      <c r="C48" s="42"/>
      <c r="D48" s="43" t="str">
        <f>IF(COUNTA(C48,E48,H48,I48:O48)=0,"",IF(D43="","",D43))</f>
        <v/>
      </c>
      <c r="E48" s="44"/>
      <c r="F48" s="139" t="str">
        <f t="shared" si="32"/>
        <v/>
      </c>
      <c r="G48" s="136" t="str">
        <f t="shared" si="33"/>
        <v/>
      </c>
      <c r="H48" s="127"/>
      <c r="I48" s="148"/>
      <c r="J48" s="148"/>
      <c r="K48" s="148"/>
      <c r="L48" s="148"/>
      <c r="M48" s="148"/>
      <c r="N48" s="148"/>
      <c r="O48" s="148"/>
      <c r="P48" s="144">
        <f t="shared" si="34"/>
        <v>0</v>
      </c>
      <c r="Q48" s="144" cm="1">
        <f t="array" ref="Q48">IF(OR(A48="",E48="",F48=""),0,SUMPRODUCT((tlNo=A48)*(Timeline!$H$18:$BG$18+6&gt;=E48)*(Timeline!$H$18:$BG$18&lt;=F48)*Timeline!$H$20:$BG$378))</f>
        <v>0</v>
      </c>
      <c r="R48" s="144">
        <f t="shared" si="0"/>
        <v>0</v>
      </c>
      <c r="S48" s="144">
        <f>SUMIF($I$3:$O$3,Assumptions!$A$15,$I48:$O48)*N($G48)</f>
        <v>0</v>
      </c>
      <c r="T48" s="144">
        <f>SUMIF($I$3:$O$3,Assumptions!$A$16,$I48:$O48)*N($G48)</f>
        <v>0</v>
      </c>
      <c r="U48" s="144">
        <f>SUMIF($I$3:$O$3,Assumptions!$A$17,$I48:$O48)*N($G48)</f>
        <v>0</v>
      </c>
      <c r="V48" s="144">
        <f>SUMIF($I$3:$O$3,Assumptions!$A$18,$I48:$O48)*N($G48)</f>
        <v>0</v>
      </c>
      <c r="W48" s="144">
        <f>SUMIF($I$3:$O$3,Assumptions!$A$19,$I48:$O48)*N($G48)</f>
        <v>0</v>
      </c>
      <c r="X48" s="145">
        <f>S48*Assumptions!$B$15+T48*Assumptions!$B$16+U48*Assumptions!$B$17+V48*Assumptions!$B$18+W48*Assumptions!$B$19</f>
        <v>0</v>
      </c>
      <c r="Y48" s="145" t="str">
        <f t="shared" si="35"/>
        <v/>
      </c>
      <c r="Z48" s="146" t="str">
        <f t="shared" si="36"/>
        <v/>
      </c>
      <c r="AA48" s="146">
        <f>IF(D48="Active",1,IF(D48="Prospective",IF(Assumptions!$B$6="Active only",0,Assumptions!$B$7),0))</f>
        <v>0</v>
      </c>
      <c r="AB48" s="147" t="str">
        <f t="shared" si="37"/>
        <v/>
      </c>
      <c r="AC48" s="152" t="s">
        <v>103</v>
      </c>
      <c r="AD48" s="156">
        <f t="shared" si="2"/>
        <v>0</v>
      </c>
    </row>
    <row r="49" spans="1:30" hidden="1" outlineLevel="1" x14ac:dyDescent="0.25">
      <c r="A49" s="51">
        <f>IF(A43="","",A43)</f>
        <v>2470</v>
      </c>
      <c r="B49" s="41" t="str">
        <f>IF(B43="","",B43)</f>
        <v>Canyon Vista Park</v>
      </c>
      <c r="C49" s="42"/>
      <c r="D49" s="43" t="str">
        <f>IF(COUNTA(C49,E49,H49,I49:O49)=0,"",IF(D43="","",D43))</f>
        <v/>
      </c>
      <c r="E49" s="44"/>
      <c r="F49" s="139" t="str">
        <f t="shared" si="32"/>
        <v/>
      </c>
      <c r="G49" s="136" t="str">
        <f t="shared" si="33"/>
        <v/>
      </c>
      <c r="H49" s="127"/>
      <c r="I49" s="148"/>
      <c r="J49" s="148"/>
      <c r="K49" s="148"/>
      <c r="L49" s="148"/>
      <c r="M49" s="148"/>
      <c r="N49" s="148"/>
      <c r="O49" s="148"/>
      <c r="P49" s="144">
        <f t="shared" si="34"/>
        <v>0</v>
      </c>
      <c r="Q49" s="144" cm="1">
        <f t="array" ref="Q49">IF(OR(A49="",E49="",F49=""),0,SUMPRODUCT((tlNo=A49)*(Timeline!$H$18:$BG$18+6&gt;=E49)*(Timeline!$H$18:$BG$18&lt;=F49)*Timeline!$H$20:$BG$378))</f>
        <v>0</v>
      </c>
      <c r="R49" s="144">
        <f t="shared" si="0"/>
        <v>0</v>
      </c>
      <c r="S49" s="144">
        <f>SUMIF($I$3:$O$3,Assumptions!$A$15,$I49:$O49)*N($G49)</f>
        <v>0</v>
      </c>
      <c r="T49" s="144">
        <f>SUMIF($I$3:$O$3,Assumptions!$A$16,$I49:$O49)*N($G49)</f>
        <v>0</v>
      </c>
      <c r="U49" s="144">
        <f>SUMIF($I$3:$O$3,Assumptions!$A$17,$I49:$O49)*N($G49)</f>
        <v>0</v>
      </c>
      <c r="V49" s="144">
        <f>SUMIF($I$3:$O$3,Assumptions!$A$18,$I49:$O49)*N($G49)</f>
        <v>0</v>
      </c>
      <c r="W49" s="144">
        <f>SUMIF($I$3:$O$3,Assumptions!$A$19,$I49:$O49)*N($G49)</f>
        <v>0</v>
      </c>
      <c r="X49" s="145">
        <f>S49*Assumptions!$B$15+T49*Assumptions!$B$16+U49*Assumptions!$B$17+V49*Assumptions!$B$18+W49*Assumptions!$B$19</f>
        <v>0</v>
      </c>
      <c r="Y49" s="145" t="str">
        <f t="shared" si="35"/>
        <v/>
      </c>
      <c r="Z49" s="146" t="str">
        <f t="shared" si="36"/>
        <v/>
      </c>
      <c r="AA49" s="146">
        <f>IF(D49="Active",1,IF(D49="Prospective",IF(Assumptions!$B$6="Active only",0,Assumptions!$B$7),0))</f>
        <v>0</v>
      </c>
      <c r="AB49" s="147" t="str">
        <f t="shared" si="37"/>
        <v/>
      </c>
      <c r="AC49" s="152" t="s">
        <v>103</v>
      </c>
      <c r="AD49" s="156">
        <f t="shared" si="2"/>
        <v>0</v>
      </c>
    </row>
    <row r="50" spans="1:30" hidden="1" outlineLevel="1" x14ac:dyDescent="0.25">
      <c r="A50" s="51">
        <f>IF(A43="","",A43)</f>
        <v>2470</v>
      </c>
      <c r="B50" s="41" t="str">
        <f>IF(B43="","",B43)</f>
        <v>Canyon Vista Park</v>
      </c>
      <c r="C50" s="42"/>
      <c r="D50" s="43" t="str">
        <f>IF(COUNTA(C50,E50,H50,I50:O50)=0,"",IF(D43="","",D43))</f>
        <v/>
      </c>
      <c r="E50" s="44"/>
      <c r="F50" s="139" t="str">
        <f t="shared" si="32"/>
        <v/>
      </c>
      <c r="G50" s="136" t="str">
        <f t="shared" si="33"/>
        <v/>
      </c>
      <c r="H50" s="127"/>
      <c r="I50" s="148"/>
      <c r="J50" s="148"/>
      <c r="K50" s="148"/>
      <c r="L50" s="148"/>
      <c r="M50" s="148"/>
      <c r="N50" s="148"/>
      <c r="O50" s="148"/>
      <c r="P50" s="144">
        <f t="shared" si="34"/>
        <v>0</v>
      </c>
      <c r="Q50" s="144" cm="1">
        <f t="array" ref="Q50">IF(OR(A50="",E50="",F50=""),0,SUMPRODUCT((tlNo=A50)*(Timeline!$H$18:$BG$18+6&gt;=E50)*(Timeline!$H$18:$BG$18&lt;=F50)*Timeline!$H$20:$BG$378))</f>
        <v>0</v>
      </c>
      <c r="R50" s="144">
        <f t="shared" si="0"/>
        <v>0</v>
      </c>
      <c r="S50" s="144">
        <f>SUMIF($I$3:$O$3,Assumptions!$A$15,$I50:$O50)*N($G50)</f>
        <v>0</v>
      </c>
      <c r="T50" s="144">
        <f>SUMIF($I$3:$O$3,Assumptions!$A$16,$I50:$O50)*N($G50)</f>
        <v>0</v>
      </c>
      <c r="U50" s="144">
        <f>SUMIF($I$3:$O$3,Assumptions!$A$17,$I50:$O50)*N($G50)</f>
        <v>0</v>
      </c>
      <c r="V50" s="144">
        <f>SUMIF($I$3:$O$3,Assumptions!$A$18,$I50:$O50)*N($G50)</f>
        <v>0</v>
      </c>
      <c r="W50" s="144">
        <f>SUMIF($I$3:$O$3,Assumptions!$A$19,$I50:$O50)*N($G50)</f>
        <v>0</v>
      </c>
      <c r="X50" s="145">
        <f>S50*Assumptions!$B$15+T50*Assumptions!$B$16+U50*Assumptions!$B$17+V50*Assumptions!$B$18+W50*Assumptions!$B$19</f>
        <v>0</v>
      </c>
      <c r="Y50" s="145" t="str">
        <f t="shared" si="35"/>
        <v/>
      </c>
      <c r="Z50" s="146" t="str">
        <f t="shared" si="36"/>
        <v/>
      </c>
      <c r="AA50" s="146">
        <f>IF(D50="Active",1,IF(D50="Prospective",IF(Assumptions!$B$6="Active only",0,Assumptions!$B$7),0))</f>
        <v>0</v>
      </c>
      <c r="AB50" s="147" t="str">
        <f t="shared" si="37"/>
        <v/>
      </c>
      <c r="AC50" s="152" t="s">
        <v>103</v>
      </c>
      <c r="AD50" s="156">
        <f t="shared" si="2"/>
        <v>0</v>
      </c>
    </row>
    <row r="51" spans="1:30" hidden="1" outlineLevel="1" x14ac:dyDescent="0.25">
      <c r="A51" s="64">
        <f>IF(A43="","",A43)</f>
        <v>2470</v>
      </c>
      <c r="B51" s="45" t="str">
        <f>IF(B43="","",B43)</f>
        <v>Canyon Vista Park</v>
      </c>
      <c r="C51" s="46"/>
      <c r="D51" s="47" t="str">
        <f>IF(COUNTA(C51,E51,H51,I51:O51)=0,"",IF(D43="","",D43))</f>
        <v/>
      </c>
      <c r="E51" s="48"/>
      <c r="F51" s="140" t="str">
        <f t="shared" si="32"/>
        <v/>
      </c>
      <c r="G51" s="137" t="str">
        <f t="shared" si="33"/>
        <v/>
      </c>
      <c r="H51" s="128"/>
      <c r="I51" s="148"/>
      <c r="J51" s="148"/>
      <c r="K51" s="148"/>
      <c r="L51" s="148"/>
      <c r="M51" s="148"/>
      <c r="N51" s="148"/>
      <c r="O51" s="148"/>
      <c r="P51" s="144">
        <f t="shared" si="34"/>
        <v>0</v>
      </c>
      <c r="Q51" s="144" cm="1">
        <f t="array" ref="Q51">IF(OR(A51="",E51="",F51=""),0,SUMPRODUCT((tlNo=A51)*(Timeline!$H$18:$BG$18+6&gt;=E51)*(Timeline!$H$18:$BG$18&lt;=F51)*Timeline!$H$20:$BG$378))</f>
        <v>0</v>
      </c>
      <c r="R51" s="144">
        <f t="shared" si="0"/>
        <v>0</v>
      </c>
      <c r="S51" s="144">
        <f>SUMIF($I$3:$O$3,Assumptions!$A$15,$I51:$O51)*N($G51)</f>
        <v>0</v>
      </c>
      <c r="T51" s="144">
        <f>SUMIF($I$3:$O$3,Assumptions!$A$16,$I51:$O51)*N($G51)</f>
        <v>0</v>
      </c>
      <c r="U51" s="144">
        <f>SUMIF($I$3:$O$3,Assumptions!$A$17,$I51:$O51)*N($G51)</f>
        <v>0</v>
      </c>
      <c r="V51" s="144">
        <f>SUMIF($I$3:$O$3,Assumptions!$A$18,$I51:$O51)*N($G51)</f>
        <v>0</v>
      </c>
      <c r="W51" s="144">
        <f>SUMIF($I$3:$O$3,Assumptions!$A$19,$I51:$O51)*N($G51)</f>
        <v>0</v>
      </c>
      <c r="X51" s="145">
        <f>S51*Assumptions!$B$15+T51*Assumptions!$B$16+U51*Assumptions!$B$17+V51*Assumptions!$B$18+W51*Assumptions!$B$19</f>
        <v>0</v>
      </c>
      <c r="Y51" s="145" t="str">
        <f t="shared" si="35"/>
        <v/>
      </c>
      <c r="Z51" s="146" t="str">
        <f t="shared" si="36"/>
        <v/>
      </c>
      <c r="AA51" s="146">
        <f>IF(D51="Active",1,IF(D51="Prospective",IF(Assumptions!$B$6="Active only",0,Assumptions!$B$7),0))</f>
        <v>0</v>
      </c>
      <c r="AB51" s="147" t="str">
        <f t="shared" si="37"/>
        <v/>
      </c>
      <c r="AC51" s="152" t="s">
        <v>103</v>
      </c>
      <c r="AD51" s="156">
        <f t="shared" si="2"/>
        <v>0</v>
      </c>
    </row>
    <row r="52" spans="1:30" collapsed="1" x14ac:dyDescent="0.25">
      <c r="A52" s="59">
        <v>2489</v>
      </c>
      <c r="B52" s="207" t="s">
        <v>196</v>
      </c>
      <c r="C52" s="61" t="s">
        <v>129</v>
      </c>
      <c r="D52" s="62" t="s">
        <v>33</v>
      </c>
      <c r="E52" s="63" t="str">
        <f>IF(COUNT(E53:E60)=0,"",MIN(E53:E60))</f>
        <v/>
      </c>
      <c r="F52" s="63" t="str">
        <f>IF(COUNT(F53:F60)=0,"",MAX(F53:F60))</f>
        <v/>
      </c>
      <c r="G52" s="134"/>
      <c r="H52" s="125">
        <f>SUM(H53:H60)</f>
        <v>0</v>
      </c>
      <c r="I52" s="141"/>
      <c r="J52" s="141"/>
      <c r="K52" s="141"/>
      <c r="L52" s="141"/>
      <c r="M52" s="141"/>
      <c r="N52" s="141"/>
      <c r="O52" s="141"/>
      <c r="P52" s="141">
        <f>SUM(P53:P60)</f>
        <v>0</v>
      </c>
      <c r="Q52" s="141">
        <f>SUM(Q53:Q60)</f>
        <v>0</v>
      </c>
      <c r="R52" s="141">
        <f t="shared" si="0"/>
        <v>0</v>
      </c>
      <c r="S52" s="141">
        <f t="shared" ref="S52:X52" si="38">SUM(S53:S60)</f>
        <v>0</v>
      </c>
      <c r="T52" s="141">
        <f t="shared" si="38"/>
        <v>0</v>
      </c>
      <c r="U52" s="141">
        <f t="shared" si="38"/>
        <v>0</v>
      </c>
      <c r="V52" s="141">
        <f t="shared" si="38"/>
        <v>0</v>
      </c>
      <c r="W52" s="141">
        <f t="shared" si="38"/>
        <v>0</v>
      </c>
      <c r="X52" s="142">
        <f t="shared" si="38"/>
        <v>0</v>
      </c>
      <c r="Y52" s="142">
        <f>H52-X52</f>
        <v>0</v>
      </c>
      <c r="Z52" s="143" t="str">
        <f>IF(H52=0,"",X52/H52)</f>
        <v/>
      </c>
      <c r="AA52" s="143"/>
      <c r="AB52" s="40" t="str">
        <f>IF(COUNTIF(AB53:AB60,"?*")=0,"No phases yet",IF(COUNTIF(AB53:AB60,"OK")=COUNTIF(AB53:AB60,"?*"),"All OK",(COUNTIF(AB53:AB60,"?*")-COUNTIF(AB53:AB60,"OK"))&amp;" to fix"))</f>
        <v>No phases yet</v>
      </c>
      <c r="AC52" s="52" t="s">
        <v>130</v>
      </c>
      <c r="AD52" s="156">
        <f t="shared" si="2"/>
        <v>0</v>
      </c>
    </row>
    <row r="53" spans="1:30" hidden="1" outlineLevel="1" x14ac:dyDescent="0.25">
      <c r="A53" s="54">
        <f>IF(A52="","",A52)</f>
        <v>2489</v>
      </c>
      <c r="B53" s="55" t="str">
        <f>IF(B52="","",B52)</f>
        <v>Harbor Mobility Hub</v>
      </c>
      <c r="C53" s="56"/>
      <c r="D53" s="57" t="str">
        <f>IF(COUNTA(C53,E53,H53,I53:O53)=0,"",IF(D52="","",D52))</f>
        <v/>
      </c>
      <c r="E53" s="58"/>
      <c r="F53" s="138" t="str">
        <f t="shared" ref="F53:F60" si="39">IF(_xlfn.ISFORMULA(G53),"",IF(AND(E53&lt;&gt;"",N(G53)&gt;0),E53+7*G53-1,""))</f>
        <v/>
      </c>
      <c r="G53" s="135" t="str">
        <f t="shared" ref="G53:G60" si="40">IF(OR(E53="",F53=""),"",IF(F53&lt;E53,"",ROUNDUP((F53-E53+1)/7,0)))</f>
        <v/>
      </c>
      <c r="H53" s="126"/>
      <c r="I53" s="148"/>
      <c r="J53" s="148"/>
      <c r="K53" s="148"/>
      <c r="L53" s="148"/>
      <c r="M53" s="148"/>
      <c r="N53" s="148"/>
      <c r="O53" s="148"/>
      <c r="P53" s="144">
        <f t="shared" ref="P53:P60" si="41">SUM(I53:O53)*N(G53)</f>
        <v>0</v>
      </c>
      <c r="Q53" s="144" cm="1">
        <f t="array" ref="Q53">IF(OR(A53="",E53="",F53=""),0,SUMPRODUCT((tlNo=A53)*(Timeline!$H$18:$BG$18+6&gt;=E53)*(Timeline!$H$18:$BG$18&lt;=F53)*Timeline!$H$20:$BG$378))</f>
        <v>0</v>
      </c>
      <c r="R53" s="144">
        <f t="shared" si="0"/>
        <v>0</v>
      </c>
      <c r="S53" s="144">
        <f>SUMIF($I$3:$O$3,Assumptions!$A$15,$I53:$O53)*N($G53)</f>
        <v>0</v>
      </c>
      <c r="T53" s="144">
        <f>SUMIF($I$3:$O$3,Assumptions!$A$16,$I53:$O53)*N($G53)</f>
        <v>0</v>
      </c>
      <c r="U53" s="144">
        <f>SUMIF($I$3:$O$3,Assumptions!$A$17,$I53:$O53)*N($G53)</f>
        <v>0</v>
      </c>
      <c r="V53" s="144">
        <f>SUMIF($I$3:$O$3,Assumptions!$A$18,$I53:$O53)*N($G53)</f>
        <v>0</v>
      </c>
      <c r="W53" s="144">
        <f>SUMIF($I$3:$O$3,Assumptions!$A$19,$I53:$O53)*N($G53)</f>
        <v>0</v>
      </c>
      <c r="X53" s="145">
        <f>S53*Assumptions!$B$15+T53*Assumptions!$B$16+U53*Assumptions!$B$17+V53*Assumptions!$B$18+W53*Assumptions!$B$19</f>
        <v>0</v>
      </c>
      <c r="Y53" s="145" t="str">
        <f t="shared" ref="Y53:Y60" si="42">IF(D53="","",H53-X53)</f>
        <v/>
      </c>
      <c r="Z53" s="146" t="str">
        <f t="shared" ref="Z53:Z60" si="43">IF(OR(D53="",H53=0),"",X53/H53)</f>
        <v/>
      </c>
      <c r="AA53" s="146">
        <f>IF(D53="Active",1,IF(D53="Prospective",IF(Assumptions!$B$6="Active only",0,Assumptions!$B$7),0))</f>
        <v>0</v>
      </c>
      <c r="AB53" s="147" t="str">
        <f t="shared" ref="AB53:AB60" si="44">IF(COUNTA(C53,E53,H53,I53:O53)=0,"",IF(C53="","Select phase",IF(OR(E53="",F53=""),"Enter dates",IF(F53&lt;E53,"End before start",IF(H53="","Enter phase fee",IF(P53=0,"Enter staff hours",IF(R53&lt;0,"Over-mapped on Timeline",IF(R53&gt;0,"Map hours on Timeline","OK"))))))))</f>
        <v/>
      </c>
      <c r="AC53" s="152" t="s">
        <v>103</v>
      </c>
      <c r="AD53" s="156">
        <f t="shared" si="2"/>
        <v>0</v>
      </c>
    </row>
    <row r="54" spans="1:30" hidden="1" outlineLevel="1" x14ac:dyDescent="0.25">
      <c r="A54" s="51">
        <f>IF(A52="","",A52)</f>
        <v>2489</v>
      </c>
      <c r="B54" s="41" t="str">
        <f>IF(B52="","",B52)</f>
        <v>Harbor Mobility Hub</v>
      </c>
      <c r="C54" s="42"/>
      <c r="D54" s="43" t="str">
        <f>IF(COUNTA(C54,E54,H54,I54:O54)=0,"",IF(D52="","",D52))</f>
        <v/>
      </c>
      <c r="E54" s="44"/>
      <c r="F54" s="139" t="str">
        <f t="shared" si="39"/>
        <v/>
      </c>
      <c r="G54" s="136" t="str">
        <f t="shared" si="40"/>
        <v/>
      </c>
      <c r="H54" s="127"/>
      <c r="I54" s="148"/>
      <c r="J54" s="148"/>
      <c r="K54" s="148"/>
      <c r="L54" s="148"/>
      <c r="M54" s="148"/>
      <c r="N54" s="148"/>
      <c r="O54" s="148"/>
      <c r="P54" s="144">
        <f t="shared" si="41"/>
        <v>0</v>
      </c>
      <c r="Q54" s="144" cm="1">
        <f t="array" ref="Q54">IF(OR(A54="",E54="",F54=""),0,SUMPRODUCT((tlNo=A54)*(Timeline!$H$18:$BG$18+6&gt;=E54)*(Timeline!$H$18:$BG$18&lt;=F54)*Timeline!$H$20:$BG$378))</f>
        <v>0</v>
      </c>
      <c r="R54" s="144">
        <f t="shared" si="0"/>
        <v>0</v>
      </c>
      <c r="S54" s="144">
        <f>SUMIF($I$3:$O$3,Assumptions!$A$15,$I54:$O54)*N($G54)</f>
        <v>0</v>
      </c>
      <c r="T54" s="144">
        <f>SUMIF($I$3:$O$3,Assumptions!$A$16,$I54:$O54)*N($G54)</f>
        <v>0</v>
      </c>
      <c r="U54" s="144">
        <f>SUMIF($I$3:$O$3,Assumptions!$A$17,$I54:$O54)*N($G54)</f>
        <v>0</v>
      </c>
      <c r="V54" s="144">
        <f>SUMIF($I$3:$O$3,Assumptions!$A$18,$I54:$O54)*N($G54)</f>
        <v>0</v>
      </c>
      <c r="W54" s="144">
        <f>SUMIF($I$3:$O$3,Assumptions!$A$19,$I54:$O54)*N($G54)</f>
        <v>0</v>
      </c>
      <c r="X54" s="145">
        <f>S54*Assumptions!$B$15+T54*Assumptions!$B$16+U54*Assumptions!$B$17+V54*Assumptions!$B$18+W54*Assumptions!$B$19</f>
        <v>0</v>
      </c>
      <c r="Y54" s="145" t="str">
        <f t="shared" si="42"/>
        <v/>
      </c>
      <c r="Z54" s="146" t="str">
        <f t="shared" si="43"/>
        <v/>
      </c>
      <c r="AA54" s="146">
        <f>IF(D54="Active",1,IF(D54="Prospective",IF(Assumptions!$B$6="Active only",0,Assumptions!$B$7),0))</f>
        <v>0</v>
      </c>
      <c r="AB54" s="147" t="str">
        <f t="shared" si="44"/>
        <v/>
      </c>
      <c r="AC54" s="152" t="s">
        <v>103</v>
      </c>
      <c r="AD54" s="156">
        <f t="shared" si="2"/>
        <v>0</v>
      </c>
    </row>
    <row r="55" spans="1:30" hidden="1" outlineLevel="1" x14ac:dyDescent="0.25">
      <c r="A55" s="51">
        <f>IF(A52="","",A52)</f>
        <v>2489</v>
      </c>
      <c r="B55" s="41" t="str">
        <f>IF(B52="","",B52)</f>
        <v>Harbor Mobility Hub</v>
      </c>
      <c r="C55" s="42"/>
      <c r="D55" s="43" t="str">
        <f>IF(COUNTA(C55,E55,H55,I55:O55)=0,"",IF(D52="","",D52))</f>
        <v/>
      </c>
      <c r="E55" s="44"/>
      <c r="F55" s="139" t="str">
        <f t="shared" si="39"/>
        <v/>
      </c>
      <c r="G55" s="136" t="str">
        <f t="shared" si="40"/>
        <v/>
      </c>
      <c r="H55" s="127"/>
      <c r="I55" s="148"/>
      <c r="J55" s="148"/>
      <c r="K55" s="148"/>
      <c r="L55" s="148"/>
      <c r="M55" s="148"/>
      <c r="N55" s="148"/>
      <c r="O55" s="148"/>
      <c r="P55" s="144">
        <f t="shared" si="41"/>
        <v>0</v>
      </c>
      <c r="Q55" s="144" cm="1">
        <f t="array" ref="Q55">IF(OR(A55="",E55="",F55=""),0,SUMPRODUCT((tlNo=A55)*(Timeline!$H$18:$BG$18+6&gt;=E55)*(Timeline!$H$18:$BG$18&lt;=F55)*Timeline!$H$20:$BG$378))</f>
        <v>0</v>
      </c>
      <c r="R55" s="144">
        <f t="shared" si="0"/>
        <v>0</v>
      </c>
      <c r="S55" s="144">
        <f>SUMIF($I$3:$O$3,Assumptions!$A$15,$I55:$O55)*N($G55)</f>
        <v>0</v>
      </c>
      <c r="T55" s="144">
        <f>SUMIF($I$3:$O$3,Assumptions!$A$16,$I55:$O55)*N($G55)</f>
        <v>0</v>
      </c>
      <c r="U55" s="144">
        <f>SUMIF($I$3:$O$3,Assumptions!$A$17,$I55:$O55)*N($G55)</f>
        <v>0</v>
      </c>
      <c r="V55" s="144">
        <f>SUMIF($I$3:$O$3,Assumptions!$A$18,$I55:$O55)*N($G55)</f>
        <v>0</v>
      </c>
      <c r="W55" s="144">
        <f>SUMIF($I$3:$O$3,Assumptions!$A$19,$I55:$O55)*N($G55)</f>
        <v>0</v>
      </c>
      <c r="X55" s="145">
        <f>S55*Assumptions!$B$15+T55*Assumptions!$B$16+U55*Assumptions!$B$17+V55*Assumptions!$B$18+W55*Assumptions!$B$19</f>
        <v>0</v>
      </c>
      <c r="Y55" s="145" t="str">
        <f t="shared" si="42"/>
        <v/>
      </c>
      <c r="Z55" s="146" t="str">
        <f t="shared" si="43"/>
        <v/>
      </c>
      <c r="AA55" s="146">
        <f>IF(D55="Active",1,IF(D55="Prospective",IF(Assumptions!$B$6="Active only",0,Assumptions!$B$7),0))</f>
        <v>0</v>
      </c>
      <c r="AB55" s="147" t="str">
        <f t="shared" si="44"/>
        <v/>
      </c>
      <c r="AC55" s="152" t="s">
        <v>103</v>
      </c>
      <c r="AD55" s="156">
        <f t="shared" si="2"/>
        <v>0</v>
      </c>
    </row>
    <row r="56" spans="1:30" hidden="1" outlineLevel="1" x14ac:dyDescent="0.25">
      <c r="A56" s="51">
        <f>IF(A52="","",A52)</f>
        <v>2489</v>
      </c>
      <c r="B56" s="41" t="str">
        <f>IF(B52="","",B52)</f>
        <v>Harbor Mobility Hub</v>
      </c>
      <c r="C56" s="42"/>
      <c r="D56" s="43" t="str">
        <f>IF(COUNTA(C56,E56,H56,I56:O56)=0,"",IF(D52="","",D52))</f>
        <v/>
      </c>
      <c r="E56" s="44"/>
      <c r="F56" s="139" t="str">
        <f t="shared" si="39"/>
        <v/>
      </c>
      <c r="G56" s="136" t="str">
        <f t="shared" si="40"/>
        <v/>
      </c>
      <c r="H56" s="127"/>
      <c r="I56" s="148"/>
      <c r="J56" s="148"/>
      <c r="K56" s="148"/>
      <c r="L56" s="148"/>
      <c r="M56" s="148"/>
      <c r="N56" s="148"/>
      <c r="O56" s="148"/>
      <c r="P56" s="144">
        <f t="shared" si="41"/>
        <v>0</v>
      </c>
      <c r="Q56" s="144" cm="1">
        <f t="array" ref="Q56">IF(OR(A56="",E56="",F56=""),0,SUMPRODUCT((tlNo=A56)*(Timeline!$H$18:$BG$18+6&gt;=E56)*(Timeline!$H$18:$BG$18&lt;=F56)*Timeline!$H$20:$BG$378))</f>
        <v>0</v>
      </c>
      <c r="R56" s="144">
        <f t="shared" si="0"/>
        <v>0</v>
      </c>
      <c r="S56" s="144">
        <f>SUMIF($I$3:$O$3,Assumptions!$A$15,$I56:$O56)*N($G56)</f>
        <v>0</v>
      </c>
      <c r="T56" s="144">
        <f>SUMIF($I$3:$O$3,Assumptions!$A$16,$I56:$O56)*N($G56)</f>
        <v>0</v>
      </c>
      <c r="U56" s="144">
        <f>SUMIF($I$3:$O$3,Assumptions!$A$17,$I56:$O56)*N($G56)</f>
        <v>0</v>
      </c>
      <c r="V56" s="144">
        <f>SUMIF($I$3:$O$3,Assumptions!$A$18,$I56:$O56)*N($G56)</f>
        <v>0</v>
      </c>
      <c r="W56" s="144">
        <f>SUMIF($I$3:$O$3,Assumptions!$A$19,$I56:$O56)*N($G56)</f>
        <v>0</v>
      </c>
      <c r="X56" s="145">
        <f>S56*Assumptions!$B$15+T56*Assumptions!$B$16+U56*Assumptions!$B$17+V56*Assumptions!$B$18+W56*Assumptions!$B$19</f>
        <v>0</v>
      </c>
      <c r="Y56" s="145" t="str">
        <f t="shared" si="42"/>
        <v/>
      </c>
      <c r="Z56" s="146" t="str">
        <f t="shared" si="43"/>
        <v/>
      </c>
      <c r="AA56" s="146">
        <f>IF(D56="Active",1,IF(D56="Prospective",IF(Assumptions!$B$6="Active only",0,Assumptions!$B$7),0))</f>
        <v>0</v>
      </c>
      <c r="AB56" s="147" t="str">
        <f t="shared" si="44"/>
        <v/>
      </c>
      <c r="AC56" s="152" t="s">
        <v>103</v>
      </c>
      <c r="AD56" s="156">
        <f t="shared" si="2"/>
        <v>0</v>
      </c>
    </row>
    <row r="57" spans="1:30" hidden="1" outlineLevel="1" x14ac:dyDescent="0.25">
      <c r="A57" s="51">
        <f>IF(A52="","",A52)</f>
        <v>2489</v>
      </c>
      <c r="B57" s="41" t="str">
        <f>IF(B52="","",B52)</f>
        <v>Harbor Mobility Hub</v>
      </c>
      <c r="C57" s="42"/>
      <c r="D57" s="43" t="str">
        <f>IF(COUNTA(C57,E57,H57,I57:O57)=0,"",IF(D52="","",D52))</f>
        <v/>
      </c>
      <c r="E57" s="44"/>
      <c r="F57" s="139" t="str">
        <f t="shared" si="39"/>
        <v/>
      </c>
      <c r="G57" s="136" t="str">
        <f t="shared" si="40"/>
        <v/>
      </c>
      <c r="H57" s="127"/>
      <c r="I57" s="148"/>
      <c r="J57" s="148"/>
      <c r="K57" s="148"/>
      <c r="L57" s="148"/>
      <c r="M57" s="148"/>
      <c r="N57" s="148"/>
      <c r="O57" s="148"/>
      <c r="P57" s="144">
        <f t="shared" si="41"/>
        <v>0</v>
      </c>
      <c r="Q57" s="144" cm="1">
        <f t="array" ref="Q57">IF(OR(A57="",E57="",F57=""),0,SUMPRODUCT((tlNo=A57)*(Timeline!$H$18:$BG$18+6&gt;=E57)*(Timeline!$H$18:$BG$18&lt;=F57)*Timeline!$H$20:$BG$378))</f>
        <v>0</v>
      </c>
      <c r="R57" s="144">
        <f t="shared" si="0"/>
        <v>0</v>
      </c>
      <c r="S57" s="144">
        <f>SUMIF($I$3:$O$3,Assumptions!$A$15,$I57:$O57)*N($G57)</f>
        <v>0</v>
      </c>
      <c r="T57" s="144">
        <f>SUMIF($I$3:$O$3,Assumptions!$A$16,$I57:$O57)*N($G57)</f>
        <v>0</v>
      </c>
      <c r="U57" s="144">
        <f>SUMIF($I$3:$O$3,Assumptions!$A$17,$I57:$O57)*N($G57)</f>
        <v>0</v>
      </c>
      <c r="V57" s="144">
        <f>SUMIF($I$3:$O$3,Assumptions!$A$18,$I57:$O57)*N($G57)</f>
        <v>0</v>
      </c>
      <c r="W57" s="144">
        <f>SUMIF($I$3:$O$3,Assumptions!$A$19,$I57:$O57)*N($G57)</f>
        <v>0</v>
      </c>
      <c r="X57" s="145">
        <f>S57*Assumptions!$B$15+T57*Assumptions!$B$16+U57*Assumptions!$B$17+V57*Assumptions!$B$18+W57*Assumptions!$B$19</f>
        <v>0</v>
      </c>
      <c r="Y57" s="145" t="str">
        <f t="shared" si="42"/>
        <v/>
      </c>
      <c r="Z57" s="146" t="str">
        <f t="shared" si="43"/>
        <v/>
      </c>
      <c r="AA57" s="146">
        <f>IF(D57="Active",1,IF(D57="Prospective",IF(Assumptions!$B$6="Active only",0,Assumptions!$B$7),0))</f>
        <v>0</v>
      </c>
      <c r="AB57" s="147" t="str">
        <f t="shared" si="44"/>
        <v/>
      </c>
      <c r="AC57" s="152" t="s">
        <v>103</v>
      </c>
      <c r="AD57" s="156">
        <f t="shared" si="2"/>
        <v>0</v>
      </c>
    </row>
    <row r="58" spans="1:30" hidden="1" outlineLevel="1" x14ac:dyDescent="0.25">
      <c r="A58" s="51">
        <f>IF(A52="","",A52)</f>
        <v>2489</v>
      </c>
      <c r="B58" s="41" t="str">
        <f>IF(B52="","",B52)</f>
        <v>Harbor Mobility Hub</v>
      </c>
      <c r="C58" s="42"/>
      <c r="D58" s="43" t="str">
        <f>IF(COUNTA(C58,E58,H58,I58:O58)=0,"",IF(D52="","",D52))</f>
        <v/>
      </c>
      <c r="E58" s="44"/>
      <c r="F58" s="139" t="str">
        <f t="shared" si="39"/>
        <v/>
      </c>
      <c r="G58" s="136" t="str">
        <f t="shared" si="40"/>
        <v/>
      </c>
      <c r="H58" s="127"/>
      <c r="I58" s="148"/>
      <c r="J58" s="148"/>
      <c r="K58" s="148"/>
      <c r="L58" s="148"/>
      <c r="M58" s="148"/>
      <c r="N58" s="148"/>
      <c r="O58" s="148"/>
      <c r="P58" s="144">
        <f t="shared" si="41"/>
        <v>0</v>
      </c>
      <c r="Q58" s="144" cm="1">
        <f t="array" ref="Q58">IF(OR(A58="",E58="",F58=""),0,SUMPRODUCT((tlNo=A58)*(Timeline!$H$18:$BG$18+6&gt;=E58)*(Timeline!$H$18:$BG$18&lt;=F58)*Timeline!$H$20:$BG$378))</f>
        <v>0</v>
      </c>
      <c r="R58" s="144">
        <f t="shared" si="0"/>
        <v>0</v>
      </c>
      <c r="S58" s="144">
        <f>SUMIF($I$3:$O$3,Assumptions!$A$15,$I58:$O58)*N($G58)</f>
        <v>0</v>
      </c>
      <c r="T58" s="144">
        <f>SUMIF($I$3:$O$3,Assumptions!$A$16,$I58:$O58)*N($G58)</f>
        <v>0</v>
      </c>
      <c r="U58" s="144">
        <f>SUMIF($I$3:$O$3,Assumptions!$A$17,$I58:$O58)*N($G58)</f>
        <v>0</v>
      </c>
      <c r="V58" s="144">
        <f>SUMIF($I$3:$O$3,Assumptions!$A$18,$I58:$O58)*N($G58)</f>
        <v>0</v>
      </c>
      <c r="W58" s="144">
        <f>SUMIF($I$3:$O$3,Assumptions!$A$19,$I58:$O58)*N($G58)</f>
        <v>0</v>
      </c>
      <c r="X58" s="145">
        <f>S58*Assumptions!$B$15+T58*Assumptions!$B$16+U58*Assumptions!$B$17+V58*Assumptions!$B$18+W58*Assumptions!$B$19</f>
        <v>0</v>
      </c>
      <c r="Y58" s="145" t="str">
        <f t="shared" si="42"/>
        <v/>
      </c>
      <c r="Z58" s="146" t="str">
        <f t="shared" si="43"/>
        <v/>
      </c>
      <c r="AA58" s="146">
        <f>IF(D58="Active",1,IF(D58="Prospective",IF(Assumptions!$B$6="Active only",0,Assumptions!$B$7),0))</f>
        <v>0</v>
      </c>
      <c r="AB58" s="147" t="str">
        <f t="shared" si="44"/>
        <v/>
      </c>
      <c r="AC58" s="152" t="s">
        <v>103</v>
      </c>
      <c r="AD58" s="156">
        <f t="shared" si="2"/>
        <v>0</v>
      </c>
    </row>
    <row r="59" spans="1:30" hidden="1" outlineLevel="1" x14ac:dyDescent="0.25">
      <c r="A59" s="51">
        <f>IF(A52="","",A52)</f>
        <v>2489</v>
      </c>
      <c r="B59" s="41" t="str">
        <f>IF(B52="","",B52)</f>
        <v>Harbor Mobility Hub</v>
      </c>
      <c r="C59" s="42"/>
      <c r="D59" s="43" t="str">
        <f>IF(COUNTA(C59,E59,H59,I59:O59)=0,"",IF(D52="","",D52))</f>
        <v/>
      </c>
      <c r="E59" s="44"/>
      <c r="F59" s="139" t="str">
        <f t="shared" si="39"/>
        <v/>
      </c>
      <c r="G59" s="136" t="str">
        <f t="shared" si="40"/>
        <v/>
      </c>
      <c r="H59" s="127"/>
      <c r="I59" s="148"/>
      <c r="J59" s="148"/>
      <c r="K59" s="148"/>
      <c r="L59" s="148"/>
      <c r="M59" s="148"/>
      <c r="N59" s="148"/>
      <c r="O59" s="148"/>
      <c r="P59" s="144">
        <f t="shared" si="41"/>
        <v>0</v>
      </c>
      <c r="Q59" s="144" cm="1">
        <f t="array" ref="Q59">IF(OR(A59="",E59="",F59=""),0,SUMPRODUCT((tlNo=A59)*(Timeline!$H$18:$BG$18+6&gt;=E59)*(Timeline!$H$18:$BG$18&lt;=F59)*Timeline!$H$20:$BG$378))</f>
        <v>0</v>
      </c>
      <c r="R59" s="144">
        <f t="shared" si="0"/>
        <v>0</v>
      </c>
      <c r="S59" s="144">
        <f>SUMIF($I$3:$O$3,Assumptions!$A$15,$I59:$O59)*N($G59)</f>
        <v>0</v>
      </c>
      <c r="T59" s="144">
        <f>SUMIF($I$3:$O$3,Assumptions!$A$16,$I59:$O59)*N($G59)</f>
        <v>0</v>
      </c>
      <c r="U59" s="144">
        <f>SUMIF($I$3:$O$3,Assumptions!$A$17,$I59:$O59)*N($G59)</f>
        <v>0</v>
      </c>
      <c r="V59" s="144">
        <f>SUMIF($I$3:$O$3,Assumptions!$A$18,$I59:$O59)*N($G59)</f>
        <v>0</v>
      </c>
      <c r="W59" s="144">
        <f>SUMIF($I$3:$O$3,Assumptions!$A$19,$I59:$O59)*N($G59)</f>
        <v>0</v>
      </c>
      <c r="X59" s="145">
        <f>S59*Assumptions!$B$15+T59*Assumptions!$B$16+U59*Assumptions!$B$17+V59*Assumptions!$B$18+W59*Assumptions!$B$19</f>
        <v>0</v>
      </c>
      <c r="Y59" s="145" t="str">
        <f t="shared" si="42"/>
        <v/>
      </c>
      <c r="Z59" s="146" t="str">
        <f t="shared" si="43"/>
        <v/>
      </c>
      <c r="AA59" s="146">
        <f>IF(D59="Active",1,IF(D59="Prospective",IF(Assumptions!$B$6="Active only",0,Assumptions!$B$7),0))</f>
        <v>0</v>
      </c>
      <c r="AB59" s="147" t="str">
        <f t="shared" si="44"/>
        <v/>
      </c>
      <c r="AC59" s="152" t="s">
        <v>103</v>
      </c>
      <c r="AD59" s="156">
        <f t="shared" si="2"/>
        <v>0</v>
      </c>
    </row>
    <row r="60" spans="1:30" hidden="1" outlineLevel="1" x14ac:dyDescent="0.25">
      <c r="A60" s="64">
        <f>IF(A52="","",A52)</f>
        <v>2489</v>
      </c>
      <c r="B60" s="45" t="str">
        <f>IF(B52="","",B52)</f>
        <v>Harbor Mobility Hub</v>
      </c>
      <c r="C60" s="46"/>
      <c r="D60" s="47" t="str">
        <f>IF(COUNTA(C60,E60,H60,I60:O60)=0,"",IF(D52="","",D52))</f>
        <v/>
      </c>
      <c r="E60" s="48"/>
      <c r="F60" s="140" t="str">
        <f t="shared" si="39"/>
        <v/>
      </c>
      <c r="G60" s="137" t="str">
        <f t="shared" si="40"/>
        <v/>
      </c>
      <c r="H60" s="128"/>
      <c r="I60" s="148"/>
      <c r="J60" s="148"/>
      <c r="K60" s="148"/>
      <c r="L60" s="148"/>
      <c r="M60" s="148"/>
      <c r="N60" s="148"/>
      <c r="O60" s="148"/>
      <c r="P60" s="144">
        <f t="shared" si="41"/>
        <v>0</v>
      </c>
      <c r="Q60" s="144" cm="1">
        <f t="array" ref="Q60">IF(OR(A60="",E60="",F60=""),0,SUMPRODUCT((tlNo=A60)*(Timeline!$H$18:$BG$18+6&gt;=E60)*(Timeline!$H$18:$BG$18&lt;=F60)*Timeline!$H$20:$BG$378))</f>
        <v>0</v>
      </c>
      <c r="R60" s="144">
        <f t="shared" si="0"/>
        <v>0</v>
      </c>
      <c r="S60" s="144">
        <f>SUMIF($I$3:$O$3,Assumptions!$A$15,$I60:$O60)*N($G60)</f>
        <v>0</v>
      </c>
      <c r="T60" s="144">
        <f>SUMIF($I$3:$O$3,Assumptions!$A$16,$I60:$O60)*N($G60)</f>
        <v>0</v>
      </c>
      <c r="U60" s="144">
        <f>SUMIF($I$3:$O$3,Assumptions!$A$17,$I60:$O60)*N($G60)</f>
        <v>0</v>
      </c>
      <c r="V60" s="144">
        <f>SUMIF($I$3:$O$3,Assumptions!$A$18,$I60:$O60)*N($G60)</f>
        <v>0</v>
      </c>
      <c r="W60" s="144">
        <f>SUMIF($I$3:$O$3,Assumptions!$A$19,$I60:$O60)*N($G60)</f>
        <v>0</v>
      </c>
      <c r="X60" s="145">
        <f>S60*Assumptions!$B$15+T60*Assumptions!$B$16+U60*Assumptions!$B$17+V60*Assumptions!$B$18+W60*Assumptions!$B$19</f>
        <v>0</v>
      </c>
      <c r="Y60" s="145" t="str">
        <f t="shared" si="42"/>
        <v/>
      </c>
      <c r="Z60" s="146" t="str">
        <f t="shared" si="43"/>
        <v/>
      </c>
      <c r="AA60" s="146">
        <f>IF(D60="Active",1,IF(D60="Prospective",IF(Assumptions!$B$6="Active only",0,Assumptions!$B$7),0))</f>
        <v>0</v>
      </c>
      <c r="AB60" s="147" t="str">
        <f t="shared" si="44"/>
        <v/>
      </c>
      <c r="AC60" s="152" t="s">
        <v>103</v>
      </c>
      <c r="AD60" s="156">
        <f t="shared" si="2"/>
        <v>0</v>
      </c>
    </row>
    <row r="61" spans="1:30" collapsed="1" x14ac:dyDescent="0.25">
      <c r="A61" s="59">
        <v>2494</v>
      </c>
      <c r="B61" s="207" t="s">
        <v>197</v>
      </c>
      <c r="C61" s="61" t="s">
        <v>129</v>
      </c>
      <c r="D61" s="62" t="s">
        <v>33</v>
      </c>
      <c r="E61" s="63" t="str">
        <f>IF(COUNT(E62:E64)=0,"",MIN(E62:E64))</f>
        <v/>
      </c>
      <c r="F61" s="63" t="str">
        <f>IF(COUNT(F62:F64)=0,"",MAX(F62:F64))</f>
        <v/>
      </c>
      <c r="G61" s="134"/>
      <c r="H61" s="125">
        <f>SUM(H62:H64)</f>
        <v>88000</v>
      </c>
      <c r="I61" s="141"/>
      <c r="J61" s="141"/>
      <c r="K61" s="141"/>
      <c r="L61" s="141"/>
      <c r="M61" s="141"/>
      <c r="N61" s="141"/>
      <c r="O61" s="141"/>
      <c r="P61" s="141">
        <f>SUM(P62:P64)</f>
        <v>0</v>
      </c>
      <c r="Q61" s="141">
        <f>SUM(Q62:Q64)</f>
        <v>0</v>
      </c>
      <c r="R61" s="141">
        <f t="shared" si="0"/>
        <v>0</v>
      </c>
      <c r="S61" s="141">
        <f t="shared" ref="S61:X61" si="45">SUM(S62:S64)</f>
        <v>0</v>
      </c>
      <c r="T61" s="141">
        <f t="shared" si="45"/>
        <v>0</v>
      </c>
      <c r="U61" s="141">
        <f t="shared" si="45"/>
        <v>0</v>
      </c>
      <c r="V61" s="141">
        <f t="shared" si="45"/>
        <v>0</v>
      </c>
      <c r="W61" s="141">
        <f t="shared" si="45"/>
        <v>0</v>
      </c>
      <c r="X61" s="142">
        <f t="shared" si="45"/>
        <v>0</v>
      </c>
      <c r="Y61" s="142">
        <f>H61-X61</f>
        <v>88000</v>
      </c>
      <c r="Z61" s="143">
        <f>IF(H61=0,"",X61/H61)</f>
        <v>0</v>
      </c>
      <c r="AA61" s="143"/>
      <c r="AB61" s="40" t="str">
        <f>IF(COUNTIF(AB62:AB64,"?*")=0,"No phases yet",IF(COUNTIF(AB62:AB64,"OK")=COUNTIF(AB62:AB64,"?*"),"All OK",(COUNTIF(AB62:AB64,"?*")-COUNTIF(AB62:AB64,"OK"))&amp;" to fix"))</f>
        <v>3 to fix</v>
      </c>
      <c r="AC61" s="52" t="s">
        <v>130</v>
      </c>
      <c r="AD61" s="156">
        <f t="shared" si="2"/>
        <v>0</v>
      </c>
    </row>
    <row r="62" spans="1:30" outlineLevel="1" x14ac:dyDescent="0.25">
      <c r="A62" s="54">
        <f>IF(A61="","",A61)</f>
        <v>2494</v>
      </c>
      <c r="B62" s="55" t="str">
        <f>IF(B61="","",B61)</f>
        <v>Laurel Park Garden</v>
      </c>
      <c r="C62" s="56" t="s">
        <v>107</v>
      </c>
      <c r="D62" s="57" t="str">
        <f>IF(COUNTA(C62,E62,H62,I62:O62)=0,"",IF(D61="","",D61))</f>
        <v>Active</v>
      </c>
      <c r="E62" s="58"/>
      <c r="F62" s="138" t="str">
        <f>IF(_xlfn.ISFORMULA(G62),"",IF(AND(E62&lt;&gt;"",N(G62)&gt;0),E62+7*G62-1,""))</f>
        <v/>
      </c>
      <c r="G62" s="135" t="str">
        <f>IF(OR(E62="",F62=""),"",IF(F62&lt;E62,"",ROUNDUP((F62-E62+1)/7,0)))</f>
        <v/>
      </c>
      <c r="H62" s="126">
        <v>56000</v>
      </c>
      <c r="I62" s="148"/>
      <c r="J62" s="148"/>
      <c r="K62" s="148"/>
      <c r="L62" s="148"/>
      <c r="M62" s="148"/>
      <c r="N62" s="148"/>
      <c r="O62" s="148"/>
      <c r="P62" s="144">
        <f>SUM(I62:O62)*N(G62)</f>
        <v>0</v>
      </c>
      <c r="Q62" s="144" cm="1">
        <f t="array" ref="Q62">IF(OR(A62="",E62="",F62=""),0,SUMPRODUCT((tlNo=A62)*(Timeline!$H$18:$BG$18+6&gt;=E62)*(Timeline!$H$18:$BG$18&lt;=F62)*Timeline!$H$20:$BG$378))</f>
        <v>0</v>
      </c>
      <c r="R62" s="144">
        <f t="shared" si="0"/>
        <v>0</v>
      </c>
      <c r="S62" s="144">
        <f>SUMIF($I$3:$O$3,Assumptions!$A$15,$I62:$O62)*N($G62)</f>
        <v>0</v>
      </c>
      <c r="T62" s="144">
        <f>SUMIF($I$3:$O$3,Assumptions!$A$16,$I62:$O62)*N($G62)</f>
        <v>0</v>
      </c>
      <c r="U62" s="144">
        <f>SUMIF($I$3:$O$3,Assumptions!$A$17,$I62:$O62)*N($G62)</f>
        <v>0</v>
      </c>
      <c r="V62" s="144">
        <f>SUMIF($I$3:$O$3,Assumptions!$A$18,$I62:$O62)*N($G62)</f>
        <v>0</v>
      </c>
      <c r="W62" s="144">
        <f>SUMIF($I$3:$O$3,Assumptions!$A$19,$I62:$O62)*N($G62)</f>
        <v>0</v>
      </c>
      <c r="X62" s="145">
        <f>S62*Assumptions!$B$15+T62*Assumptions!$B$16+U62*Assumptions!$B$17+V62*Assumptions!$B$18+W62*Assumptions!$B$19</f>
        <v>0</v>
      </c>
      <c r="Y62" s="145">
        <f>IF(D62="","",H62-X62)</f>
        <v>56000</v>
      </c>
      <c r="Z62" s="146">
        <f>IF(OR(D62="",H62=0),"",X62/H62)</f>
        <v>0</v>
      </c>
      <c r="AA62" s="146">
        <f>IF(D62="Active",1,IF(D62="Prospective",IF(Assumptions!$B$6="Active only",0,Assumptions!$B$7),0))</f>
        <v>1</v>
      </c>
      <c r="AB62" s="147" t="str">
        <f>IF(COUNTA(C62,E62,H62,I62:O62)=0,"",IF(C62="","Select phase",IF(OR(E62="",F62=""),"Enter dates",IF(F62&lt;E62,"End before start",IF(H62="","Enter phase fee",IF(P62=0,"Enter staff hours",IF(R62&lt;0,"Over-mapped on Timeline",IF(R62&gt;0,"Map hours on Timeline","OK"))))))))</f>
        <v>Enter dates</v>
      </c>
      <c r="AC62" s="152" t="s">
        <v>103</v>
      </c>
      <c r="AD62" s="156">
        <f t="shared" si="2"/>
        <v>0</v>
      </c>
    </row>
    <row r="63" spans="1:30" outlineLevel="1" x14ac:dyDescent="0.25">
      <c r="A63" s="51">
        <f>IF(A61="","",A61)</f>
        <v>2494</v>
      </c>
      <c r="B63" s="41" t="str">
        <f>IF(B61="","",B61)</f>
        <v>Laurel Park Garden</v>
      </c>
      <c r="C63" s="42" t="s">
        <v>109</v>
      </c>
      <c r="D63" s="43" t="str">
        <f>IF(COUNTA(C63,E63,H63,I63:O63)=0,"",IF(D61="","",D61))</f>
        <v>Active</v>
      </c>
      <c r="E63" s="44"/>
      <c r="F63" s="139" t="str">
        <f>IF(_xlfn.ISFORMULA(G63),"",IF(AND(E63&lt;&gt;"",N(G63)&gt;0),E63+7*G63-1,""))</f>
        <v/>
      </c>
      <c r="G63" s="136" t="str">
        <f>IF(OR(E63="",F63=""),"",IF(F63&lt;E63,"",ROUNDUP((F63-E63+1)/7,0)))</f>
        <v/>
      </c>
      <c r="H63" s="127">
        <v>6500</v>
      </c>
      <c r="I63" s="148"/>
      <c r="J63" s="148"/>
      <c r="K63" s="148"/>
      <c r="L63" s="148"/>
      <c r="M63" s="148"/>
      <c r="N63" s="148"/>
      <c r="O63" s="148"/>
      <c r="P63" s="144">
        <f>SUM(I63:O63)*N(G63)</f>
        <v>0</v>
      </c>
      <c r="Q63" s="144" cm="1">
        <f t="array" ref="Q63">IF(OR(A63="",E63="",F63=""),0,SUMPRODUCT((tlNo=A63)*(Timeline!$H$18:$BG$18+6&gt;=E63)*(Timeline!$H$18:$BG$18&lt;=F63)*Timeline!$H$20:$BG$378))</f>
        <v>0</v>
      </c>
      <c r="R63" s="144">
        <f t="shared" si="0"/>
        <v>0</v>
      </c>
      <c r="S63" s="144">
        <f>SUMIF($I$3:$O$3,Assumptions!$A$15,$I63:$O63)*N($G63)</f>
        <v>0</v>
      </c>
      <c r="T63" s="144">
        <f>SUMIF($I$3:$O$3,Assumptions!$A$16,$I63:$O63)*N($G63)</f>
        <v>0</v>
      </c>
      <c r="U63" s="144">
        <f>SUMIF($I$3:$O$3,Assumptions!$A$17,$I63:$O63)*N($G63)</f>
        <v>0</v>
      </c>
      <c r="V63" s="144">
        <f>SUMIF($I$3:$O$3,Assumptions!$A$18,$I63:$O63)*N($G63)</f>
        <v>0</v>
      </c>
      <c r="W63" s="144">
        <f>SUMIF($I$3:$O$3,Assumptions!$A$19,$I63:$O63)*N($G63)</f>
        <v>0</v>
      </c>
      <c r="X63" s="145">
        <f>S63*Assumptions!$B$15+T63*Assumptions!$B$16+U63*Assumptions!$B$17+V63*Assumptions!$B$18+W63*Assumptions!$B$19</f>
        <v>0</v>
      </c>
      <c r="Y63" s="145">
        <f>IF(D63="","",H63-X63)</f>
        <v>6500</v>
      </c>
      <c r="Z63" s="146">
        <f>IF(OR(D63="",H63=0),"",X63/H63)</f>
        <v>0</v>
      </c>
      <c r="AA63" s="146">
        <f>IF(D63="Active",1,IF(D63="Prospective",IF(Assumptions!$B$6="Active only",0,Assumptions!$B$7),0))</f>
        <v>1</v>
      </c>
      <c r="AB63" s="147" t="str">
        <f>IF(COUNTA(C63,E63,H63,I63:O63)=0,"",IF(C63="","Select phase",IF(OR(E63="",F63=""),"Enter dates",IF(F63&lt;E63,"End before start",IF(H63="","Enter phase fee",IF(P63=0,"Enter staff hours",IF(R63&lt;0,"Over-mapped on Timeline",IF(R63&gt;0,"Map hours on Timeline","OK"))))))))</f>
        <v>Enter dates</v>
      </c>
      <c r="AC63" s="152" t="s">
        <v>103</v>
      </c>
      <c r="AD63" s="156">
        <f t="shared" si="2"/>
        <v>0</v>
      </c>
    </row>
    <row r="64" spans="1:30" outlineLevel="1" x14ac:dyDescent="0.25">
      <c r="A64" s="51">
        <f>IF(A61="","",A61)</f>
        <v>2494</v>
      </c>
      <c r="B64" s="41" t="str">
        <f>IF(B61="","",B61)</f>
        <v>Laurel Park Garden</v>
      </c>
      <c r="C64" s="42" t="s">
        <v>110</v>
      </c>
      <c r="D64" s="43" t="str">
        <f>IF(COUNTA(C64,E64,H64,I64:O64)=0,"",IF(D61="","",D61))</f>
        <v>Active</v>
      </c>
      <c r="E64" s="44"/>
      <c r="F64" s="139" t="str">
        <f>IF(_xlfn.ISFORMULA(G64),"",IF(AND(E64&lt;&gt;"",N(G64)&gt;0),E64+7*G64-1,""))</f>
        <v/>
      </c>
      <c r="G64" s="136" t="str">
        <f>IF(OR(E64="",F64=""),"",IF(F64&lt;E64,"",ROUNDUP((F64-E64+1)/7,0)))</f>
        <v/>
      </c>
      <c r="H64" s="127">
        <v>25500</v>
      </c>
      <c r="I64" s="148"/>
      <c r="J64" s="148"/>
      <c r="K64" s="148"/>
      <c r="L64" s="148"/>
      <c r="M64" s="148"/>
      <c r="N64" s="148"/>
      <c r="O64" s="148"/>
      <c r="P64" s="144">
        <f>SUM(I64:O64)*N(G64)</f>
        <v>0</v>
      </c>
      <c r="Q64" s="144" cm="1">
        <f t="array" ref="Q64">IF(OR(A64="",E64="",F64=""),0,SUMPRODUCT((tlNo=A64)*(Timeline!$H$18:$BG$18+6&gt;=E64)*(Timeline!$H$18:$BG$18&lt;=F64)*Timeline!$H$20:$BG$378))</f>
        <v>0</v>
      </c>
      <c r="R64" s="144">
        <f t="shared" si="0"/>
        <v>0</v>
      </c>
      <c r="S64" s="144">
        <f>SUMIF($I$3:$O$3,Assumptions!$A$15,$I64:$O64)*N($G64)</f>
        <v>0</v>
      </c>
      <c r="T64" s="144">
        <f>SUMIF($I$3:$O$3,Assumptions!$A$16,$I64:$O64)*N($G64)</f>
        <v>0</v>
      </c>
      <c r="U64" s="144">
        <f>SUMIF($I$3:$O$3,Assumptions!$A$17,$I64:$O64)*N($G64)</f>
        <v>0</v>
      </c>
      <c r="V64" s="144">
        <f>SUMIF($I$3:$O$3,Assumptions!$A$18,$I64:$O64)*N($G64)</f>
        <v>0</v>
      </c>
      <c r="W64" s="144">
        <f>SUMIF($I$3:$O$3,Assumptions!$A$19,$I64:$O64)*N($G64)</f>
        <v>0</v>
      </c>
      <c r="X64" s="145">
        <f>S64*Assumptions!$B$15+T64*Assumptions!$B$16+U64*Assumptions!$B$17+V64*Assumptions!$B$18+W64*Assumptions!$B$19</f>
        <v>0</v>
      </c>
      <c r="Y64" s="145">
        <f>IF(D64="","",H64-X64)</f>
        <v>25500</v>
      </c>
      <c r="Z64" s="146">
        <f>IF(OR(D64="",H64=0),"",X64/H64)</f>
        <v>0</v>
      </c>
      <c r="AA64" s="146">
        <f>IF(D64="Active",1,IF(D64="Prospective",IF(Assumptions!$B$6="Active only",0,Assumptions!$B$7),0))</f>
        <v>1</v>
      </c>
      <c r="AB64" s="147" t="str">
        <f>IF(COUNTA(C64,E64,H64,I64:O64)=0,"",IF(C64="","Select phase",IF(OR(E64="",F64=""),"Enter dates",IF(F64&lt;E64,"End before start",IF(H64="","Enter phase fee",IF(P64=0,"Enter staff hours",IF(R64&lt;0,"Over-mapped on Timeline",IF(R64&gt;0,"Map hours on Timeline","OK"))))))))</f>
        <v>Enter dates</v>
      </c>
      <c r="AC64" s="152" t="s">
        <v>103</v>
      </c>
      <c r="AD64" s="156">
        <f t="shared" si="2"/>
        <v>0</v>
      </c>
    </row>
    <row r="65" spans="1:30" x14ac:dyDescent="0.25">
      <c r="A65" s="59">
        <v>2499</v>
      </c>
      <c r="B65" s="207" t="s">
        <v>198</v>
      </c>
      <c r="C65" s="61" t="s">
        <v>129</v>
      </c>
      <c r="D65" s="62" t="s">
        <v>33</v>
      </c>
      <c r="E65" s="63">
        <f>IF(COUNT(E66:E66)=0,"",MIN(E66:E66))</f>
        <v>46307</v>
      </c>
      <c r="F65" s="63">
        <f>IF(COUNT(F66:F66)=0,"",MAX(F66:F66))</f>
        <v>46376</v>
      </c>
      <c r="G65" s="134"/>
      <c r="H65" s="125">
        <f>SUM(H66:H66)</f>
        <v>76500</v>
      </c>
      <c r="I65" s="141"/>
      <c r="J65" s="141"/>
      <c r="K65" s="141"/>
      <c r="L65" s="141"/>
      <c r="M65" s="141"/>
      <c r="N65" s="141"/>
      <c r="O65" s="141"/>
      <c r="P65" s="141">
        <f>SUM(P66:P66)</f>
        <v>300</v>
      </c>
      <c r="Q65" s="141">
        <f>SUM(Q66:Q66)</f>
        <v>300</v>
      </c>
      <c r="R65" s="141">
        <f t="shared" si="0"/>
        <v>0</v>
      </c>
      <c r="S65" s="141">
        <f t="shared" ref="S65:X65" si="46">SUM(S66:S66)</f>
        <v>40</v>
      </c>
      <c r="T65" s="141">
        <f t="shared" si="46"/>
        <v>80</v>
      </c>
      <c r="U65" s="141">
        <f t="shared" si="46"/>
        <v>0</v>
      </c>
      <c r="V65" s="141">
        <f t="shared" si="46"/>
        <v>180</v>
      </c>
      <c r="W65" s="141">
        <f t="shared" si="46"/>
        <v>0</v>
      </c>
      <c r="X65" s="142">
        <f t="shared" si="46"/>
        <v>63100</v>
      </c>
      <c r="Y65" s="142">
        <f>H65-X65</f>
        <v>13400</v>
      </c>
      <c r="Z65" s="143">
        <f>IF(H65=0,"",X65/H65)</f>
        <v>0.8248366013071895</v>
      </c>
      <c r="AA65" s="143"/>
      <c r="AB65" s="40" t="str">
        <f>IF(COUNTIF(AB66:AB66,"?*")=0,"No phases yet",IF(COUNTIF(AB66:AB66,"OK")=COUNTIF(AB66:AB66,"?*"),"All OK",(COUNTIF(AB66:AB66,"?*")-COUNTIF(AB66:AB66,"OK"))&amp;" to fix"))</f>
        <v>All OK</v>
      </c>
      <c r="AC65" s="52" t="s">
        <v>130</v>
      </c>
      <c r="AD65" s="156">
        <f t="shared" si="2"/>
        <v>0</v>
      </c>
    </row>
    <row r="66" spans="1:30" outlineLevel="1" x14ac:dyDescent="0.25">
      <c r="A66" s="54">
        <f>IF(A65="","",A65)</f>
        <v>2499</v>
      </c>
      <c r="B66" s="55" t="str">
        <f>IF(B65="","",B65)</f>
        <v>Zephyr Creative Office</v>
      </c>
      <c r="C66" s="56" t="s">
        <v>107</v>
      </c>
      <c r="D66" s="57" t="str">
        <f>IF(COUNTA(C66,E66,H66,I66:O66)=0,"",IF(D65="","",D65))</f>
        <v>Active</v>
      </c>
      <c r="E66" s="58">
        <v>46307</v>
      </c>
      <c r="F66" s="58">
        <f>IF(_xlfn.ISFORMULA(G66),"",IF(AND(E66&lt;&gt;"",N(G66)&gt;0),E66+7*G66-1,""))</f>
        <v>46376</v>
      </c>
      <c r="G66" s="135">
        <v>10</v>
      </c>
      <c r="H66" s="126">
        <v>76500</v>
      </c>
      <c r="I66" s="148">
        <v>4</v>
      </c>
      <c r="J66" s="148"/>
      <c r="K66" s="148">
        <v>8</v>
      </c>
      <c r="L66" s="148"/>
      <c r="M66" s="148"/>
      <c r="N66" s="148">
        <v>18</v>
      </c>
      <c r="O66" s="148"/>
      <c r="P66" s="144">
        <f>SUM(I66:O66)*N(G66)</f>
        <v>300</v>
      </c>
      <c r="Q66" s="144" cm="1">
        <f t="array" ref="Q66">IF(OR(A66="",E66="",F66=""),0,SUMPRODUCT((tlNo=A66)*(Timeline!$H$18:$BG$18+6&gt;=E66)*(Timeline!$H$18:$BG$18&lt;=F66)*Timeline!$H$20:$BG$378))</f>
        <v>300</v>
      </c>
      <c r="R66" s="144">
        <f t="shared" si="0"/>
        <v>0</v>
      </c>
      <c r="S66" s="144">
        <f>SUMIF($I$3:$O$3,Assumptions!$A$15,$I66:$O66)*N($G66)</f>
        <v>40</v>
      </c>
      <c r="T66" s="144">
        <f>SUMIF($I$3:$O$3,Assumptions!$A$16,$I66:$O66)*N($G66)</f>
        <v>80</v>
      </c>
      <c r="U66" s="144">
        <f>SUMIF($I$3:$O$3,Assumptions!$A$17,$I66:$O66)*N($G66)</f>
        <v>0</v>
      </c>
      <c r="V66" s="144">
        <f>SUMIF($I$3:$O$3,Assumptions!$A$18,$I66:$O66)*N($G66)</f>
        <v>180</v>
      </c>
      <c r="W66" s="144">
        <f>SUMIF($I$3:$O$3,Assumptions!$A$19,$I66:$O66)*N($G66)</f>
        <v>0</v>
      </c>
      <c r="X66" s="145">
        <f>S66*Assumptions!$B$15+T66*Assumptions!$B$16+U66*Assumptions!$B$17+V66*Assumptions!$B$18+W66*Assumptions!$B$19</f>
        <v>63100</v>
      </c>
      <c r="Y66" s="145">
        <f>IF(D66="","",H66-X66)</f>
        <v>13400</v>
      </c>
      <c r="Z66" s="146">
        <f>IF(OR(D66="",H66=0),"",X66/H66)</f>
        <v>0.8248366013071895</v>
      </c>
      <c r="AA66" s="146">
        <f>IF(D66="Active",1,IF(D66="Prospective",IF(Assumptions!$B$6="Active only",0,Assumptions!$B$7),0))</f>
        <v>1</v>
      </c>
      <c r="AB66" s="147" t="str">
        <f>IF(COUNTA(C66,E66,H66,I66:O66)=0,"",IF(C66="","Select phase",IF(OR(E66="",F66=""),"Enter dates",IF(F66&lt;E66,"End before start",IF(H66="","Enter phase fee",IF(P66=0,"Enter staff hours",IF(R66&lt;0,"Over-mapped on Timeline",IF(R66&gt;0,"Map hours on Timeline","OK"))))))))</f>
        <v>OK</v>
      </c>
      <c r="AC66" s="152" t="s">
        <v>103</v>
      </c>
      <c r="AD66" s="156">
        <f t="shared" si="2"/>
        <v>10</v>
      </c>
    </row>
    <row r="67" spans="1:30" x14ac:dyDescent="0.25">
      <c r="A67" s="59">
        <v>2545</v>
      </c>
      <c r="B67" s="207" t="s">
        <v>199</v>
      </c>
      <c r="C67" s="61" t="s">
        <v>129</v>
      </c>
      <c r="D67" s="62" t="s">
        <v>173</v>
      </c>
      <c r="E67" s="63" t="str">
        <f>IF(COUNT(E68:E75)=0,"",MIN(E68:E75))</f>
        <v/>
      </c>
      <c r="F67" s="63" t="str">
        <f>IF(COUNT(F68:F75)=0,"",MAX(F68:F75))</f>
        <v/>
      </c>
      <c r="G67" s="134"/>
      <c r="H67" s="125">
        <f>SUM(H68:H75)</f>
        <v>0</v>
      </c>
      <c r="I67" s="141"/>
      <c r="J67" s="141"/>
      <c r="K67" s="141"/>
      <c r="L67" s="141"/>
      <c r="M67" s="141"/>
      <c r="N67" s="141"/>
      <c r="O67" s="141"/>
      <c r="P67" s="141">
        <f>SUM(P68:P75)</f>
        <v>0</v>
      </c>
      <c r="Q67" s="141">
        <f>SUM(Q68:Q75)</f>
        <v>0</v>
      </c>
      <c r="R67" s="141">
        <f t="shared" si="0"/>
        <v>0</v>
      </c>
      <c r="S67" s="141">
        <f t="shared" ref="S67:X67" si="47">SUM(S68:S75)</f>
        <v>0</v>
      </c>
      <c r="T67" s="141">
        <f t="shared" si="47"/>
        <v>0</v>
      </c>
      <c r="U67" s="141">
        <f t="shared" si="47"/>
        <v>0</v>
      </c>
      <c r="V67" s="141">
        <f t="shared" si="47"/>
        <v>0</v>
      </c>
      <c r="W67" s="141">
        <f t="shared" si="47"/>
        <v>0</v>
      </c>
      <c r="X67" s="142">
        <f t="shared" si="47"/>
        <v>0</v>
      </c>
      <c r="Y67" s="142">
        <f>H67-X67</f>
        <v>0</v>
      </c>
      <c r="Z67" s="143" t="str">
        <f>IF(H67=0,"",X67/H67)</f>
        <v/>
      </c>
      <c r="AA67" s="143"/>
      <c r="AB67" s="40" t="str">
        <f>IF(COUNTIF(AB68:AB75,"?*")=0,"No phases yet",IF(COUNTIF(AB68:AB75,"OK")=COUNTIF(AB68:AB75,"?*"),"All OK",(COUNTIF(AB68:AB75,"?*")-COUNTIF(AB68:AB75,"OK"))&amp;" to fix"))</f>
        <v>No phases yet</v>
      </c>
      <c r="AC67" s="52" t="s">
        <v>130</v>
      </c>
      <c r="AD67" s="156">
        <f t="shared" si="2"/>
        <v>0</v>
      </c>
    </row>
    <row r="68" spans="1:30" hidden="1" outlineLevel="2" x14ac:dyDescent="0.25">
      <c r="A68" s="54">
        <f>IF(A67="","",A67)</f>
        <v>2545</v>
      </c>
      <c r="B68" s="55" t="str">
        <f>IF(B67="","",B67)</f>
        <v>Mariner Courtyard</v>
      </c>
      <c r="C68" s="56"/>
      <c r="D68" s="57" t="str">
        <f>IF(COUNTA(C68,E68,H68,I68:O68)=0,"",IF(D67="","",D67))</f>
        <v/>
      </c>
      <c r="E68" s="58"/>
      <c r="F68" s="138" t="str">
        <f t="shared" ref="F68:F75" si="48">IF(_xlfn.ISFORMULA(G68),"",IF(AND(E68&lt;&gt;"",N(G68)&gt;0),E68+7*G68-1,""))</f>
        <v/>
      </c>
      <c r="G68" s="135" t="str">
        <f t="shared" ref="G68:G75" si="49">IF(OR(E68="",F68=""),"",IF(F68&lt;E68,"",ROUNDUP((F68-E68+1)/7,0)))</f>
        <v/>
      </c>
      <c r="H68" s="126"/>
      <c r="I68" s="148"/>
      <c r="J68" s="148"/>
      <c r="K68" s="148"/>
      <c r="L68" s="148"/>
      <c r="M68" s="148"/>
      <c r="N68" s="148"/>
      <c r="O68" s="148"/>
      <c r="P68" s="144">
        <f t="shared" ref="P68:P75" si="50">SUM(I68:O68)*N(G68)</f>
        <v>0</v>
      </c>
      <c r="Q68" s="144" cm="1">
        <f t="array" ref="Q68">IF(OR(A68="",E68="",F68=""),0,SUMPRODUCT((tlNo=A68)*(Timeline!$H$18:$BG$18+6&gt;=E68)*(Timeline!$H$18:$BG$18&lt;=F68)*Timeline!$H$20:$BG$378))</f>
        <v>0</v>
      </c>
      <c r="R68" s="144">
        <f t="shared" si="0"/>
        <v>0</v>
      </c>
      <c r="S68" s="144">
        <f>SUMIF($I$3:$O$3,Assumptions!$A$15,$I68:$O68)*N($G68)</f>
        <v>0</v>
      </c>
      <c r="T68" s="144">
        <f>SUMIF($I$3:$O$3,Assumptions!$A$16,$I68:$O68)*N($G68)</f>
        <v>0</v>
      </c>
      <c r="U68" s="144">
        <f>SUMIF($I$3:$O$3,Assumptions!$A$17,$I68:$O68)*N($G68)</f>
        <v>0</v>
      </c>
      <c r="V68" s="144">
        <f>SUMIF($I$3:$O$3,Assumptions!$A$18,$I68:$O68)*N($G68)</f>
        <v>0</v>
      </c>
      <c r="W68" s="144">
        <f>SUMIF($I$3:$O$3,Assumptions!$A$19,$I68:$O68)*N($G68)</f>
        <v>0</v>
      </c>
      <c r="X68" s="145">
        <f>S68*Assumptions!$B$15+T68*Assumptions!$B$16+U68*Assumptions!$B$17+V68*Assumptions!$B$18+W68*Assumptions!$B$19</f>
        <v>0</v>
      </c>
      <c r="Y68" s="145" t="str">
        <f t="shared" ref="Y68:Y75" si="51">IF(D68="","",H68-X68)</f>
        <v/>
      </c>
      <c r="Z68" s="146" t="str">
        <f t="shared" ref="Z68:Z75" si="52">IF(OR(D68="",H68=0),"",X68/H68)</f>
        <v/>
      </c>
      <c r="AA68" s="146">
        <f>IF(D68="Active",1,IF(D68="Prospective",IF(Assumptions!$B$6="Active only",0,Assumptions!$B$7),0))</f>
        <v>0</v>
      </c>
      <c r="AB68" s="147" t="str">
        <f t="shared" ref="AB68:AB75" si="53">IF(COUNTA(C68,E68,H68,I68:O68)=0,"",IF(C68="","Select phase",IF(OR(E68="",F68=""),"Enter dates",IF(F68&lt;E68,"End before start",IF(H68="","Enter phase fee",IF(P68=0,"Enter staff hours",IF(R68&lt;0,"Over-mapped on Timeline",IF(R68&gt;0,"Map hours on Timeline","OK"))))))))</f>
        <v/>
      </c>
      <c r="AC68" s="152" t="s">
        <v>103</v>
      </c>
      <c r="AD68" s="156">
        <f t="shared" si="2"/>
        <v>0</v>
      </c>
    </row>
    <row r="69" spans="1:30" hidden="1" outlineLevel="2" x14ac:dyDescent="0.25">
      <c r="A69" s="51">
        <f>IF(A67="","",A67)</f>
        <v>2545</v>
      </c>
      <c r="B69" s="41" t="str">
        <f>IF(B67="","",B67)</f>
        <v>Mariner Courtyard</v>
      </c>
      <c r="C69" s="42"/>
      <c r="D69" s="43" t="str">
        <f>IF(COUNTA(C69,E69,H69,I69:O69)=0,"",IF(D67="","",D67))</f>
        <v/>
      </c>
      <c r="E69" s="44"/>
      <c r="F69" s="139" t="str">
        <f t="shared" si="48"/>
        <v/>
      </c>
      <c r="G69" s="136" t="str">
        <f t="shared" si="49"/>
        <v/>
      </c>
      <c r="H69" s="127"/>
      <c r="I69" s="148"/>
      <c r="J69" s="148"/>
      <c r="K69" s="148"/>
      <c r="L69" s="148"/>
      <c r="M69" s="148"/>
      <c r="N69" s="148"/>
      <c r="O69" s="148"/>
      <c r="P69" s="144">
        <f t="shared" si="50"/>
        <v>0</v>
      </c>
      <c r="Q69" s="144" cm="1">
        <f t="array" ref="Q69">IF(OR(A69="",E69="",F69=""),0,SUMPRODUCT((tlNo=A69)*(Timeline!$H$18:$BG$18+6&gt;=E69)*(Timeline!$H$18:$BG$18&lt;=F69)*Timeline!$H$20:$BG$378))</f>
        <v>0</v>
      </c>
      <c r="R69" s="144">
        <f t="shared" ref="R69:R132" si="54">P69-Q69</f>
        <v>0</v>
      </c>
      <c r="S69" s="144">
        <f>SUMIF($I$3:$O$3,Assumptions!$A$15,$I69:$O69)*N($G69)</f>
        <v>0</v>
      </c>
      <c r="T69" s="144">
        <f>SUMIF($I$3:$O$3,Assumptions!$A$16,$I69:$O69)*N($G69)</f>
        <v>0</v>
      </c>
      <c r="U69" s="144">
        <f>SUMIF($I$3:$O$3,Assumptions!$A$17,$I69:$O69)*N($G69)</f>
        <v>0</v>
      </c>
      <c r="V69" s="144">
        <f>SUMIF($I$3:$O$3,Assumptions!$A$18,$I69:$O69)*N($G69)</f>
        <v>0</v>
      </c>
      <c r="W69" s="144">
        <f>SUMIF($I$3:$O$3,Assumptions!$A$19,$I69:$O69)*N($G69)</f>
        <v>0</v>
      </c>
      <c r="X69" s="145">
        <f>S69*Assumptions!$B$15+T69*Assumptions!$B$16+U69*Assumptions!$B$17+V69*Assumptions!$B$18+W69*Assumptions!$B$19</f>
        <v>0</v>
      </c>
      <c r="Y69" s="145" t="str">
        <f t="shared" si="51"/>
        <v/>
      </c>
      <c r="Z69" s="146" t="str">
        <f t="shared" si="52"/>
        <v/>
      </c>
      <c r="AA69" s="146">
        <f>IF(D69="Active",1,IF(D69="Prospective",IF(Assumptions!$B$6="Active only",0,Assumptions!$B$7),0))</f>
        <v>0</v>
      </c>
      <c r="AB69" s="147" t="str">
        <f t="shared" si="53"/>
        <v/>
      </c>
      <c r="AC69" s="152" t="s">
        <v>103</v>
      </c>
      <c r="AD69" s="156">
        <f t="shared" ref="AD69:AD132" si="55">IF(AC69="Phase",N(G69),0)</f>
        <v>0</v>
      </c>
    </row>
    <row r="70" spans="1:30" hidden="1" outlineLevel="2" x14ac:dyDescent="0.25">
      <c r="A70" s="51">
        <f>IF(A67="","",A67)</f>
        <v>2545</v>
      </c>
      <c r="B70" s="41" t="str">
        <f>IF(B67="","",B67)</f>
        <v>Mariner Courtyard</v>
      </c>
      <c r="C70" s="42"/>
      <c r="D70" s="43" t="str">
        <f>IF(COUNTA(C70,E70,H70,I70:O70)=0,"",IF(D67="","",D67))</f>
        <v/>
      </c>
      <c r="E70" s="44"/>
      <c r="F70" s="139" t="str">
        <f t="shared" si="48"/>
        <v/>
      </c>
      <c r="G70" s="136" t="str">
        <f t="shared" si="49"/>
        <v/>
      </c>
      <c r="H70" s="127"/>
      <c r="I70" s="148"/>
      <c r="J70" s="148"/>
      <c r="K70" s="148"/>
      <c r="L70" s="148"/>
      <c r="M70" s="148"/>
      <c r="N70" s="148"/>
      <c r="O70" s="148"/>
      <c r="P70" s="144">
        <f t="shared" si="50"/>
        <v>0</v>
      </c>
      <c r="Q70" s="144" cm="1">
        <f t="array" ref="Q70">IF(OR(A70="",E70="",F70=""),0,SUMPRODUCT((tlNo=A70)*(Timeline!$H$18:$BG$18+6&gt;=E70)*(Timeline!$H$18:$BG$18&lt;=F70)*Timeline!$H$20:$BG$378))</f>
        <v>0</v>
      </c>
      <c r="R70" s="144">
        <f t="shared" si="54"/>
        <v>0</v>
      </c>
      <c r="S70" s="144">
        <f>SUMIF($I$3:$O$3,Assumptions!$A$15,$I70:$O70)*N($G70)</f>
        <v>0</v>
      </c>
      <c r="T70" s="144">
        <f>SUMIF($I$3:$O$3,Assumptions!$A$16,$I70:$O70)*N($G70)</f>
        <v>0</v>
      </c>
      <c r="U70" s="144">
        <f>SUMIF($I$3:$O$3,Assumptions!$A$17,$I70:$O70)*N($G70)</f>
        <v>0</v>
      </c>
      <c r="V70" s="144">
        <f>SUMIF($I$3:$O$3,Assumptions!$A$18,$I70:$O70)*N($G70)</f>
        <v>0</v>
      </c>
      <c r="W70" s="144">
        <f>SUMIF($I$3:$O$3,Assumptions!$A$19,$I70:$O70)*N($G70)</f>
        <v>0</v>
      </c>
      <c r="X70" s="145">
        <f>S70*Assumptions!$B$15+T70*Assumptions!$B$16+U70*Assumptions!$B$17+V70*Assumptions!$B$18+W70*Assumptions!$B$19</f>
        <v>0</v>
      </c>
      <c r="Y70" s="145" t="str">
        <f t="shared" si="51"/>
        <v/>
      </c>
      <c r="Z70" s="146" t="str">
        <f t="shared" si="52"/>
        <v/>
      </c>
      <c r="AA70" s="146">
        <f>IF(D70="Active",1,IF(D70="Prospective",IF(Assumptions!$B$6="Active only",0,Assumptions!$B$7),0))</f>
        <v>0</v>
      </c>
      <c r="AB70" s="147" t="str">
        <f t="shared" si="53"/>
        <v/>
      </c>
      <c r="AC70" s="152" t="s">
        <v>103</v>
      </c>
      <c r="AD70" s="156">
        <f t="shared" si="55"/>
        <v>0</v>
      </c>
    </row>
    <row r="71" spans="1:30" hidden="1" outlineLevel="2" x14ac:dyDescent="0.25">
      <c r="A71" s="51">
        <f>IF(A67="","",A67)</f>
        <v>2545</v>
      </c>
      <c r="B71" s="41" t="str">
        <f>IF(B67="","",B67)</f>
        <v>Mariner Courtyard</v>
      </c>
      <c r="C71" s="42"/>
      <c r="D71" s="43" t="str">
        <f>IF(COUNTA(C71,E71,H71,I71:O71)=0,"",IF(D67="","",D67))</f>
        <v/>
      </c>
      <c r="E71" s="44"/>
      <c r="F71" s="139" t="str">
        <f t="shared" si="48"/>
        <v/>
      </c>
      <c r="G71" s="136" t="str">
        <f t="shared" si="49"/>
        <v/>
      </c>
      <c r="H71" s="127"/>
      <c r="I71" s="148"/>
      <c r="J71" s="148"/>
      <c r="K71" s="148"/>
      <c r="L71" s="148"/>
      <c r="M71" s="148"/>
      <c r="N71" s="148"/>
      <c r="O71" s="148"/>
      <c r="P71" s="144">
        <f t="shared" si="50"/>
        <v>0</v>
      </c>
      <c r="Q71" s="144" cm="1">
        <f t="array" ref="Q71">IF(OR(A71="",E71="",F71=""),0,SUMPRODUCT((tlNo=A71)*(Timeline!$H$18:$BG$18+6&gt;=E71)*(Timeline!$H$18:$BG$18&lt;=F71)*Timeline!$H$20:$BG$378))</f>
        <v>0</v>
      </c>
      <c r="R71" s="144">
        <f t="shared" si="54"/>
        <v>0</v>
      </c>
      <c r="S71" s="144">
        <f>SUMIF($I$3:$O$3,Assumptions!$A$15,$I71:$O71)*N($G71)</f>
        <v>0</v>
      </c>
      <c r="T71" s="144">
        <f>SUMIF($I$3:$O$3,Assumptions!$A$16,$I71:$O71)*N($G71)</f>
        <v>0</v>
      </c>
      <c r="U71" s="144">
        <f>SUMIF($I$3:$O$3,Assumptions!$A$17,$I71:$O71)*N($G71)</f>
        <v>0</v>
      </c>
      <c r="V71" s="144">
        <f>SUMIF($I$3:$O$3,Assumptions!$A$18,$I71:$O71)*N($G71)</f>
        <v>0</v>
      </c>
      <c r="W71" s="144">
        <f>SUMIF($I$3:$O$3,Assumptions!$A$19,$I71:$O71)*N($G71)</f>
        <v>0</v>
      </c>
      <c r="X71" s="145">
        <f>S71*Assumptions!$B$15+T71*Assumptions!$B$16+U71*Assumptions!$B$17+V71*Assumptions!$B$18+W71*Assumptions!$B$19</f>
        <v>0</v>
      </c>
      <c r="Y71" s="145" t="str">
        <f t="shared" si="51"/>
        <v/>
      </c>
      <c r="Z71" s="146" t="str">
        <f t="shared" si="52"/>
        <v/>
      </c>
      <c r="AA71" s="146">
        <f>IF(D71="Active",1,IF(D71="Prospective",IF(Assumptions!$B$6="Active only",0,Assumptions!$B$7),0))</f>
        <v>0</v>
      </c>
      <c r="AB71" s="147" t="str">
        <f t="shared" si="53"/>
        <v/>
      </c>
      <c r="AC71" s="152" t="s">
        <v>103</v>
      </c>
      <c r="AD71" s="156">
        <f t="shared" si="55"/>
        <v>0</v>
      </c>
    </row>
    <row r="72" spans="1:30" hidden="1" outlineLevel="2" x14ac:dyDescent="0.25">
      <c r="A72" s="51">
        <f>IF(A67="","",A67)</f>
        <v>2545</v>
      </c>
      <c r="B72" s="41" t="str">
        <f>IF(B67="","",B67)</f>
        <v>Mariner Courtyard</v>
      </c>
      <c r="C72" s="42"/>
      <c r="D72" s="43" t="str">
        <f>IF(COUNTA(C72,E72,H72,I72:O72)=0,"",IF(D67="","",D67))</f>
        <v/>
      </c>
      <c r="E72" s="44"/>
      <c r="F72" s="139" t="str">
        <f t="shared" si="48"/>
        <v/>
      </c>
      <c r="G72" s="136" t="str">
        <f t="shared" si="49"/>
        <v/>
      </c>
      <c r="H72" s="127"/>
      <c r="I72" s="148"/>
      <c r="J72" s="148"/>
      <c r="K72" s="148"/>
      <c r="L72" s="148"/>
      <c r="M72" s="148"/>
      <c r="N72" s="148"/>
      <c r="O72" s="148"/>
      <c r="P72" s="144">
        <f t="shared" si="50"/>
        <v>0</v>
      </c>
      <c r="Q72" s="144" cm="1">
        <f t="array" ref="Q72">IF(OR(A72="",E72="",F72=""),0,SUMPRODUCT((tlNo=A72)*(Timeline!$H$18:$BG$18+6&gt;=E72)*(Timeline!$H$18:$BG$18&lt;=F72)*Timeline!$H$20:$BG$378))</f>
        <v>0</v>
      </c>
      <c r="R72" s="144">
        <f t="shared" si="54"/>
        <v>0</v>
      </c>
      <c r="S72" s="144">
        <f>SUMIF($I$3:$O$3,Assumptions!$A$15,$I72:$O72)*N($G72)</f>
        <v>0</v>
      </c>
      <c r="T72" s="144">
        <f>SUMIF($I$3:$O$3,Assumptions!$A$16,$I72:$O72)*N($G72)</f>
        <v>0</v>
      </c>
      <c r="U72" s="144">
        <f>SUMIF($I$3:$O$3,Assumptions!$A$17,$I72:$O72)*N($G72)</f>
        <v>0</v>
      </c>
      <c r="V72" s="144">
        <f>SUMIF($I$3:$O$3,Assumptions!$A$18,$I72:$O72)*N($G72)</f>
        <v>0</v>
      </c>
      <c r="W72" s="144">
        <f>SUMIF($I$3:$O$3,Assumptions!$A$19,$I72:$O72)*N($G72)</f>
        <v>0</v>
      </c>
      <c r="X72" s="145">
        <f>S72*Assumptions!$B$15+T72*Assumptions!$B$16+U72*Assumptions!$B$17+V72*Assumptions!$B$18+W72*Assumptions!$B$19</f>
        <v>0</v>
      </c>
      <c r="Y72" s="145" t="str">
        <f t="shared" si="51"/>
        <v/>
      </c>
      <c r="Z72" s="146" t="str">
        <f t="shared" si="52"/>
        <v/>
      </c>
      <c r="AA72" s="146">
        <f>IF(D72="Active",1,IF(D72="Prospective",IF(Assumptions!$B$6="Active only",0,Assumptions!$B$7),0))</f>
        <v>0</v>
      </c>
      <c r="AB72" s="147" t="str">
        <f t="shared" si="53"/>
        <v/>
      </c>
      <c r="AC72" s="152" t="s">
        <v>103</v>
      </c>
      <c r="AD72" s="156">
        <f t="shared" si="55"/>
        <v>0</v>
      </c>
    </row>
    <row r="73" spans="1:30" hidden="1" outlineLevel="2" x14ac:dyDescent="0.25">
      <c r="A73" s="51">
        <f>IF(A67="","",A67)</f>
        <v>2545</v>
      </c>
      <c r="B73" s="41" t="str">
        <f>IF(B67="","",B67)</f>
        <v>Mariner Courtyard</v>
      </c>
      <c r="C73" s="42"/>
      <c r="D73" s="43" t="str">
        <f>IF(COUNTA(C73,E73,H73,I73:O73)=0,"",IF(D67="","",D67))</f>
        <v/>
      </c>
      <c r="E73" s="44"/>
      <c r="F73" s="139" t="str">
        <f t="shared" si="48"/>
        <v/>
      </c>
      <c r="G73" s="136" t="str">
        <f t="shared" si="49"/>
        <v/>
      </c>
      <c r="H73" s="127"/>
      <c r="I73" s="148"/>
      <c r="J73" s="148"/>
      <c r="K73" s="148"/>
      <c r="L73" s="148"/>
      <c r="M73" s="148"/>
      <c r="N73" s="148"/>
      <c r="O73" s="148"/>
      <c r="P73" s="144">
        <f t="shared" si="50"/>
        <v>0</v>
      </c>
      <c r="Q73" s="144" cm="1">
        <f t="array" ref="Q73">IF(OR(A73="",E73="",F73=""),0,SUMPRODUCT((tlNo=A73)*(Timeline!$H$18:$BG$18+6&gt;=E73)*(Timeline!$H$18:$BG$18&lt;=F73)*Timeline!$H$20:$BG$378))</f>
        <v>0</v>
      </c>
      <c r="R73" s="144">
        <f t="shared" si="54"/>
        <v>0</v>
      </c>
      <c r="S73" s="144">
        <f>SUMIF($I$3:$O$3,Assumptions!$A$15,$I73:$O73)*N($G73)</f>
        <v>0</v>
      </c>
      <c r="T73" s="144">
        <f>SUMIF($I$3:$O$3,Assumptions!$A$16,$I73:$O73)*N($G73)</f>
        <v>0</v>
      </c>
      <c r="U73" s="144">
        <f>SUMIF($I$3:$O$3,Assumptions!$A$17,$I73:$O73)*N($G73)</f>
        <v>0</v>
      </c>
      <c r="V73" s="144">
        <f>SUMIF($I$3:$O$3,Assumptions!$A$18,$I73:$O73)*N($G73)</f>
        <v>0</v>
      </c>
      <c r="W73" s="144">
        <f>SUMIF($I$3:$O$3,Assumptions!$A$19,$I73:$O73)*N($G73)</f>
        <v>0</v>
      </c>
      <c r="X73" s="145">
        <f>S73*Assumptions!$B$15+T73*Assumptions!$B$16+U73*Assumptions!$B$17+V73*Assumptions!$B$18+W73*Assumptions!$B$19</f>
        <v>0</v>
      </c>
      <c r="Y73" s="145" t="str">
        <f t="shared" si="51"/>
        <v/>
      </c>
      <c r="Z73" s="146" t="str">
        <f t="shared" si="52"/>
        <v/>
      </c>
      <c r="AA73" s="146">
        <f>IF(D73="Active",1,IF(D73="Prospective",IF(Assumptions!$B$6="Active only",0,Assumptions!$B$7),0))</f>
        <v>0</v>
      </c>
      <c r="AB73" s="147" t="str">
        <f t="shared" si="53"/>
        <v/>
      </c>
      <c r="AC73" s="152" t="s">
        <v>103</v>
      </c>
      <c r="AD73" s="156">
        <f t="shared" si="55"/>
        <v>0</v>
      </c>
    </row>
    <row r="74" spans="1:30" hidden="1" outlineLevel="2" x14ac:dyDescent="0.25">
      <c r="A74" s="51">
        <f>IF(A67="","",A67)</f>
        <v>2545</v>
      </c>
      <c r="B74" s="41" t="str">
        <f>IF(B67="","",B67)</f>
        <v>Mariner Courtyard</v>
      </c>
      <c r="C74" s="42"/>
      <c r="D74" s="43" t="str">
        <f>IF(COUNTA(C74,E74,H74,I74:O74)=0,"",IF(D67="","",D67))</f>
        <v/>
      </c>
      <c r="E74" s="44"/>
      <c r="F74" s="139" t="str">
        <f t="shared" si="48"/>
        <v/>
      </c>
      <c r="G74" s="136" t="str">
        <f t="shared" si="49"/>
        <v/>
      </c>
      <c r="H74" s="127"/>
      <c r="I74" s="148"/>
      <c r="J74" s="148"/>
      <c r="K74" s="148"/>
      <c r="L74" s="148"/>
      <c r="M74" s="148"/>
      <c r="N74" s="148"/>
      <c r="O74" s="148"/>
      <c r="P74" s="144">
        <f t="shared" si="50"/>
        <v>0</v>
      </c>
      <c r="Q74" s="144" cm="1">
        <f t="array" ref="Q74">IF(OR(A74="",E74="",F74=""),0,SUMPRODUCT((tlNo=A74)*(Timeline!$H$18:$BG$18+6&gt;=E74)*(Timeline!$H$18:$BG$18&lt;=F74)*Timeline!$H$20:$BG$378))</f>
        <v>0</v>
      </c>
      <c r="R74" s="144">
        <f t="shared" si="54"/>
        <v>0</v>
      </c>
      <c r="S74" s="144">
        <f>SUMIF($I$3:$O$3,Assumptions!$A$15,$I74:$O74)*N($G74)</f>
        <v>0</v>
      </c>
      <c r="T74" s="144">
        <f>SUMIF($I$3:$O$3,Assumptions!$A$16,$I74:$O74)*N($G74)</f>
        <v>0</v>
      </c>
      <c r="U74" s="144">
        <f>SUMIF($I$3:$O$3,Assumptions!$A$17,$I74:$O74)*N($G74)</f>
        <v>0</v>
      </c>
      <c r="V74" s="144">
        <f>SUMIF($I$3:$O$3,Assumptions!$A$18,$I74:$O74)*N($G74)</f>
        <v>0</v>
      </c>
      <c r="W74" s="144">
        <f>SUMIF($I$3:$O$3,Assumptions!$A$19,$I74:$O74)*N($G74)</f>
        <v>0</v>
      </c>
      <c r="X74" s="145">
        <f>S74*Assumptions!$B$15+T74*Assumptions!$B$16+U74*Assumptions!$B$17+V74*Assumptions!$B$18+W74*Assumptions!$B$19</f>
        <v>0</v>
      </c>
      <c r="Y74" s="145" t="str">
        <f t="shared" si="51"/>
        <v/>
      </c>
      <c r="Z74" s="146" t="str">
        <f t="shared" si="52"/>
        <v/>
      </c>
      <c r="AA74" s="146">
        <f>IF(D74="Active",1,IF(D74="Prospective",IF(Assumptions!$B$6="Active only",0,Assumptions!$B$7),0))</f>
        <v>0</v>
      </c>
      <c r="AB74" s="147" t="str">
        <f t="shared" si="53"/>
        <v/>
      </c>
      <c r="AC74" s="152" t="s">
        <v>103</v>
      </c>
      <c r="AD74" s="156">
        <f t="shared" si="55"/>
        <v>0</v>
      </c>
    </row>
    <row r="75" spans="1:30" hidden="1" outlineLevel="2" x14ac:dyDescent="0.25">
      <c r="A75" s="51">
        <f>IF(A67="","",A67)</f>
        <v>2545</v>
      </c>
      <c r="B75" s="41" t="str">
        <f>IF(B67="","",B67)</f>
        <v>Mariner Courtyard</v>
      </c>
      <c r="C75" s="42"/>
      <c r="D75" s="43" t="str">
        <f>IF(COUNTA(C75,E75,H75,I75:O75)=0,"",IF(D67="","",D67))</f>
        <v/>
      </c>
      <c r="E75" s="44"/>
      <c r="F75" s="139" t="str">
        <f t="shared" si="48"/>
        <v/>
      </c>
      <c r="G75" s="136" t="str">
        <f t="shared" si="49"/>
        <v/>
      </c>
      <c r="H75" s="127"/>
      <c r="I75" s="148"/>
      <c r="J75" s="148"/>
      <c r="K75" s="148"/>
      <c r="L75" s="148"/>
      <c r="M75" s="148"/>
      <c r="N75" s="148"/>
      <c r="O75" s="148"/>
      <c r="P75" s="144">
        <f t="shared" si="50"/>
        <v>0</v>
      </c>
      <c r="Q75" s="144" cm="1">
        <f t="array" ref="Q75">IF(OR(A75="",E75="",F75=""),0,SUMPRODUCT((tlNo=A75)*(Timeline!$H$18:$BG$18+6&gt;=E75)*(Timeline!$H$18:$BG$18&lt;=F75)*Timeline!$H$20:$BG$378))</f>
        <v>0</v>
      </c>
      <c r="R75" s="144">
        <f t="shared" si="54"/>
        <v>0</v>
      </c>
      <c r="S75" s="144">
        <f>SUMIF($I$3:$O$3,Assumptions!$A$15,$I75:$O75)*N($G75)</f>
        <v>0</v>
      </c>
      <c r="T75" s="144">
        <f>SUMIF($I$3:$O$3,Assumptions!$A$16,$I75:$O75)*N($G75)</f>
        <v>0</v>
      </c>
      <c r="U75" s="144">
        <f>SUMIF($I$3:$O$3,Assumptions!$A$17,$I75:$O75)*N($G75)</f>
        <v>0</v>
      </c>
      <c r="V75" s="144">
        <f>SUMIF($I$3:$O$3,Assumptions!$A$18,$I75:$O75)*N($G75)</f>
        <v>0</v>
      </c>
      <c r="W75" s="144">
        <f>SUMIF($I$3:$O$3,Assumptions!$A$19,$I75:$O75)*N($G75)</f>
        <v>0</v>
      </c>
      <c r="X75" s="145">
        <f>S75*Assumptions!$B$15+T75*Assumptions!$B$16+U75*Assumptions!$B$17+V75*Assumptions!$B$18+W75*Assumptions!$B$19</f>
        <v>0</v>
      </c>
      <c r="Y75" s="145" t="str">
        <f t="shared" si="51"/>
        <v/>
      </c>
      <c r="Z75" s="146" t="str">
        <f t="shared" si="52"/>
        <v/>
      </c>
      <c r="AA75" s="146">
        <f>IF(D75="Active",1,IF(D75="Prospective",IF(Assumptions!$B$6="Active only",0,Assumptions!$B$7),0))</f>
        <v>0</v>
      </c>
      <c r="AB75" s="147" t="str">
        <f t="shared" si="53"/>
        <v/>
      </c>
      <c r="AC75" s="152" t="s">
        <v>103</v>
      </c>
      <c r="AD75" s="156">
        <f t="shared" si="55"/>
        <v>0</v>
      </c>
    </row>
    <row r="76" spans="1:30" collapsed="1" x14ac:dyDescent="0.25">
      <c r="A76" s="59">
        <v>2550</v>
      </c>
      <c r="B76" s="207" t="s">
        <v>200</v>
      </c>
      <c r="C76" s="61" t="s">
        <v>129</v>
      </c>
      <c r="D76" s="62" t="s">
        <v>33</v>
      </c>
      <c r="E76" s="63" t="str">
        <f>IF(COUNT(E77:E84)=0,"",MIN(E77:E84))</f>
        <v/>
      </c>
      <c r="F76" s="63" t="str">
        <f>IF(COUNT(F77:F84)=0,"",MAX(F77:F84))</f>
        <v/>
      </c>
      <c r="G76" s="134"/>
      <c r="H76" s="125">
        <f>SUM(H77:H84)</f>
        <v>0</v>
      </c>
      <c r="I76" s="141"/>
      <c r="J76" s="141"/>
      <c r="K76" s="141"/>
      <c r="L76" s="141"/>
      <c r="M76" s="141"/>
      <c r="N76" s="141"/>
      <c r="O76" s="141"/>
      <c r="P76" s="141">
        <f>SUM(P77:P84)</f>
        <v>0</v>
      </c>
      <c r="Q76" s="141">
        <f>SUM(Q77:Q84)</f>
        <v>0</v>
      </c>
      <c r="R76" s="141">
        <f t="shared" si="54"/>
        <v>0</v>
      </c>
      <c r="S76" s="141">
        <f t="shared" ref="S76:X76" si="56">SUM(S77:S84)</f>
        <v>0</v>
      </c>
      <c r="T76" s="141">
        <f t="shared" si="56"/>
        <v>0</v>
      </c>
      <c r="U76" s="141">
        <f t="shared" si="56"/>
        <v>0</v>
      </c>
      <c r="V76" s="141">
        <f t="shared" si="56"/>
        <v>0</v>
      </c>
      <c r="W76" s="141">
        <f t="shared" si="56"/>
        <v>0</v>
      </c>
      <c r="X76" s="142">
        <f t="shared" si="56"/>
        <v>0</v>
      </c>
      <c r="Y76" s="142">
        <f>H76-X76</f>
        <v>0</v>
      </c>
      <c r="Z76" s="143" t="str">
        <f>IF(H76=0,"",X76/H76)</f>
        <v/>
      </c>
      <c r="AA76" s="143"/>
      <c r="AB76" s="40" t="str">
        <f>IF(COUNTIF(AB77:AB84,"?*")=0,"No phases yet",IF(COUNTIF(AB77:AB84,"OK")=COUNTIF(AB77:AB84,"?*"),"All OK",(COUNTIF(AB77:AB84,"?*")-COUNTIF(AB77:AB84,"OK"))&amp;" to fix"))</f>
        <v>No phases yet</v>
      </c>
      <c r="AC76" s="52" t="s">
        <v>130</v>
      </c>
      <c r="AD76" s="156">
        <f t="shared" si="55"/>
        <v>0</v>
      </c>
    </row>
    <row r="77" spans="1:30" hidden="1" outlineLevel="1" x14ac:dyDescent="0.25">
      <c r="A77" s="54">
        <f>IF(A76="","",A76)</f>
        <v>2550</v>
      </c>
      <c r="B77" s="55" t="str">
        <f>IF(B76="","",B76)</f>
        <v>Driftwood Park</v>
      </c>
      <c r="C77" s="56"/>
      <c r="D77" s="57" t="str">
        <f>IF(COUNTA(C77,E77,H77,I77:O77)=0,"",IF(D76="","",D76))</f>
        <v/>
      </c>
      <c r="E77" s="58"/>
      <c r="F77" s="138" t="str">
        <f t="shared" ref="F77:F84" si="57">IF(_xlfn.ISFORMULA(G77),"",IF(AND(E77&lt;&gt;"",N(G77)&gt;0),E77+7*G77-1,""))</f>
        <v/>
      </c>
      <c r="G77" s="135" t="str">
        <f t="shared" ref="G77:G84" si="58">IF(OR(E77="",F77=""),"",IF(F77&lt;E77,"",ROUNDUP((F77-E77+1)/7,0)))</f>
        <v/>
      </c>
      <c r="H77" s="126"/>
      <c r="I77" s="148"/>
      <c r="J77" s="148"/>
      <c r="K77" s="148"/>
      <c r="L77" s="148"/>
      <c r="M77" s="148"/>
      <c r="N77" s="148"/>
      <c r="O77" s="148"/>
      <c r="P77" s="144">
        <f t="shared" ref="P77:P84" si="59">SUM(I77:O77)*N(G77)</f>
        <v>0</v>
      </c>
      <c r="Q77" s="144" cm="1">
        <f t="array" ref="Q77">IF(OR(A77="",E77="",F77=""),0,SUMPRODUCT((tlNo=A77)*(Timeline!$H$18:$BG$18+6&gt;=E77)*(Timeline!$H$18:$BG$18&lt;=F77)*Timeline!$H$20:$BG$378))</f>
        <v>0</v>
      </c>
      <c r="R77" s="144">
        <f t="shared" si="54"/>
        <v>0</v>
      </c>
      <c r="S77" s="144">
        <f>SUMIF($I$3:$O$3,Assumptions!$A$15,$I77:$O77)*N($G77)</f>
        <v>0</v>
      </c>
      <c r="T77" s="144">
        <f>SUMIF($I$3:$O$3,Assumptions!$A$16,$I77:$O77)*N($G77)</f>
        <v>0</v>
      </c>
      <c r="U77" s="144">
        <f>SUMIF($I$3:$O$3,Assumptions!$A$17,$I77:$O77)*N($G77)</f>
        <v>0</v>
      </c>
      <c r="V77" s="144">
        <f>SUMIF($I$3:$O$3,Assumptions!$A$18,$I77:$O77)*N($G77)</f>
        <v>0</v>
      </c>
      <c r="W77" s="144">
        <f>SUMIF($I$3:$O$3,Assumptions!$A$19,$I77:$O77)*N($G77)</f>
        <v>0</v>
      </c>
      <c r="X77" s="145">
        <f>S77*Assumptions!$B$15+T77*Assumptions!$B$16+U77*Assumptions!$B$17+V77*Assumptions!$B$18+W77*Assumptions!$B$19</f>
        <v>0</v>
      </c>
      <c r="Y77" s="145" t="str">
        <f t="shared" ref="Y77:Y84" si="60">IF(D77="","",H77-X77)</f>
        <v/>
      </c>
      <c r="Z77" s="146" t="str">
        <f t="shared" ref="Z77:Z84" si="61">IF(OR(D77="",H77=0),"",X77/H77)</f>
        <v/>
      </c>
      <c r="AA77" s="146">
        <f>IF(D77="Active",1,IF(D77="Prospective",IF(Assumptions!$B$6="Active only",0,Assumptions!$B$7),0))</f>
        <v>0</v>
      </c>
      <c r="AB77" s="147" t="str">
        <f t="shared" ref="AB77:AB84" si="62">IF(COUNTA(C77,E77,H77,I77:O77)=0,"",IF(C77="","Select phase",IF(OR(E77="",F77=""),"Enter dates",IF(F77&lt;E77,"End before start",IF(H77="","Enter phase fee",IF(P77=0,"Enter staff hours",IF(R77&lt;0,"Over-mapped on Timeline",IF(R77&gt;0,"Map hours on Timeline","OK"))))))))</f>
        <v/>
      </c>
      <c r="AC77" s="152" t="s">
        <v>103</v>
      </c>
      <c r="AD77" s="156">
        <f t="shared" si="55"/>
        <v>0</v>
      </c>
    </row>
    <row r="78" spans="1:30" hidden="1" outlineLevel="1" x14ac:dyDescent="0.25">
      <c r="A78" s="51">
        <f>IF(A76="","",A76)</f>
        <v>2550</v>
      </c>
      <c r="B78" s="41" t="str">
        <f>IF(B76="","",B76)</f>
        <v>Driftwood Park</v>
      </c>
      <c r="C78" s="42"/>
      <c r="D78" s="43" t="str">
        <f>IF(COUNTA(C78,E78,H78,I78:O78)=0,"",IF(D76="","",D76))</f>
        <v/>
      </c>
      <c r="E78" s="44"/>
      <c r="F78" s="139" t="str">
        <f t="shared" si="57"/>
        <v/>
      </c>
      <c r="G78" s="136" t="str">
        <f t="shared" si="58"/>
        <v/>
      </c>
      <c r="H78" s="127"/>
      <c r="I78" s="148"/>
      <c r="J78" s="148"/>
      <c r="K78" s="148"/>
      <c r="L78" s="148"/>
      <c r="M78" s="148"/>
      <c r="N78" s="148"/>
      <c r="O78" s="148"/>
      <c r="P78" s="144">
        <f t="shared" si="59"/>
        <v>0</v>
      </c>
      <c r="Q78" s="144" cm="1">
        <f t="array" ref="Q78">IF(OR(A78="",E78="",F78=""),0,SUMPRODUCT((tlNo=A78)*(Timeline!$H$18:$BG$18+6&gt;=E78)*(Timeline!$H$18:$BG$18&lt;=F78)*Timeline!$H$20:$BG$378))</f>
        <v>0</v>
      </c>
      <c r="R78" s="144">
        <f t="shared" si="54"/>
        <v>0</v>
      </c>
      <c r="S78" s="144">
        <f>SUMIF($I$3:$O$3,Assumptions!$A$15,$I78:$O78)*N($G78)</f>
        <v>0</v>
      </c>
      <c r="T78" s="144">
        <f>SUMIF($I$3:$O$3,Assumptions!$A$16,$I78:$O78)*N($G78)</f>
        <v>0</v>
      </c>
      <c r="U78" s="144">
        <f>SUMIF($I$3:$O$3,Assumptions!$A$17,$I78:$O78)*N($G78)</f>
        <v>0</v>
      </c>
      <c r="V78" s="144">
        <f>SUMIF($I$3:$O$3,Assumptions!$A$18,$I78:$O78)*N($G78)</f>
        <v>0</v>
      </c>
      <c r="W78" s="144">
        <f>SUMIF($I$3:$O$3,Assumptions!$A$19,$I78:$O78)*N($G78)</f>
        <v>0</v>
      </c>
      <c r="X78" s="145">
        <f>S78*Assumptions!$B$15+T78*Assumptions!$B$16+U78*Assumptions!$B$17+V78*Assumptions!$B$18+W78*Assumptions!$B$19</f>
        <v>0</v>
      </c>
      <c r="Y78" s="145" t="str">
        <f t="shared" si="60"/>
        <v/>
      </c>
      <c r="Z78" s="146" t="str">
        <f t="shared" si="61"/>
        <v/>
      </c>
      <c r="AA78" s="146">
        <f>IF(D78="Active",1,IF(D78="Prospective",IF(Assumptions!$B$6="Active only",0,Assumptions!$B$7),0))</f>
        <v>0</v>
      </c>
      <c r="AB78" s="147" t="str">
        <f t="shared" si="62"/>
        <v/>
      </c>
      <c r="AC78" s="152" t="s">
        <v>103</v>
      </c>
      <c r="AD78" s="156">
        <f t="shared" si="55"/>
        <v>0</v>
      </c>
    </row>
    <row r="79" spans="1:30" hidden="1" outlineLevel="1" x14ac:dyDescent="0.25">
      <c r="A79" s="51">
        <f>IF(A76="","",A76)</f>
        <v>2550</v>
      </c>
      <c r="B79" s="41" t="str">
        <f>IF(B76="","",B76)</f>
        <v>Driftwood Park</v>
      </c>
      <c r="C79" s="42"/>
      <c r="D79" s="43" t="str">
        <f>IF(COUNTA(C79,E79,H79,I79:O79)=0,"",IF(D76="","",D76))</f>
        <v/>
      </c>
      <c r="E79" s="44"/>
      <c r="F79" s="139" t="str">
        <f t="shared" si="57"/>
        <v/>
      </c>
      <c r="G79" s="136" t="str">
        <f t="shared" si="58"/>
        <v/>
      </c>
      <c r="H79" s="127"/>
      <c r="I79" s="148"/>
      <c r="J79" s="148"/>
      <c r="K79" s="148"/>
      <c r="L79" s="148"/>
      <c r="M79" s="148"/>
      <c r="N79" s="148"/>
      <c r="O79" s="148"/>
      <c r="P79" s="144">
        <f t="shared" si="59"/>
        <v>0</v>
      </c>
      <c r="Q79" s="144" cm="1">
        <f t="array" ref="Q79">IF(OR(A79="",E79="",F79=""),0,SUMPRODUCT((tlNo=A79)*(Timeline!$H$18:$BG$18+6&gt;=E79)*(Timeline!$H$18:$BG$18&lt;=F79)*Timeline!$H$20:$BG$378))</f>
        <v>0</v>
      </c>
      <c r="R79" s="144">
        <f t="shared" si="54"/>
        <v>0</v>
      </c>
      <c r="S79" s="144">
        <f>SUMIF($I$3:$O$3,Assumptions!$A$15,$I79:$O79)*N($G79)</f>
        <v>0</v>
      </c>
      <c r="T79" s="144">
        <f>SUMIF($I$3:$O$3,Assumptions!$A$16,$I79:$O79)*N($G79)</f>
        <v>0</v>
      </c>
      <c r="U79" s="144">
        <f>SUMIF($I$3:$O$3,Assumptions!$A$17,$I79:$O79)*N($G79)</f>
        <v>0</v>
      </c>
      <c r="V79" s="144">
        <f>SUMIF($I$3:$O$3,Assumptions!$A$18,$I79:$O79)*N($G79)</f>
        <v>0</v>
      </c>
      <c r="W79" s="144">
        <f>SUMIF($I$3:$O$3,Assumptions!$A$19,$I79:$O79)*N($G79)</f>
        <v>0</v>
      </c>
      <c r="X79" s="145">
        <f>S79*Assumptions!$B$15+T79*Assumptions!$B$16+U79*Assumptions!$B$17+V79*Assumptions!$B$18+W79*Assumptions!$B$19</f>
        <v>0</v>
      </c>
      <c r="Y79" s="145" t="str">
        <f t="shared" si="60"/>
        <v/>
      </c>
      <c r="Z79" s="146" t="str">
        <f t="shared" si="61"/>
        <v/>
      </c>
      <c r="AA79" s="146">
        <f>IF(D79="Active",1,IF(D79="Prospective",IF(Assumptions!$B$6="Active only",0,Assumptions!$B$7),0))</f>
        <v>0</v>
      </c>
      <c r="AB79" s="147" t="str">
        <f t="shared" si="62"/>
        <v/>
      </c>
      <c r="AC79" s="152" t="s">
        <v>103</v>
      </c>
      <c r="AD79" s="156">
        <f t="shared" si="55"/>
        <v>0</v>
      </c>
    </row>
    <row r="80" spans="1:30" hidden="1" outlineLevel="1" x14ac:dyDescent="0.25">
      <c r="A80" s="51">
        <f>IF(A76="","",A76)</f>
        <v>2550</v>
      </c>
      <c r="B80" s="41" t="str">
        <f>IF(B76="","",B76)</f>
        <v>Driftwood Park</v>
      </c>
      <c r="C80" s="42"/>
      <c r="D80" s="43" t="str">
        <f>IF(COUNTA(C80,E80,H80,I80:O80)=0,"",IF(D76="","",D76))</f>
        <v/>
      </c>
      <c r="E80" s="44"/>
      <c r="F80" s="139" t="str">
        <f t="shared" si="57"/>
        <v/>
      </c>
      <c r="G80" s="136" t="str">
        <f t="shared" si="58"/>
        <v/>
      </c>
      <c r="H80" s="127"/>
      <c r="I80" s="148"/>
      <c r="J80" s="148"/>
      <c r="K80" s="148"/>
      <c r="L80" s="148"/>
      <c r="M80" s="148"/>
      <c r="N80" s="148"/>
      <c r="O80" s="148"/>
      <c r="P80" s="144">
        <f t="shared" si="59"/>
        <v>0</v>
      </c>
      <c r="Q80" s="144" cm="1">
        <f t="array" ref="Q80">IF(OR(A80="",E80="",F80=""),0,SUMPRODUCT((tlNo=A80)*(Timeline!$H$18:$BG$18+6&gt;=E80)*(Timeline!$H$18:$BG$18&lt;=F80)*Timeline!$H$20:$BG$378))</f>
        <v>0</v>
      </c>
      <c r="R80" s="144">
        <f t="shared" si="54"/>
        <v>0</v>
      </c>
      <c r="S80" s="144">
        <f>SUMIF($I$3:$O$3,Assumptions!$A$15,$I80:$O80)*N($G80)</f>
        <v>0</v>
      </c>
      <c r="T80" s="144">
        <f>SUMIF($I$3:$O$3,Assumptions!$A$16,$I80:$O80)*N($G80)</f>
        <v>0</v>
      </c>
      <c r="U80" s="144">
        <f>SUMIF($I$3:$O$3,Assumptions!$A$17,$I80:$O80)*N($G80)</f>
        <v>0</v>
      </c>
      <c r="V80" s="144">
        <f>SUMIF($I$3:$O$3,Assumptions!$A$18,$I80:$O80)*N($G80)</f>
        <v>0</v>
      </c>
      <c r="W80" s="144">
        <f>SUMIF($I$3:$O$3,Assumptions!$A$19,$I80:$O80)*N($G80)</f>
        <v>0</v>
      </c>
      <c r="X80" s="145">
        <f>S80*Assumptions!$B$15+T80*Assumptions!$B$16+U80*Assumptions!$B$17+V80*Assumptions!$B$18+W80*Assumptions!$B$19</f>
        <v>0</v>
      </c>
      <c r="Y80" s="145" t="str">
        <f t="shared" si="60"/>
        <v/>
      </c>
      <c r="Z80" s="146" t="str">
        <f t="shared" si="61"/>
        <v/>
      </c>
      <c r="AA80" s="146">
        <f>IF(D80="Active",1,IF(D80="Prospective",IF(Assumptions!$B$6="Active only",0,Assumptions!$B$7),0))</f>
        <v>0</v>
      </c>
      <c r="AB80" s="147" t="str">
        <f t="shared" si="62"/>
        <v/>
      </c>
      <c r="AC80" s="152" t="s">
        <v>103</v>
      </c>
      <c r="AD80" s="156">
        <f t="shared" si="55"/>
        <v>0</v>
      </c>
    </row>
    <row r="81" spans="1:30" hidden="1" outlineLevel="1" x14ac:dyDescent="0.25">
      <c r="A81" s="51">
        <f>IF(A76="","",A76)</f>
        <v>2550</v>
      </c>
      <c r="B81" s="41" t="str">
        <f>IF(B76="","",B76)</f>
        <v>Driftwood Park</v>
      </c>
      <c r="C81" s="42"/>
      <c r="D81" s="43" t="str">
        <f>IF(COUNTA(C81,E81,H81,I81:O81)=0,"",IF(D76="","",D76))</f>
        <v/>
      </c>
      <c r="E81" s="44"/>
      <c r="F81" s="139" t="str">
        <f t="shared" si="57"/>
        <v/>
      </c>
      <c r="G81" s="136" t="str">
        <f t="shared" si="58"/>
        <v/>
      </c>
      <c r="H81" s="127"/>
      <c r="I81" s="148"/>
      <c r="J81" s="148"/>
      <c r="K81" s="148"/>
      <c r="L81" s="148"/>
      <c r="M81" s="148"/>
      <c r="N81" s="148"/>
      <c r="O81" s="148"/>
      <c r="P81" s="144">
        <f t="shared" si="59"/>
        <v>0</v>
      </c>
      <c r="Q81" s="144" cm="1">
        <f t="array" ref="Q81">IF(OR(A81="",E81="",F81=""),0,SUMPRODUCT((tlNo=A81)*(Timeline!$H$18:$BG$18+6&gt;=E81)*(Timeline!$H$18:$BG$18&lt;=F81)*Timeline!$H$20:$BG$378))</f>
        <v>0</v>
      </c>
      <c r="R81" s="144">
        <f t="shared" si="54"/>
        <v>0</v>
      </c>
      <c r="S81" s="144">
        <f>SUMIF($I$3:$O$3,Assumptions!$A$15,$I81:$O81)*N($G81)</f>
        <v>0</v>
      </c>
      <c r="T81" s="144">
        <f>SUMIF($I$3:$O$3,Assumptions!$A$16,$I81:$O81)*N($G81)</f>
        <v>0</v>
      </c>
      <c r="U81" s="144">
        <f>SUMIF($I$3:$O$3,Assumptions!$A$17,$I81:$O81)*N($G81)</f>
        <v>0</v>
      </c>
      <c r="V81" s="144">
        <f>SUMIF($I$3:$O$3,Assumptions!$A$18,$I81:$O81)*N($G81)</f>
        <v>0</v>
      </c>
      <c r="W81" s="144">
        <f>SUMIF($I$3:$O$3,Assumptions!$A$19,$I81:$O81)*N($G81)</f>
        <v>0</v>
      </c>
      <c r="X81" s="145">
        <f>S81*Assumptions!$B$15+T81*Assumptions!$B$16+U81*Assumptions!$B$17+V81*Assumptions!$B$18+W81*Assumptions!$B$19</f>
        <v>0</v>
      </c>
      <c r="Y81" s="145" t="str">
        <f t="shared" si="60"/>
        <v/>
      </c>
      <c r="Z81" s="146" t="str">
        <f t="shared" si="61"/>
        <v/>
      </c>
      <c r="AA81" s="146">
        <f>IF(D81="Active",1,IF(D81="Prospective",IF(Assumptions!$B$6="Active only",0,Assumptions!$B$7),0))</f>
        <v>0</v>
      </c>
      <c r="AB81" s="147" t="str">
        <f t="shared" si="62"/>
        <v/>
      </c>
      <c r="AC81" s="152" t="s">
        <v>103</v>
      </c>
      <c r="AD81" s="156">
        <f t="shared" si="55"/>
        <v>0</v>
      </c>
    </row>
    <row r="82" spans="1:30" hidden="1" outlineLevel="1" x14ac:dyDescent="0.25">
      <c r="A82" s="51">
        <f>IF(A76="","",A76)</f>
        <v>2550</v>
      </c>
      <c r="B82" s="41" t="str">
        <f>IF(B76="","",B76)</f>
        <v>Driftwood Park</v>
      </c>
      <c r="C82" s="42"/>
      <c r="D82" s="43" t="str">
        <f>IF(COUNTA(C82,E82,H82,I82:O82)=0,"",IF(D76="","",D76))</f>
        <v/>
      </c>
      <c r="E82" s="44"/>
      <c r="F82" s="139" t="str">
        <f t="shared" si="57"/>
        <v/>
      </c>
      <c r="G82" s="136" t="str">
        <f t="shared" si="58"/>
        <v/>
      </c>
      <c r="H82" s="127"/>
      <c r="I82" s="148"/>
      <c r="J82" s="148"/>
      <c r="K82" s="148"/>
      <c r="L82" s="148"/>
      <c r="M82" s="148"/>
      <c r="N82" s="148"/>
      <c r="O82" s="148"/>
      <c r="P82" s="144">
        <f t="shared" si="59"/>
        <v>0</v>
      </c>
      <c r="Q82" s="144" cm="1">
        <f t="array" ref="Q82">IF(OR(A82="",E82="",F82=""),0,SUMPRODUCT((tlNo=A82)*(Timeline!$H$18:$BG$18+6&gt;=E82)*(Timeline!$H$18:$BG$18&lt;=F82)*Timeline!$H$20:$BG$378))</f>
        <v>0</v>
      </c>
      <c r="R82" s="144">
        <f t="shared" si="54"/>
        <v>0</v>
      </c>
      <c r="S82" s="144">
        <f>SUMIF($I$3:$O$3,Assumptions!$A$15,$I82:$O82)*N($G82)</f>
        <v>0</v>
      </c>
      <c r="T82" s="144">
        <f>SUMIF($I$3:$O$3,Assumptions!$A$16,$I82:$O82)*N($G82)</f>
        <v>0</v>
      </c>
      <c r="U82" s="144">
        <f>SUMIF($I$3:$O$3,Assumptions!$A$17,$I82:$O82)*N($G82)</f>
        <v>0</v>
      </c>
      <c r="V82" s="144">
        <f>SUMIF($I$3:$O$3,Assumptions!$A$18,$I82:$O82)*N($G82)</f>
        <v>0</v>
      </c>
      <c r="W82" s="144">
        <f>SUMIF($I$3:$O$3,Assumptions!$A$19,$I82:$O82)*N($G82)</f>
        <v>0</v>
      </c>
      <c r="X82" s="145">
        <f>S82*Assumptions!$B$15+T82*Assumptions!$B$16+U82*Assumptions!$B$17+V82*Assumptions!$B$18+W82*Assumptions!$B$19</f>
        <v>0</v>
      </c>
      <c r="Y82" s="145" t="str">
        <f t="shared" si="60"/>
        <v/>
      </c>
      <c r="Z82" s="146" t="str">
        <f t="shared" si="61"/>
        <v/>
      </c>
      <c r="AA82" s="146">
        <f>IF(D82="Active",1,IF(D82="Prospective",IF(Assumptions!$B$6="Active only",0,Assumptions!$B$7),0))</f>
        <v>0</v>
      </c>
      <c r="AB82" s="147" t="str">
        <f t="shared" si="62"/>
        <v/>
      </c>
      <c r="AC82" s="152" t="s">
        <v>103</v>
      </c>
      <c r="AD82" s="156">
        <f t="shared" si="55"/>
        <v>0</v>
      </c>
    </row>
    <row r="83" spans="1:30" hidden="1" outlineLevel="1" x14ac:dyDescent="0.25">
      <c r="A83" s="51">
        <f>IF(A76="","",A76)</f>
        <v>2550</v>
      </c>
      <c r="B83" s="41" t="str">
        <f>IF(B76="","",B76)</f>
        <v>Driftwood Park</v>
      </c>
      <c r="C83" s="42"/>
      <c r="D83" s="43" t="str">
        <f>IF(COUNTA(C83,E83,H83,I83:O83)=0,"",IF(D76="","",D76))</f>
        <v/>
      </c>
      <c r="E83" s="44"/>
      <c r="F83" s="139" t="str">
        <f t="shared" si="57"/>
        <v/>
      </c>
      <c r="G83" s="136" t="str">
        <f t="shared" si="58"/>
        <v/>
      </c>
      <c r="H83" s="127"/>
      <c r="I83" s="148"/>
      <c r="J83" s="148"/>
      <c r="K83" s="148"/>
      <c r="L83" s="148"/>
      <c r="M83" s="148"/>
      <c r="N83" s="148"/>
      <c r="O83" s="148"/>
      <c r="P83" s="144">
        <f t="shared" si="59"/>
        <v>0</v>
      </c>
      <c r="Q83" s="144" cm="1">
        <f t="array" ref="Q83">IF(OR(A83="",E83="",F83=""),0,SUMPRODUCT((tlNo=A83)*(Timeline!$H$18:$BG$18+6&gt;=E83)*(Timeline!$H$18:$BG$18&lt;=F83)*Timeline!$H$20:$BG$378))</f>
        <v>0</v>
      </c>
      <c r="R83" s="144">
        <f t="shared" si="54"/>
        <v>0</v>
      </c>
      <c r="S83" s="144">
        <f>SUMIF($I$3:$O$3,Assumptions!$A$15,$I83:$O83)*N($G83)</f>
        <v>0</v>
      </c>
      <c r="T83" s="144">
        <f>SUMIF($I$3:$O$3,Assumptions!$A$16,$I83:$O83)*N($G83)</f>
        <v>0</v>
      </c>
      <c r="U83" s="144">
        <f>SUMIF($I$3:$O$3,Assumptions!$A$17,$I83:$O83)*N($G83)</f>
        <v>0</v>
      </c>
      <c r="V83" s="144">
        <f>SUMIF($I$3:$O$3,Assumptions!$A$18,$I83:$O83)*N($G83)</f>
        <v>0</v>
      </c>
      <c r="W83" s="144">
        <f>SUMIF($I$3:$O$3,Assumptions!$A$19,$I83:$O83)*N($G83)</f>
        <v>0</v>
      </c>
      <c r="X83" s="145">
        <f>S83*Assumptions!$B$15+T83*Assumptions!$B$16+U83*Assumptions!$B$17+V83*Assumptions!$B$18+W83*Assumptions!$B$19</f>
        <v>0</v>
      </c>
      <c r="Y83" s="145" t="str">
        <f t="shared" si="60"/>
        <v/>
      </c>
      <c r="Z83" s="146" t="str">
        <f t="shared" si="61"/>
        <v/>
      </c>
      <c r="AA83" s="146">
        <f>IF(D83="Active",1,IF(D83="Prospective",IF(Assumptions!$B$6="Active only",0,Assumptions!$B$7),0))</f>
        <v>0</v>
      </c>
      <c r="AB83" s="147" t="str">
        <f t="shared" si="62"/>
        <v/>
      </c>
      <c r="AC83" s="152" t="s">
        <v>103</v>
      </c>
      <c r="AD83" s="156">
        <f t="shared" si="55"/>
        <v>0</v>
      </c>
    </row>
    <row r="84" spans="1:30" hidden="1" outlineLevel="1" x14ac:dyDescent="0.25">
      <c r="A84" s="64">
        <f>IF(A76="","",A76)</f>
        <v>2550</v>
      </c>
      <c r="B84" s="45" t="str">
        <f>IF(B76="","",B76)</f>
        <v>Driftwood Park</v>
      </c>
      <c r="C84" s="46"/>
      <c r="D84" s="47" t="str">
        <f>IF(COUNTA(C84,E84,H84,I84:O84)=0,"",IF(D76="","",D76))</f>
        <v/>
      </c>
      <c r="E84" s="48"/>
      <c r="F84" s="140" t="str">
        <f t="shared" si="57"/>
        <v/>
      </c>
      <c r="G84" s="137" t="str">
        <f t="shared" si="58"/>
        <v/>
      </c>
      <c r="H84" s="128"/>
      <c r="I84" s="148"/>
      <c r="J84" s="148"/>
      <c r="K84" s="148"/>
      <c r="L84" s="148"/>
      <c r="M84" s="148"/>
      <c r="N84" s="148"/>
      <c r="O84" s="148"/>
      <c r="P84" s="144">
        <f t="shared" si="59"/>
        <v>0</v>
      </c>
      <c r="Q84" s="144" cm="1">
        <f t="array" ref="Q84">IF(OR(A84="",E84="",F84=""),0,SUMPRODUCT((tlNo=A84)*(Timeline!$H$18:$BG$18+6&gt;=E84)*(Timeline!$H$18:$BG$18&lt;=F84)*Timeline!$H$20:$BG$378))</f>
        <v>0</v>
      </c>
      <c r="R84" s="144">
        <f t="shared" si="54"/>
        <v>0</v>
      </c>
      <c r="S84" s="144">
        <f>SUMIF($I$3:$O$3,Assumptions!$A$15,$I84:$O84)*N($G84)</f>
        <v>0</v>
      </c>
      <c r="T84" s="144">
        <f>SUMIF($I$3:$O$3,Assumptions!$A$16,$I84:$O84)*N($G84)</f>
        <v>0</v>
      </c>
      <c r="U84" s="144">
        <f>SUMIF($I$3:$O$3,Assumptions!$A$17,$I84:$O84)*N($G84)</f>
        <v>0</v>
      </c>
      <c r="V84" s="144">
        <f>SUMIF($I$3:$O$3,Assumptions!$A$18,$I84:$O84)*N($G84)</f>
        <v>0</v>
      </c>
      <c r="W84" s="144">
        <f>SUMIF($I$3:$O$3,Assumptions!$A$19,$I84:$O84)*N($G84)</f>
        <v>0</v>
      </c>
      <c r="X84" s="145">
        <f>S84*Assumptions!$B$15+T84*Assumptions!$B$16+U84*Assumptions!$B$17+V84*Assumptions!$B$18+W84*Assumptions!$B$19</f>
        <v>0</v>
      </c>
      <c r="Y84" s="145" t="str">
        <f t="shared" si="60"/>
        <v/>
      </c>
      <c r="Z84" s="146" t="str">
        <f t="shared" si="61"/>
        <v/>
      </c>
      <c r="AA84" s="146">
        <f>IF(D84="Active",1,IF(D84="Prospective",IF(Assumptions!$B$6="Active only",0,Assumptions!$B$7),0))</f>
        <v>0</v>
      </c>
      <c r="AB84" s="147" t="str">
        <f t="shared" si="62"/>
        <v/>
      </c>
      <c r="AC84" s="152" t="s">
        <v>103</v>
      </c>
      <c r="AD84" s="156">
        <f t="shared" si="55"/>
        <v>0</v>
      </c>
    </row>
    <row r="85" spans="1:30" collapsed="1" x14ac:dyDescent="0.25">
      <c r="A85" s="59">
        <v>2551</v>
      </c>
      <c r="B85" s="207" t="s">
        <v>201</v>
      </c>
      <c r="C85" s="61" t="s">
        <v>129</v>
      </c>
      <c r="D85" s="62" t="s">
        <v>33</v>
      </c>
      <c r="E85" s="63" t="str">
        <f>IF(COUNT(E86:E93)=0,"",MIN(E86:E93))</f>
        <v/>
      </c>
      <c r="F85" s="63" t="str">
        <f>IF(COUNT(F86:F93)=0,"",MAX(F86:F93))</f>
        <v/>
      </c>
      <c r="G85" s="134"/>
      <c r="H85" s="125">
        <f>SUM(H86:H93)</f>
        <v>0</v>
      </c>
      <c r="I85" s="141"/>
      <c r="J85" s="141"/>
      <c r="K85" s="141"/>
      <c r="L85" s="141"/>
      <c r="M85" s="141"/>
      <c r="N85" s="141"/>
      <c r="O85" s="141"/>
      <c r="P85" s="141">
        <f>SUM(P86:P93)</f>
        <v>0</v>
      </c>
      <c r="Q85" s="141">
        <f>SUM(Q86:Q93)</f>
        <v>0</v>
      </c>
      <c r="R85" s="141">
        <f t="shared" si="54"/>
        <v>0</v>
      </c>
      <c r="S85" s="141">
        <f t="shared" ref="S85:X85" si="63">SUM(S86:S93)</f>
        <v>0</v>
      </c>
      <c r="T85" s="141">
        <f t="shared" si="63"/>
        <v>0</v>
      </c>
      <c r="U85" s="141">
        <f t="shared" si="63"/>
        <v>0</v>
      </c>
      <c r="V85" s="141">
        <f t="shared" si="63"/>
        <v>0</v>
      </c>
      <c r="W85" s="141">
        <f t="shared" si="63"/>
        <v>0</v>
      </c>
      <c r="X85" s="142">
        <f t="shared" si="63"/>
        <v>0</v>
      </c>
      <c r="Y85" s="142">
        <f>H85-X85</f>
        <v>0</v>
      </c>
      <c r="Z85" s="143" t="str">
        <f>IF(H85=0,"",X85/H85)</f>
        <v/>
      </c>
      <c r="AA85" s="143"/>
      <c r="AB85" s="40" t="str">
        <f>IF(COUNTIF(AB86:AB93,"?*")=0,"No phases yet",IF(COUNTIF(AB86:AB93,"OK")=COUNTIF(AB86:AB93,"?*"),"All OK",(COUNTIF(AB86:AB93,"?*")-COUNTIF(AB86:AB93,"OK"))&amp;" to fix"))</f>
        <v>No phases yet</v>
      </c>
      <c r="AC85" s="52" t="s">
        <v>130</v>
      </c>
      <c r="AD85" s="156">
        <f t="shared" si="55"/>
        <v>0</v>
      </c>
    </row>
    <row r="86" spans="1:30" hidden="1" outlineLevel="1" x14ac:dyDescent="0.25">
      <c r="A86" s="54">
        <f>IF(A85="","",A85)</f>
        <v>2551</v>
      </c>
      <c r="B86" s="55" t="str">
        <f>IF(B85="","",B85)</f>
        <v>Bayside Community Center</v>
      </c>
      <c r="C86" s="56"/>
      <c r="D86" s="57" t="str">
        <f>IF(COUNTA(C86,E86,H86,I86:O86)=0,"",IF(D85="","",D85))</f>
        <v/>
      </c>
      <c r="E86" s="58"/>
      <c r="F86" s="138" t="str">
        <f t="shared" ref="F86:F93" si="64">IF(_xlfn.ISFORMULA(G86),"",IF(AND(E86&lt;&gt;"",N(G86)&gt;0),E86+7*G86-1,""))</f>
        <v/>
      </c>
      <c r="G86" s="135" t="str">
        <f t="shared" ref="G86:G93" si="65">IF(OR(E86="",F86=""),"",IF(F86&lt;E86,"",ROUNDUP((F86-E86+1)/7,0)))</f>
        <v/>
      </c>
      <c r="H86" s="126"/>
      <c r="I86" s="148"/>
      <c r="J86" s="148"/>
      <c r="K86" s="148"/>
      <c r="L86" s="148"/>
      <c r="M86" s="148"/>
      <c r="N86" s="148"/>
      <c r="O86" s="148"/>
      <c r="P86" s="144">
        <f t="shared" ref="P86:P93" si="66">SUM(I86:O86)*N(G86)</f>
        <v>0</v>
      </c>
      <c r="Q86" s="144" cm="1">
        <f t="array" ref="Q86">IF(OR(A86="",E86="",F86=""),0,SUMPRODUCT((tlNo=A86)*(Timeline!$H$18:$BG$18+6&gt;=E86)*(Timeline!$H$18:$BG$18&lt;=F86)*Timeline!$H$20:$BG$378))</f>
        <v>0</v>
      </c>
      <c r="R86" s="144">
        <f t="shared" si="54"/>
        <v>0</v>
      </c>
      <c r="S86" s="144">
        <f>SUMIF($I$3:$O$3,Assumptions!$A$15,$I86:$O86)*N($G86)</f>
        <v>0</v>
      </c>
      <c r="T86" s="144">
        <f>SUMIF($I$3:$O$3,Assumptions!$A$16,$I86:$O86)*N($G86)</f>
        <v>0</v>
      </c>
      <c r="U86" s="144">
        <f>SUMIF($I$3:$O$3,Assumptions!$A$17,$I86:$O86)*N($G86)</f>
        <v>0</v>
      </c>
      <c r="V86" s="144">
        <f>SUMIF($I$3:$O$3,Assumptions!$A$18,$I86:$O86)*N($G86)</f>
        <v>0</v>
      </c>
      <c r="W86" s="144">
        <f>SUMIF($I$3:$O$3,Assumptions!$A$19,$I86:$O86)*N($G86)</f>
        <v>0</v>
      </c>
      <c r="X86" s="145">
        <f>S86*Assumptions!$B$15+T86*Assumptions!$B$16+U86*Assumptions!$B$17+V86*Assumptions!$B$18+W86*Assumptions!$B$19</f>
        <v>0</v>
      </c>
      <c r="Y86" s="145" t="str">
        <f t="shared" ref="Y86:Y93" si="67">IF(D86="","",H86-X86)</f>
        <v/>
      </c>
      <c r="Z86" s="146" t="str">
        <f t="shared" ref="Z86:Z93" si="68">IF(OR(D86="",H86=0),"",X86/H86)</f>
        <v/>
      </c>
      <c r="AA86" s="146">
        <f>IF(D86="Active",1,IF(D86="Prospective",IF(Assumptions!$B$6="Active only",0,Assumptions!$B$7),0))</f>
        <v>0</v>
      </c>
      <c r="AB86" s="147" t="str">
        <f t="shared" ref="AB86:AB93" si="69">IF(COUNTA(C86,E86,H86,I86:O86)=0,"",IF(C86="","Select phase",IF(OR(E86="",F86=""),"Enter dates",IF(F86&lt;E86,"End before start",IF(H86="","Enter phase fee",IF(P86=0,"Enter staff hours",IF(R86&lt;0,"Over-mapped on Timeline",IF(R86&gt;0,"Map hours on Timeline","OK"))))))))</f>
        <v/>
      </c>
      <c r="AC86" s="152" t="s">
        <v>103</v>
      </c>
      <c r="AD86" s="156">
        <f t="shared" si="55"/>
        <v>0</v>
      </c>
    </row>
    <row r="87" spans="1:30" hidden="1" outlineLevel="1" x14ac:dyDescent="0.25">
      <c r="A87" s="51">
        <f>IF(A85="","",A85)</f>
        <v>2551</v>
      </c>
      <c r="B87" s="41" t="str">
        <f>IF(B85="","",B85)</f>
        <v>Bayside Community Center</v>
      </c>
      <c r="C87" s="42"/>
      <c r="D87" s="43" t="str">
        <f>IF(COUNTA(C87,E87,H87,I87:O87)=0,"",IF(D85="","",D85))</f>
        <v/>
      </c>
      <c r="E87" s="44"/>
      <c r="F87" s="139" t="str">
        <f t="shared" si="64"/>
        <v/>
      </c>
      <c r="G87" s="136" t="str">
        <f t="shared" si="65"/>
        <v/>
      </c>
      <c r="H87" s="127"/>
      <c r="I87" s="148"/>
      <c r="J87" s="148"/>
      <c r="K87" s="148"/>
      <c r="L87" s="148"/>
      <c r="M87" s="148"/>
      <c r="N87" s="148"/>
      <c r="O87" s="148"/>
      <c r="P87" s="144">
        <f t="shared" si="66"/>
        <v>0</v>
      </c>
      <c r="Q87" s="144" cm="1">
        <f t="array" ref="Q87">IF(OR(A87="",E87="",F87=""),0,SUMPRODUCT((tlNo=A87)*(Timeline!$H$18:$BG$18+6&gt;=E87)*(Timeline!$H$18:$BG$18&lt;=F87)*Timeline!$H$20:$BG$378))</f>
        <v>0</v>
      </c>
      <c r="R87" s="144">
        <f t="shared" si="54"/>
        <v>0</v>
      </c>
      <c r="S87" s="144">
        <f>SUMIF($I$3:$O$3,Assumptions!$A$15,$I87:$O87)*N($G87)</f>
        <v>0</v>
      </c>
      <c r="T87" s="144">
        <f>SUMIF($I$3:$O$3,Assumptions!$A$16,$I87:$O87)*N($G87)</f>
        <v>0</v>
      </c>
      <c r="U87" s="144">
        <f>SUMIF($I$3:$O$3,Assumptions!$A$17,$I87:$O87)*N($G87)</f>
        <v>0</v>
      </c>
      <c r="V87" s="144">
        <f>SUMIF($I$3:$O$3,Assumptions!$A$18,$I87:$O87)*N($G87)</f>
        <v>0</v>
      </c>
      <c r="W87" s="144">
        <f>SUMIF($I$3:$O$3,Assumptions!$A$19,$I87:$O87)*N($G87)</f>
        <v>0</v>
      </c>
      <c r="X87" s="145">
        <f>S87*Assumptions!$B$15+T87*Assumptions!$B$16+U87*Assumptions!$B$17+V87*Assumptions!$B$18+W87*Assumptions!$B$19</f>
        <v>0</v>
      </c>
      <c r="Y87" s="145" t="str">
        <f t="shared" si="67"/>
        <v/>
      </c>
      <c r="Z87" s="146" t="str">
        <f t="shared" si="68"/>
        <v/>
      </c>
      <c r="AA87" s="146">
        <f>IF(D87="Active",1,IF(D87="Prospective",IF(Assumptions!$B$6="Active only",0,Assumptions!$B$7),0))</f>
        <v>0</v>
      </c>
      <c r="AB87" s="147" t="str">
        <f t="shared" si="69"/>
        <v/>
      </c>
      <c r="AC87" s="152" t="s">
        <v>103</v>
      </c>
      <c r="AD87" s="156">
        <f t="shared" si="55"/>
        <v>0</v>
      </c>
    </row>
    <row r="88" spans="1:30" hidden="1" outlineLevel="1" x14ac:dyDescent="0.25">
      <c r="A88" s="51">
        <f>IF(A85="","",A85)</f>
        <v>2551</v>
      </c>
      <c r="B88" s="41" t="str">
        <f>IF(B85="","",B85)</f>
        <v>Bayside Community Center</v>
      </c>
      <c r="C88" s="42"/>
      <c r="D88" s="43" t="str">
        <f>IF(COUNTA(C88,E88,H88,I88:O88)=0,"",IF(D85="","",D85))</f>
        <v/>
      </c>
      <c r="E88" s="44"/>
      <c r="F88" s="139" t="str">
        <f t="shared" si="64"/>
        <v/>
      </c>
      <c r="G88" s="136" t="str">
        <f t="shared" si="65"/>
        <v/>
      </c>
      <c r="H88" s="127"/>
      <c r="I88" s="148"/>
      <c r="J88" s="148"/>
      <c r="K88" s="148"/>
      <c r="L88" s="148"/>
      <c r="M88" s="148"/>
      <c r="N88" s="148"/>
      <c r="O88" s="148"/>
      <c r="P88" s="144">
        <f t="shared" si="66"/>
        <v>0</v>
      </c>
      <c r="Q88" s="144" cm="1">
        <f t="array" ref="Q88">IF(OR(A88="",E88="",F88=""),0,SUMPRODUCT((tlNo=A88)*(Timeline!$H$18:$BG$18+6&gt;=E88)*(Timeline!$H$18:$BG$18&lt;=F88)*Timeline!$H$20:$BG$378))</f>
        <v>0</v>
      </c>
      <c r="R88" s="144">
        <f t="shared" si="54"/>
        <v>0</v>
      </c>
      <c r="S88" s="144">
        <f>SUMIF($I$3:$O$3,Assumptions!$A$15,$I88:$O88)*N($G88)</f>
        <v>0</v>
      </c>
      <c r="T88" s="144">
        <f>SUMIF($I$3:$O$3,Assumptions!$A$16,$I88:$O88)*N($G88)</f>
        <v>0</v>
      </c>
      <c r="U88" s="144">
        <f>SUMIF($I$3:$O$3,Assumptions!$A$17,$I88:$O88)*N($G88)</f>
        <v>0</v>
      </c>
      <c r="V88" s="144">
        <f>SUMIF($I$3:$O$3,Assumptions!$A$18,$I88:$O88)*N($G88)</f>
        <v>0</v>
      </c>
      <c r="W88" s="144">
        <f>SUMIF($I$3:$O$3,Assumptions!$A$19,$I88:$O88)*N($G88)</f>
        <v>0</v>
      </c>
      <c r="X88" s="145">
        <f>S88*Assumptions!$B$15+T88*Assumptions!$B$16+U88*Assumptions!$B$17+V88*Assumptions!$B$18+W88*Assumptions!$B$19</f>
        <v>0</v>
      </c>
      <c r="Y88" s="145" t="str">
        <f t="shared" si="67"/>
        <v/>
      </c>
      <c r="Z88" s="146" t="str">
        <f t="shared" si="68"/>
        <v/>
      </c>
      <c r="AA88" s="146">
        <f>IF(D88="Active",1,IF(D88="Prospective",IF(Assumptions!$B$6="Active only",0,Assumptions!$B$7),0))</f>
        <v>0</v>
      </c>
      <c r="AB88" s="147" t="str">
        <f t="shared" si="69"/>
        <v/>
      </c>
      <c r="AC88" s="152" t="s">
        <v>103</v>
      </c>
      <c r="AD88" s="156">
        <f t="shared" si="55"/>
        <v>0</v>
      </c>
    </row>
    <row r="89" spans="1:30" hidden="1" outlineLevel="1" x14ac:dyDescent="0.25">
      <c r="A89" s="51">
        <f>IF(A85="","",A85)</f>
        <v>2551</v>
      </c>
      <c r="B89" s="41" t="str">
        <f>IF(B85="","",B85)</f>
        <v>Bayside Community Center</v>
      </c>
      <c r="C89" s="42"/>
      <c r="D89" s="43" t="str">
        <f>IF(COUNTA(C89,E89,H89,I89:O89)=0,"",IF(D85="","",D85))</f>
        <v/>
      </c>
      <c r="E89" s="44"/>
      <c r="F89" s="139" t="str">
        <f t="shared" si="64"/>
        <v/>
      </c>
      <c r="G89" s="136" t="str">
        <f t="shared" si="65"/>
        <v/>
      </c>
      <c r="H89" s="127"/>
      <c r="I89" s="148"/>
      <c r="J89" s="148"/>
      <c r="K89" s="148"/>
      <c r="L89" s="148"/>
      <c r="M89" s="148"/>
      <c r="N89" s="148"/>
      <c r="O89" s="148"/>
      <c r="P89" s="144">
        <f t="shared" si="66"/>
        <v>0</v>
      </c>
      <c r="Q89" s="144" cm="1">
        <f t="array" ref="Q89">IF(OR(A89="",E89="",F89=""),0,SUMPRODUCT((tlNo=A89)*(Timeline!$H$18:$BG$18+6&gt;=E89)*(Timeline!$H$18:$BG$18&lt;=F89)*Timeline!$H$20:$BG$378))</f>
        <v>0</v>
      </c>
      <c r="R89" s="144">
        <f t="shared" si="54"/>
        <v>0</v>
      </c>
      <c r="S89" s="144">
        <f>SUMIF($I$3:$O$3,Assumptions!$A$15,$I89:$O89)*N($G89)</f>
        <v>0</v>
      </c>
      <c r="T89" s="144">
        <f>SUMIF($I$3:$O$3,Assumptions!$A$16,$I89:$O89)*N($G89)</f>
        <v>0</v>
      </c>
      <c r="U89" s="144">
        <f>SUMIF($I$3:$O$3,Assumptions!$A$17,$I89:$O89)*N($G89)</f>
        <v>0</v>
      </c>
      <c r="V89" s="144">
        <f>SUMIF($I$3:$O$3,Assumptions!$A$18,$I89:$O89)*N($G89)</f>
        <v>0</v>
      </c>
      <c r="W89" s="144">
        <f>SUMIF($I$3:$O$3,Assumptions!$A$19,$I89:$O89)*N($G89)</f>
        <v>0</v>
      </c>
      <c r="X89" s="145">
        <f>S89*Assumptions!$B$15+T89*Assumptions!$B$16+U89*Assumptions!$B$17+V89*Assumptions!$B$18+W89*Assumptions!$B$19</f>
        <v>0</v>
      </c>
      <c r="Y89" s="145" t="str">
        <f t="shared" si="67"/>
        <v/>
      </c>
      <c r="Z89" s="146" t="str">
        <f t="shared" si="68"/>
        <v/>
      </c>
      <c r="AA89" s="146">
        <f>IF(D89="Active",1,IF(D89="Prospective",IF(Assumptions!$B$6="Active only",0,Assumptions!$B$7),0))</f>
        <v>0</v>
      </c>
      <c r="AB89" s="147" t="str">
        <f t="shared" si="69"/>
        <v/>
      </c>
      <c r="AC89" s="152" t="s">
        <v>103</v>
      </c>
      <c r="AD89" s="156">
        <f t="shared" si="55"/>
        <v>0</v>
      </c>
    </row>
    <row r="90" spans="1:30" hidden="1" outlineLevel="1" x14ac:dyDescent="0.25">
      <c r="A90" s="51">
        <f>IF(A85="","",A85)</f>
        <v>2551</v>
      </c>
      <c r="B90" s="41" t="str">
        <f>IF(B85="","",B85)</f>
        <v>Bayside Community Center</v>
      </c>
      <c r="C90" s="42"/>
      <c r="D90" s="43" t="str">
        <f>IF(COUNTA(C90,E90,H90,I90:O90)=0,"",IF(D85="","",D85))</f>
        <v/>
      </c>
      <c r="E90" s="44"/>
      <c r="F90" s="139" t="str">
        <f t="shared" si="64"/>
        <v/>
      </c>
      <c r="G90" s="136" t="str">
        <f t="shared" si="65"/>
        <v/>
      </c>
      <c r="H90" s="127"/>
      <c r="I90" s="148"/>
      <c r="J90" s="148"/>
      <c r="K90" s="148"/>
      <c r="L90" s="148"/>
      <c r="M90" s="148"/>
      <c r="N90" s="148"/>
      <c r="O90" s="148"/>
      <c r="P90" s="144">
        <f t="shared" si="66"/>
        <v>0</v>
      </c>
      <c r="Q90" s="144" cm="1">
        <f t="array" ref="Q90">IF(OR(A90="",E90="",F90=""),0,SUMPRODUCT((tlNo=A90)*(Timeline!$H$18:$BG$18+6&gt;=E90)*(Timeline!$H$18:$BG$18&lt;=F90)*Timeline!$H$20:$BG$378))</f>
        <v>0</v>
      </c>
      <c r="R90" s="144">
        <f t="shared" si="54"/>
        <v>0</v>
      </c>
      <c r="S90" s="144">
        <f>SUMIF($I$3:$O$3,Assumptions!$A$15,$I90:$O90)*N($G90)</f>
        <v>0</v>
      </c>
      <c r="T90" s="144">
        <f>SUMIF($I$3:$O$3,Assumptions!$A$16,$I90:$O90)*N($G90)</f>
        <v>0</v>
      </c>
      <c r="U90" s="144">
        <f>SUMIF($I$3:$O$3,Assumptions!$A$17,$I90:$O90)*N($G90)</f>
        <v>0</v>
      </c>
      <c r="V90" s="144">
        <f>SUMIF($I$3:$O$3,Assumptions!$A$18,$I90:$O90)*N($G90)</f>
        <v>0</v>
      </c>
      <c r="W90" s="144">
        <f>SUMIF($I$3:$O$3,Assumptions!$A$19,$I90:$O90)*N($G90)</f>
        <v>0</v>
      </c>
      <c r="X90" s="145">
        <f>S90*Assumptions!$B$15+T90*Assumptions!$B$16+U90*Assumptions!$B$17+V90*Assumptions!$B$18+W90*Assumptions!$B$19</f>
        <v>0</v>
      </c>
      <c r="Y90" s="145" t="str">
        <f t="shared" si="67"/>
        <v/>
      </c>
      <c r="Z90" s="146" t="str">
        <f t="shared" si="68"/>
        <v/>
      </c>
      <c r="AA90" s="146">
        <f>IF(D90="Active",1,IF(D90="Prospective",IF(Assumptions!$B$6="Active only",0,Assumptions!$B$7),0))</f>
        <v>0</v>
      </c>
      <c r="AB90" s="147" t="str">
        <f t="shared" si="69"/>
        <v/>
      </c>
      <c r="AC90" s="152" t="s">
        <v>103</v>
      </c>
      <c r="AD90" s="156">
        <f t="shared" si="55"/>
        <v>0</v>
      </c>
    </row>
    <row r="91" spans="1:30" hidden="1" outlineLevel="1" x14ac:dyDescent="0.25">
      <c r="A91" s="51">
        <f>IF(A85="","",A85)</f>
        <v>2551</v>
      </c>
      <c r="B91" s="41" t="str">
        <f>IF(B85="","",B85)</f>
        <v>Bayside Community Center</v>
      </c>
      <c r="C91" s="42"/>
      <c r="D91" s="43" t="str">
        <f>IF(COUNTA(C91,E91,H91,I91:O91)=0,"",IF(D85="","",D85))</f>
        <v/>
      </c>
      <c r="E91" s="44"/>
      <c r="F91" s="139" t="str">
        <f t="shared" si="64"/>
        <v/>
      </c>
      <c r="G91" s="136" t="str">
        <f t="shared" si="65"/>
        <v/>
      </c>
      <c r="H91" s="127"/>
      <c r="I91" s="148"/>
      <c r="J91" s="148"/>
      <c r="K91" s="148"/>
      <c r="L91" s="148"/>
      <c r="M91" s="148"/>
      <c r="N91" s="148"/>
      <c r="O91" s="148"/>
      <c r="P91" s="144">
        <f t="shared" si="66"/>
        <v>0</v>
      </c>
      <c r="Q91" s="144" cm="1">
        <f t="array" ref="Q91">IF(OR(A91="",E91="",F91=""),0,SUMPRODUCT((tlNo=A91)*(Timeline!$H$18:$BG$18+6&gt;=E91)*(Timeline!$H$18:$BG$18&lt;=F91)*Timeline!$H$20:$BG$378))</f>
        <v>0</v>
      </c>
      <c r="R91" s="144">
        <f t="shared" si="54"/>
        <v>0</v>
      </c>
      <c r="S91" s="144">
        <f>SUMIF($I$3:$O$3,Assumptions!$A$15,$I91:$O91)*N($G91)</f>
        <v>0</v>
      </c>
      <c r="T91" s="144">
        <f>SUMIF($I$3:$O$3,Assumptions!$A$16,$I91:$O91)*N($G91)</f>
        <v>0</v>
      </c>
      <c r="U91" s="144">
        <f>SUMIF($I$3:$O$3,Assumptions!$A$17,$I91:$O91)*N($G91)</f>
        <v>0</v>
      </c>
      <c r="V91" s="144">
        <f>SUMIF($I$3:$O$3,Assumptions!$A$18,$I91:$O91)*N($G91)</f>
        <v>0</v>
      </c>
      <c r="W91" s="144">
        <f>SUMIF($I$3:$O$3,Assumptions!$A$19,$I91:$O91)*N($G91)</f>
        <v>0</v>
      </c>
      <c r="X91" s="145">
        <f>S91*Assumptions!$B$15+T91*Assumptions!$B$16+U91*Assumptions!$B$17+V91*Assumptions!$B$18+W91*Assumptions!$B$19</f>
        <v>0</v>
      </c>
      <c r="Y91" s="145" t="str">
        <f t="shared" si="67"/>
        <v/>
      </c>
      <c r="Z91" s="146" t="str">
        <f t="shared" si="68"/>
        <v/>
      </c>
      <c r="AA91" s="146">
        <f>IF(D91="Active",1,IF(D91="Prospective",IF(Assumptions!$B$6="Active only",0,Assumptions!$B$7),0))</f>
        <v>0</v>
      </c>
      <c r="AB91" s="147" t="str">
        <f t="shared" si="69"/>
        <v/>
      </c>
      <c r="AC91" s="152" t="s">
        <v>103</v>
      </c>
      <c r="AD91" s="156">
        <f t="shared" si="55"/>
        <v>0</v>
      </c>
    </row>
    <row r="92" spans="1:30" hidden="1" outlineLevel="1" x14ac:dyDescent="0.25">
      <c r="A92" s="51">
        <f>IF(A85="","",A85)</f>
        <v>2551</v>
      </c>
      <c r="B92" s="41" t="str">
        <f>IF(B85="","",B85)</f>
        <v>Bayside Community Center</v>
      </c>
      <c r="C92" s="42"/>
      <c r="D92" s="43" t="str">
        <f>IF(COUNTA(C92,E92,H92,I92:O92)=0,"",IF(D85="","",D85))</f>
        <v/>
      </c>
      <c r="E92" s="44"/>
      <c r="F92" s="139" t="str">
        <f t="shared" si="64"/>
        <v/>
      </c>
      <c r="G92" s="136" t="str">
        <f t="shared" si="65"/>
        <v/>
      </c>
      <c r="H92" s="127"/>
      <c r="I92" s="148"/>
      <c r="J92" s="148"/>
      <c r="K92" s="148"/>
      <c r="L92" s="148"/>
      <c r="M92" s="148"/>
      <c r="N92" s="148"/>
      <c r="O92" s="148"/>
      <c r="P92" s="144">
        <f t="shared" si="66"/>
        <v>0</v>
      </c>
      <c r="Q92" s="144" cm="1">
        <f t="array" ref="Q92">IF(OR(A92="",E92="",F92=""),0,SUMPRODUCT((tlNo=A92)*(Timeline!$H$18:$BG$18+6&gt;=E92)*(Timeline!$H$18:$BG$18&lt;=F92)*Timeline!$H$20:$BG$378))</f>
        <v>0</v>
      </c>
      <c r="R92" s="144">
        <f t="shared" si="54"/>
        <v>0</v>
      </c>
      <c r="S92" s="144">
        <f>SUMIF($I$3:$O$3,Assumptions!$A$15,$I92:$O92)*N($G92)</f>
        <v>0</v>
      </c>
      <c r="T92" s="144">
        <f>SUMIF($I$3:$O$3,Assumptions!$A$16,$I92:$O92)*N($G92)</f>
        <v>0</v>
      </c>
      <c r="U92" s="144">
        <f>SUMIF($I$3:$O$3,Assumptions!$A$17,$I92:$O92)*N($G92)</f>
        <v>0</v>
      </c>
      <c r="V92" s="144">
        <f>SUMIF($I$3:$O$3,Assumptions!$A$18,$I92:$O92)*N($G92)</f>
        <v>0</v>
      </c>
      <c r="W92" s="144">
        <f>SUMIF($I$3:$O$3,Assumptions!$A$19,$I92:$O92)*N($G92)</f>
        <v>0</v>
      </c>
      <c r="X92" s="145">
        <f>S92*Assumptions!$B$15+T92*Assumptions!$B$16+U92*Assumptions!$B$17+V92*Assumptions!$B$18+W92*Assumptions!$B$19</f>
        <v>0</v>
      </c>
      <c r="Y92" s="145" t="str">
        <f t="shared" si="67"/>
        <v/>
      </c>
      <c r="Z92" s="146" t="str">
        <f t="shared" si="68"/>
        <v/>
      </c>
      <c r="AA92" s="146">
        <f>IF(D92="Active",1,IF(D92="Prospective",IF(Assumptions!$B$6="Active only",0,Assumptions!$B$7),0))</f>
        <v>0</v>
      </c>
      <c r="AB92" s="147" t="str">
        <f t="shared" si="69"/>
        <v/>
      </c>
      <c r="AC92" s="152" t="s">
        <v>103</v>
      </c>
      <c r="AD92" s="156">
        <f t="shared" si="55"/>
        <v>0</v>
      </c>
    </row>
    <row r="93" spans="1:30" hidden="1" outlineLevel="1" x14ac:dyDescent="0.25">
      <c r="A93" s="64">
        <f>IF(A85="","",A85)</f>
        <v>2551</v>
      </c>
      <c r="B93" s="45" t="str">
        <f>IF(B85="","",B85)</f>
        <v>Bayside Community Center</v>
      </c>
      <c r="C93" s="46"/>
      <c r="D93" s="47" t="str">
        <f>IF(COUNTA(C93,E93,H93,I93:O93)=0,"",IF(D85="","",D85))</f>
        <v/>
      </c>
      <c r="E93" s="48"/>
      <c r="F93" s="140" t="str">
        <f t="shared" si="64"/>
        <v/>
      </c>
      <c r="G93" s="137" t="str">
        <f t="shared" si="65"/>
        <v/>
      </c>
      <c r="H93" s="128"/>
      <c r="I93" s="148"/>
      <c r="J93" s="148"/>
      <c r="K93" s="148"/>
      <c r="L93" s="148"/>
      <c r="M93" s="148"/>
      <c r="N93" s="148"/>
      <c r="O93" s="148"/>
      <c r="P93" s="144">
        <f t="shared" si="66"/>
        <v>0</v>
      </c>
      <c r="Q93" s="144" cm="1">
        <f t="array" ref="Q93">IF(OR(A93="",E93="",F93=""),0,SUMPRODUCT((tlNo=A93)*(Timeline!$H$18:$BG$18+6&gt;=E93)*(Timeline!$H$18:$BG$18&lt;=F93)*Timeline!$H$20:$BG$378))</f>
        <v>0</v>
      </c>
      <c r="R93" s="144">
        <f t="shared" si="54"/>
        <v>0</v>
      </c>
      <c r="S93" s="144">
        <f>SUMIF($I$3:$O$3,Assumptions!$A$15,$I93:$O93)*N($G93)</f>
        <v>0</v>
      </c>
      <c r="T93" s="144">
        <f>SUMIF($I$3:$O$3,Assumptions!$A$16,$I93:$O93)*N($G93)</f>
        <v>0</v>
      </c>
      <c r="U93" s="144">
        <f>SUMIF($I$3:$O$3,Assumptions!$A$17,$I93:$O93)*N($G93)</f>
        <v>0</v>
      </c>
      <c r="V93" s="144">
        <f>SUMIF($I$3:$O$3,Assumptions!$A$18,$I93:$O93)*N($G93)</f>
        <v>0</v>
      </c>
      <c r="W93" s="144">
        <f>SUMIF($I$3:$O$3,Assumptions!$A$19,$I93:$O93)*N($G93)</f>
        <v>0</v>
      </c>
      <c r="X93" s="145">
        <f>S93*Assumptions!$B$15+T93*Assumptions!$B$16+U93*Assumptions!$B$17+V93*Assumptions!$B$18+W93*Assumptions!$B$19</f>
        <v>0</v>
      </c>
      <c r="Y93" s="145" t="str">
        <f t="shared" si="67"/>
        <v/>
      </c>
      <c r="Z93" s="146" t="str">
        <f t="shared" si="68"/>
        <v/>
      </c>
      <c r="AA93" s="146">
        <f>IF(D93="Active",1,IF(D93="Prospective",IF(Assumptions!$B$6="Active only",0,Assumptions!$B$7),0))</f>
        <v>0</v>
      </c>
      <c r="AB93" s="147" t="str">
        <f t="shared" si="69"/>
        <v/>
      </c>
      <c r="AC93" s="152" t="s">
        <v>103</v>
      </c>
      <c r="AD93" s="156">
        <f t="shared" si="55"/>
        <v>0</v>
      </c>
    </row>
    <row r="94" spans="1:30" collapsed="1" x14ac:dyDescent="0.25">
      <c r="A94" s="59">
        <v>2560</v>
      </c>
      <c r="B94" s="207" t="s">
        <v>202</v>
      </c>
      <c r="C94" s="61" t="s">
        <v>129</v>
      </c>
      <c r="D94" s="62" t="s">
        <v>33</v>
      </c>
      <c r="E94" s="63" t="str">
        <f>IF(COUNT(E95:E102)=0,"",MIN(E95:E102))</f>
        <v/>
      </c>
      <c r="F94" s="63" t="str">
        <f>IF(COUNT(F95:F102)=0,"",MAX(F95:F102))</f>
        <v/>
      </c>
      <c r="G94" s="134"/>
      <c r="H94" s="125">
        <f>SUM(H95:H102)</f>
        <v>0</v>
      </c>
      <c r="I94" s="141"/>
      <c r="J94" s="141"/>
      <c r="K94" s="141"/>
      <c r="L94" s="141"/>
      <c r="M94" s="141"/>
      <c r="N94" s="141"/>
      <c r="O94" s="141"/>
      <c r="P94" s="141">
        <f>SUM(P95:P102)</f>
        <v>0</v>
      </c>
      <c r="Q94" s="141">
        <f>SUM(Q95:Q102)</f>
        <v>0</v>
      </c>
      <c r="R94" s="141">
        <f t="shared" si="54"/>
        <v>0</v>
      </c>
      <c r="S94" s="141">
        <f t="shared" ref="S94:X94" si="70">SUM(S95:S102)</f>
        <v>0</v>
      </c>
      <c r="T94" s="141">
        <f t="shared" si="70"/>
        <v>0</v>
      </c>
      <c r="U94" s="141">
        <f t="shared" si="70"/>
        <v>0</v>
      </c>
      <c r="V94" s="141">
        <f t="shared" si="70"/>
        <v>0</v>
      </c>
      <c r="W94" s="141">
        <f t="shared" si="70"/>
        <v>0</v>
      </c>
      <c r="X94" s="142">
        <f t="shared" si="70"/>
        <v>0</v>
      </c>
      <c r="Y94" s="142">
        <f>H94-X94</f>
        <v>0</v>
      </c>
      <c r="Z94" s="143" t="str">
        <f>IF(H94=0,"",X94/H94)</f>
        <v/>
      </c>
      <c r="AA94" s="143"/>
      <c r="AB94" s="40" t="str">
        <f>IF(COUNTIF(AB95:AB102,"?*")=0,"No phases yet",IF(COUNTIF(AB95:AB102,"OK")=COUNTIF(AB95:AB102,"?*"),"All OK",(COUNTIF(AB95:AB102,"?*")-COUNTIF(AB95:AB102,"OK"))&amp;" to fix"))</f>
        <v>No phases yet</v>
      </c>
      <c r="AC94" s="52" t="s">
        <v>130</v>
      </c>
      <c r="AD94" s="156">
        <f t="shared" si="55"/>
        <v>0</v>
      </c>
    </row>
    <row r="95" spans="1:30" hidden="1" outlineLevel="1" x14ac:dyDescent="0.25">
      <c r="A95" s="54">
        <f>IF(A94="","",A94)</f>
        <v>2560</v>
      </c>
      <c r="B95" s="55" t="str">
        <f>IF(B94="","",B94)</f>
        <v>Willowmere Trail</v>
      </c>
      <c r="C95" s="56"/>
      <c r="D95" s="57" t="str">
        <f>IF(COUNTA(C95,E95,H95,I95:O95)=0,"",IF(D94="","",D94))</f>
        <v/>
      </c>
      <c r="E95" s="58"/>
      <c r="F95" s="138" t="str">
        <f t="shared" ref="F95:F102" si="71">IF(_xlfn.ISFORMULA(G95),"",IF(AND(E95&lt;&gt;"",N(G95)&gt;0),E95+7*G95-1,""))</f>
        <v/>
      </c>
      <c r="G95" s="135" t="str">
        <f t="shared" ref="G95:G102" si="72">IF(OR(E95="",F95=""),"",IF(F95&lt;E95,"",ROUNDUP((F95-E95+1)/7,0)))</f>
        <v/>
      </c>
      <c r="H95" s="126"/>
      <c r="I95" s="148"/>
      <c r="J95" s="148"/>
      <c r="K95" s="148"/>
      <c r="L95" s="148"/>
      <c r="M95" s="148"/>
      <c r="N95" s="148"/>
      <c r="O95" s="148"/>
      <c r="P95" s="144">
        <f t="shared" ref="P95:P102" si="73">SUM(I95:O95)*N(G95)</f>
        <v>0</v>
      </c>
      <c r="Q95" s="144" cm="1">
        <f t="array" ref="Q95">IF(OR(A95="",E95="",F95=""),0,SUMPRODUCT((tlNo=A95)*(Timeline!$H$18:$BG$18+6&gt;=E95)*(Timeline!$H$18:$BG$18&lt;=F95)*Timeline!$H$20:$BG$378))</f>
        <v>0</v>
      </c>
      <c r="R95" s="144">
        <f t="shared" si="54"/>
        <v>0</v>
      </c>
      <c r="S95" s="144">
        <f>SUMIF($I$3:$O$3,Assumptions!$A$15,$I95:$O95)*N($G95)</f>
        <v>0</v>
      </c>
      <c r="T95" s="144">
        <f>SUMIF($I$3:$O$3,Assumptions!$A$16,$I95:$O95)*N($G95)</f>
        <v>0</v>
      </c>
      <c r="U95" s="144">
        <f>SUMIF($I$3:$O$3,Assumptions!$A$17,$I95:$O95)*N($G95)</f>
        <v>0</v>
      </c>
      <c r="V95" s="144">
        <f>SUMIF($I$3:$O$3,Assumptions!$A$18,$I95:$O95)*N($G95)</f>
        <v>0</v>
      </c>
      <c r="W95" s="144">
        <f>SUMIF($I$3:$O$3,Assumptions!$A$19,$I95:$O95)*N($G95)</f>
        <v>0</v>
      </c>
      <c r="X95" s="145">
        <f>S95*Assumptions!$B$15+T95*Assumptions!$B$16+U95*Assumptions!$B$17+V95*Assumptions!$B$18+W95*Assumptions!$B$19</f>
        <v>0</v>
      </c>
      <c r="Y95" s="145" t="str">
        <f t="shared" ref="Y95:Y102" si="74">IF(D95="","",H95-X95)</f>
        <v/>
      </c>
      <c r="Z95" s="146" t="str">
        <f t="shared" ref="Z95:Z102" si="75">IF(OR(D95="",H95=0),"",X95/H95)</f>
        <v/>
      </c>
      <c r="AA95" s="146">
        <f>IF(D95="Active",1,IF(D95="Prospective",IF(Assumptions!$B$6="Active only",0,Assumptions!$B$7),0))</f>
        <v>0</v>
      </c>
      <c r="AB95" s="147" t="str">
        <f t="shared" ref="AB95:AB102" si="76">IF(COUNTA(C95,E95,H95,I95:O95)=0,"",IF(C95="","Select phase",IF(OR(E95="",F95=""),"Enter dates",IF(F95&lt;E95,"End before start",IF(H95="","Enter phase fee",IF(P95=0,"Enter staff hours",IF(R95&lt;0,"Over-mapped on Timeline",IF(R95&gt;0,"Map hours on Timeline","OK"))))))))</f>
        <v/>
      </c>
      <c r="AC95" s="152" t="s">
        <v>103</v>
      </c>
      <c r="AD95" s="156">
        <f t="shared" si="55"/>
        <v>0</v>
      </c>
    </row>
    <row r="96" spans="1:30" hidden="1" outlineLevel="1" x14ac:dyDescent="0.25">
      <c r="A96" s="51">
        <f>IF(A94="","",A94)</f>
        <v>2560</v>
      </c>
      <c r="B96" s="41" t="str">
        <f>IF(B94="","",B94)</f>
        <v>Willowmere Trail</v>
      </c>
      <c r="C96" s="42"/>
      <c r="D96" s="43" t="str">
        <f>IF(COUNTA(C96,E96,H96,I96:O96)=0,"",IF(D94="","",D94))</f>
        <v/>
      </c>
      <c r="E96" s="44"/>
      <c r="F96" s="139" t="str">
        <f t="shared" si="71"/>
        <v/>
      </c>
      <c r="G96" s="136" t="str">
        <f t="shared" si="72"/>
        <v/>
      </c>
      <c r="H96" s="127"/>
      <c r="I96" s="148"/>
      <c r="J96" s="148"/>
      <c r="K96" s="148"/>
      <c r="L96" s="148"/>
      <c r="M96" s="148"/>
      <c r="N96" s="148"/>
      <c r="O96" s="148"/>
      <c r="P96" s="144">
        <f t="shared" si="73"/>
        <v>0</v>
      </c>
      <c r="Q96" s="144" cm="1">
        <f t="array" ref="Q96">IF(OR(A96="",E96="",F96=""),0,SUMPRODUCT((tlNo=A96)*(Timeline!$H$18:$BG$18+6&gt;=E96)*(Timeline!$H$18:$BG$18&lt;=F96)*Timeline!$H$20:$BG$378))</f>
        <v>0</v>
      </c>
      <c r="R96" s="144">
        <f t="shared" si="54"/>
        <v>0</v>
      </c>
      <c r="S96" s="144">
        <f>SUMIF($I$3:$O$3,Assumptions!$A$15,$I96:$O96)*N($G96)</f>
        <v>0</v>
      </c>
      <c r="T96" s="144">
        <f>SUMIF($I$3:$O$3,Assumptions!$A$16,$I96:$O96)*N($G96)</f>
        <v>0</v>
      </c>
      <c r="U96" s="144">
        <f>SUMIF($I$3:$O$3,Assumptions!$A$17,$I96:$O96)*N($G96)</f>
        <v>0</v>
      </c>
      <c r="V96" s="144">
        <f>SUMIF($I$3:$O$3,Assumptions!$A$18,$I96:$O96)*N($G96)</f>
        <v>0</v>
      </c>
      <c r="W96" s="144">
        <f>SUMIF($I$3:$O$3,Assumptions!$A$19,$I96:$O96)*N($G96)</f>
        <v>0</v>
      </c>
      <c r="X96" s="145">
        <f>S96*Assumptions!$B$15+T96*Assumptions!$B$16+U96*Assumptions!$B$17+V96*Assumptions!$B$18+W96*Assumptions!$B$19</f>
        <v>0</v>
      </c>
      <c r="Y96" s="145" t="str">
        <f t="shared" si="74"/>
        <v/>
      </c>
      <c r="Z96" s="146" t="str">
        <f t="shared" si="75"/>
        <v/>
      </c>
      <c r="AA96" s="146">
        <f>IF(D96="Active",1,IF(D96="Prospective",IF(Assumptions!$B$6="Active only",0,Assumptions!$B$7),0))</f>
        <v>0</v>
      </c>
      <c r="AB96" s="147" t="str">
        <f t="shared" si="76"/>
        <v/>
      </c>
      <c r="AC96" s="152" t="s">
        <v>103</v>
      </c>
      <c r="AD96" s="156">
        <f t="shared" si="55"/>
        <v>0</v>
      </c>
    </row>
    <row r="97" spans="1:30" hidden="1" outlineLevel="1" x14ac:dyDescent="0.25">
      <c r="A97" s="51">
        <f>IF(A94="","",A94)</f>
        <v>2560</v>
      </c>
      <c r="B97" s="41" t="str">
        <f>IF(B94="","",B94)</f>
        <v>Willowmere Trail</v>
      </c>
      <c r="C97" s="42"/>
      <c r="D97" s="43" t="str">
        <f>IF(COUNTA(C97,E97,H97,I97:O97)=0,"",IF(D94="","",D94))</f>
        <v/>
      </c>
      <c r="E97" s="44"/>
      <c r="F97" s="139" t="str">
        <f t="shared" si="71"/>
        <v/>
      </c>
      <c r="G97" s="136" t="str">
        <f t="shared" si="72"/>
        <v/>
      </c>
      <c r="H97" s="127"/>
      <c r="I97" s="148"/>
      <c r="J97" s="148"/>
      <c r="K97" s="148"/>
      <c r="L97" s="148"/>
      <c r="M97" s="148"/>
      <c r="N97" s="148"/>
      <c r="O97" s="148"/>
      <c r="P97" s="144">
        <f t="shared" si="73"/>
        <v>0</v>
      </c>
      <c r="Q97" s="144" cm="1">
        <f t="array" ref="Q97">IF(OR(A97="",E97="",F97=""),0,SUMPRODUCT((tlNo=A97)*(Timeline!$H$18:$BG$18+6&gt;=E97)*(Timeline!$H$18:$BG$18&lt;=F97)*Timeline!$H$20:$BG$378))</f>
        <v>0</v>
      </c>
      <c r="R97" s="144">
        <f t="shared" si="54"/>
        <v>0</v>
      </c>
      <c r="S97" s="144">
        <f>SUMIF($I$3:$O$3,Assumptions!$A$15,$I97:$O97)*N($G97)</f>
        <v>0</v>
      </c>
      <c r="T97" s="144">
        <f>SUMIF($I$3:$O$3,Assumptions!$A$16,$I97:$O97)*N($G97)</f>
        <v>0</v>
      </c>
      <c r="U97" s="144">
        <f>SUMIF($I$3:$O$3,Assumptions!$A$17,$I97:$O97)*N($G97)</f>
        <v>0</v>
      </c>
      <c r="V97" s="144">
        <f>SUMIF($I$3:$O$3,Assumptions!$A$18,$I97:$O97)*N($G97)</f>
        <v>0</v>
      </c>
      <c r="W97" s="144">
        <f>SUMIF($I$3:$O$3,Assumptions!$A$19,$I97:$O97)*N($G97)</f>
        <v>0</v>
      </c>
      <c r="X97" s="145">
        <f>S97*Assumptions!$B$15+T97*Assumptions!$B$16+U97*Assumptions!$B$17+V97*Assumptions!$B$18+W97*Assumptions!$B$19</f>
        <v>0</v>
      </c>
      <c r="Y97" s="145" t="str">
        <f t="shared" si="74"/>
        <v/>
      </c>
      <c r="Z97" s="146" t="str">
        <f t="shared" si="75"/>
        <v/>
      </c>
      <c r="AA97" s="146">
        <f>IF(D97="Active",1,IF(D97="Prospective",IF(Assumptions!$B$6="Active only",0,Assumptions!$B$7),0))</f>
        <v>0</v>
      </c>
      <c r="AB97" s="147" t="str">
        <f t="shared" si="76"/>
        <v/>
      </c>
      <c r="AC97" s="152" t="s">
        <v>103</v>
      </c>
      <c r="AD97" s="156">
        <f t="shared" si="55"/>
        <v>0</v>
      </c>
    </row>
    <row r="98" spans="1:30" hidden="1" outlineLevel="1" x14ac:dyDescent="0.25">
      <c r="A98" s="51">
        <f>IF(A94="","",A94)</f>
        <v>2560</v>
      </c>
      <c r="B98" s="41" t="str">
        <f>IF(B94="","",B94)</f>
        <v>Willowmere Trail</v>
      </c>
      <c r="C98" s="42"/>
      <c r="D98" s="43" t="str">
        <f>IF(COUNTA(C98,E98,H98,I98:O98)=0,"",IF(D94="","",D94))</f>
        <v/>
      </c>
      <c r="E98" s="44"/>
      <c r="F98" s="139" t="str">
        <f t="shared" si="71"/>
        <v/>
      </c>
      <c r="G98" s="136" t="str">
        <f t="shared" si="72"/>
        <v/>
      </c>
      <c r="H98" s="127"/>
      <c r="I98" s="148"/>
      <c r="J98" s="148"/>
      <c r="K98" s="148"/>
      <c r="L98" s="148"/>
      <c r="M98" s="148"/>
      <c r="N98" s="148"/>
      <c r="O98" s="148"/>
      <c r="P98" s="144">
        <f t="shared" si="73"/>
        <v>0</v>
      </c>
      <c r="Q98" s="144" cm="1">
        <f t="array" ref="Q98">IF(OR(A98="",E98="",F98=""),0,SUMPRODUCT((tlNo=A98)*(Timeline!$H$18:$BG$18+6&gt;=E98)*(Timeline!$H$18:$BG$18&lt;=F98)*Timeline!$H$20:$BG$378))</f>
        <v>0</v>
      </c>
      <c r="R98" s="144">
        <f t="shared" si="54"/>
        <v>0</v>
      </c>
      <c r="S98" s="144">
        <f>SUMIF($I$3:$O$3,Assumptions!$A$15,$I98:$O98)*N($G98)</f>
        <v>0</v>
      </c>
      <c r="T98" s="144">
        <f>SUMIF($I$3:$O$3,Assumptions!$A$16,$I98:$O98)*N($G98)</f>
        <v>0</v>
      </c>
      <c r="U98" s="144">
        <f>SUMIF($I$3:$O$3,Assumptions!$A$17,$I98:$O98)*N($G98)</f>
        <v>0</v>
      </c>
      <c r="V98" s="144">
        <f>SUMIF($I$3:$O$3,Assumptions!$A$18,$I98:$O98)*N($G98)</f>
        <v>0</v>
      </c>
      <c r="W98" s="144">
        <f>SUMIF($I$3:$O$3,Assumptions!$A$19,$I98:$O98)*N($G98)</f>
        <v>0</v>
      </c>
      <c r="X98" s="145">
        <f>S98*Assumptions!$B$15+T98*Assumptions!$B$16+U98*Assumptions!$B$17+V98*Assumptions!$B$18+W98*Assumptions!$B$19</f>
        <v>0</v>
      </c>
      <c r="Y98" s="145" t="str">
        <f t="shared" si="74"/>
        <v/>
      </c>
      <c r="Z98" s="146" t="str">
        <f t="shared" si="75"/>
        <v/>
      </c>
      <c r="AA98" s="146">
        <f>IF(D98="Active",1,IF(D98="Prospective",IF(Assumptions!$B$6="Active only",0,Assumptions!$B$7),0))</f>
        <v>0</v>
      </c>
      <c r="AB98" s="147" t="str">
        <f t="shared" si="76"/>
        <v/>
      </c>
      <c r="AC98" s="152" t="s">
        <v>103</v>
      </c>
      <c r="AD98" s="156">
        <f t="shared" si="55"/>
        <v>0</v>
      </c>
    </row>
    <row r="99" spans="1:30" hidden="1" outlineLevel="1" x14ac:dyDescent="0.25">
      <c r="A99" s="51">
        <f>IF(A94="","",A94)</f>
        <v>2560</v>
      </c>
      <c r="B99" s="41" t="str">
        <f>IF(B94="","",B94)</f>
        <v>Willowmere Trail</v>
      </c>
      <c r="C99" s="42"/>
      <c r="D99" s="43" t="str">
        <f>IF(COUNTA(C99,E99,H99,I99:O99)=0,"",IF(D94="","",D94))</f>
        <v/>
      </c>
      <c r="E99" s="44"/>
      <c r="F99" s="139" t="str">
        <f t="shared" si="71"/>
        <v/>
      </c>
      <c r="G99" s="136" t="str">
        <f t="shared" si="72"/>
        <v/>
      </c>
      <c r="H99" s="127"/>
      <c r="I99" s="148"/>
      <c r="J99" s="148"/>
      <c r="K99" s="148"/>
      <c r="L99" s="148"/>
      <c r="M99" s="148"/>
      <c r="N99" s="148"/>
      <c r="O99" s="148"/>
      <c r="P99" s="144">
        <f t="shared" si="73"/>
        <v>0</v>
      </c>
      <c r="Q99" s="144" cm="1">
        <f t="array" ref="Q99">IF(OR(A99="",E99="",F99=""),0,SUMPRODUCT((tlNo=A99)*(Timeline!$H$18:$BG$18+6&gt;=E99)*(Timeline!$H$18:$BG$18&lt;=F99)*Timeline!$H$20:$BG$378))</f>
        <v>0</v>
      </c>
      <c r="R99" s="144">
        <f t="shared" si="54"/>
        <v>0</v>
      </c>
      <c r="S99" s="144">
        <f>SUMIF($I$3:$O$3,Assumptions!$A$15,$I99:$O99)*N($G99)</f>
        <v>0</v>
      </c>
      <c r="T99" s="144">
        <f>SUMIF($I$3:$O$3,Assumptions!$A$16,$I99:$O99)*N($G99)</f>
        <v>0</v>
      </c>
      <c r="U99" s="144">
        <f>SUMIF($I$3:$O$3,Assumptions!$A$17,$I99:$O99)*N($G99)</f>
        <v>0</v>
      </c>
      <c r="V99" s="144">
        <f>SUMIF($I$3:$O$3,Assumptions!$A$18,$I99:$O99)*N($G99)</f>
        <v>0</v>
      </c>
      <c r="W99" s="144">
        <f>SUMIF($I$3:$O$3,Assumptions!$A$19,$I99:$O99)*N($G99)</f>
        <v>0</v>
      </c>
      <c r="X99" s="145">
        <f>S99*Assumptions!$B$15+T99*Assumptions!$B$16+U99*Assumptions!$B$17+V99*Assumptions!$B$18+W99*Assumptions!$B$19</f>
        <v>0</v>
      </c>
      <c r="Y99" s="145" t="str">
        <f t="shared" si="74"/>
        <v/>
      </c>
      <c r="Z99" s="146" t="str">
        <f t="shared" si="75"/>
        <v/>
      </c>
      <c r="AA99" s="146">
        <f>IF(D99="Active",1,IF(D99="Prospective",IF(Assumptions!$B$6="Active only",0,Assumptions!$B$7),0))</f>
        <v>0</v>
      </c>
      <c r="AB99" s="147" t="str">
        <f t="shared" si="76"/>
        <v/>
      </c>
      <c r="AC99" s="152" t="s">
        <v>103</v>
      </c>
      <c r="AD99" s="156">
        <f t="shared" si="55"/>
        <v>0</v>
      </c>
    </row>
    <row r="100" spans="1:30" hidden="1" outlineLevel="1" x14ac:dyDescent="0.25">
      <c r="A100" s="51">
        <f>IF(A94="","",A94)</f>
        <v>2560</v>
      </c>
      <c r="B100" s="41" t="str">
        <f>IF(B94="","",B94)</f>
        <v>Willowmere Trail</v>
      </c>
      <c r="C100" s="42"/>
      <c r="D100" s="43" t="str">
        <f>IF(COUNTA(C100,E100,H100,I100:O100)=0,"",IF(D94="","",D94))</f>
        <v/>
      </c>
      <c r="E100" s="44"/>
      <c r="F100" s="139" t="str">
        <f t="shared" si="71"/>
        <v/>
      </c>
      <c r="G100" s="136" t="str">
        <f t="shared" si="72"/>
        <v/>
      </c>
      <c r="H100" s="127"/>
      <c r="I100" s="148"/>
      <c r="J100" s="148"/>
      <c r="K100" s="148"/>
      <c r="L100" s="148"/>
      <c r="M100" s="148"/>
      <c r="N100" s="148"/>
      <c r="O100" s="148"/>
      <c r="P100" s="144">
        <f t="shared" si="73"/>
        <v>0</v>
      </c>
      <c r="Q100" s="144" cm="1">
        <f t="array" ref="Q100">IF(OR(A100="",E100="",F100=""),0,SUMPRODUCT((tlNo=A100)*(Timeline!$H$18:$BG$18+6&gt;=E100)*(Timeline!$H$18:$BG$18&lt;=F100)*Timeline!$H$20:$BG$378))</f>
        <v>0</v>
      </c>
      <c r="R100" s="144">
        <f t="shared" si="54"/>
        <v>0</v>
      </c>
      <c r="S100" s="144">
        <f>SUMIF($I$3:$O$3,Assumptions!$A$15,$I100:$O100)*N($G100)</f>
        <v>0</v>
      </c>
      <c r="T100" s="144">
        <f>SUMIF($I$3:$O$3,Assumptions!$A$16,$I100:$O100)*N($G100)</f>
        <v>0</v>
      </c>
      <c r="U100" s="144">
        <f>SUMIF($I$3:$O$3,Assumptions!$A$17,$I100:$O100)*N($G100)</f>
        <v>0</v>
      </c>
      <c r="V100" s="144">
        <f>SUMIF($I$3:$O$3,Assumptions!$A$18,$I100:$O100)*N($G100)</f>
        <v>0</v>
      </c>
      <c r="W100" s="144">
        <f>SUMIF($I$3:$O$3,Assumptions!$A$19,$I100:$O100)*N($G100)</f>
        <v>0</v>
      </c>
      <c r="X100" s="145">
        <f>S100*Assumptions!$B$15+T100*Assumptions!$B$16+U100*Assumptions!$B$17+V100*Assumptions!$B$18+W100*Assumptions!$B$19</f>
        <v>0</v>
      </c>
      <c r="Y100" s="145" t="str">
        <f t="shared" si="74"/>
        <v/>
      </c>
      <c r="Z100" s="146" t="str">
        <f t="shared" si="75"/>
        <v/>
      </c>
      <c r="AA100" s="146">
        <f>IF(D100="Active",1,IF(D100="Prospective",IF(Assumptions!$B$6="Active only",0,Assumptions!$B$7),0))</f>
        <v>0</v>
      </c>
      <c r="AB100" s="147" t="str">
        <f t="shared" si="76"/>
        <v/>
      </c>
      <c r="AC100" s="152" t="s">
        <v>103</v>
      </c>
      <c r="AD100" s="156">
        <f t="shared" si="55"/>
        <v>0</v>
      </c>
    </row>
    <row r="101" spans="1:30" hidden="1" outlineLevel="1" x14ac:dyDescent="0.25">
      <c r="A101" s="51">
        <f>IF(A94="","",A94)</f>
        <v>2560</v>
      </c>
      <c r="B101" s="41" t="str">
        <f>IF(B94="","",B94)</f>
        <v>Willowmere Trail</v>
      </c>
      <c r="C101" s="42"/>
      <c r="D101" s="43" t="str">
        <f>IF(COUNTA(C101,E101,H101,I101:O101)=0,"",IF(D94="","",D94))</f>
        <v/>
      </c>
      <c r="E101" s="44"/>
      <c r="F101" s="139" t="str">
        <f t="shared" si="71"/>
        <v/>
      </c>
      <c r="G101" s="136" t="str">
        <f t="shared" si="72"/>
        <v/>
      </c>
      <c r="H101" s="127"/>
      <c r="I101" s="148"/>
      <c r="J101" s="148"/>
      <c r="K101" s="148"/>
      <c r="L101" s="148"/>
      <c r="M101" s="148"/>
      <c r="N101" s="148"/>
      <c r="O101" s="148"/>
      <c r="P101" s="144">
        <f t="shared" si="73"/>
        <v>0</v>
      </c>
      <c r="Q101" s="144" cm="1">
        <f t="array" ref="Q101">IF(OR(A101="",E101="",F101=""),0,SUMPRODUCT((tlNo=A101)*(Timeline!$H$18:$BG$18+6&gt;=E101)*(Timeline!$H$18:$BG$18&lt;=F101)*Timeline!$H$20:$BG$378))</f>
        <v>0</v>
      </c>
      <c r="R101" s="144">
        <f t="shared" si="54"/>
        <v>0</v>
      </c>
      <c r="S101" s="144">
        <f>SUMIF($I$3:$O$3,Assumptions!$A$15,$I101:$O101)*N($G101)</f>
        <v>0</v>
      </c>
      <c r="T101" s="144">
        <f>SUMIF($I$3:$O$3,Assumptions!$A$16,$I101:$O101)*N($G101)</f>
        <v>0</v>
      </c>
      <c r="U101" s="144">
        <f>SUMIF($I$3:$O$3,Assumptions!$A$17,$I101:$O101)*N($G101)</f>
        <v>0</v>
      </c>
      <c r="V101" s="144">
        <f>SUMIF($I$3:$O$3,Assumptions!$A$18,$I101:$O101)*N($G101)</f>
        <v>0</v>
      </c>
      <c r="W101" s="144">
        <f>SUMIF($I$3:$O$3,Assumptions!$A$19,$I101:$O101)*N($G101)</f>
        <v>0</v>
      </c>
      <c r="X101" s="145">
        <f>S101*Assumptions!$B$15+T101*Assumptions!$B$16+U101*Assumptions!$B$17+V101*Assumptions!$B$18+W101*Assumptions!$B$19</f>
        <v>0</v>
      </c>
      <c r="Y101" s="145" t="str">
        <f t="shared" si="74"/>
        <v/>
      </c>
      <c r="Z101" s="146" t="str">
        <f t="shared" si="75"/>
        <v/>
      </c>
      <c r="AA101" s="146">
        <f>IF(D101="Active",1,IF(D101="Prospective",IF(Assumptions!$B$6="Active only",0,Assumptions!$B$7),0))</f>
        <v>0</v>
      </c>
      <c r="AB101" s="147" t="str">
        <f t="shared" si="76"/>
        <v/>
      </c>
      <c r="AC101" s="152" t="s">
        <v>103</v>
      </c>
      <c r="AD101" s="156">
        <f t="shared" si="55"/>
        <v>0</v>
      </c>
    </row>
    <row r="102" spans="1:30" hidden="1" outlineLevel="1" x14ac:dyDescent="0.25">
      <c r="A102" s="64">
        <f>IF(A94="","",A94)</f>
        <v>2560</v>
      </c>
      <c r="B102" s="45" t="str">
        <f>IF(B94="","",B94)</f>
        <v>Willowmere Trail</v>
      </c>
      <c r="C102" s="46"/>
      <c r="D102" s="47" t="str">
        <f>IF(COUNTA(C102,E102,H102,I102:O102)=0,"",IF(D94="","",D94))</f>
        <v/>
      </c>
      <c r="E102" s="48"/>
      <c r="F102" s="140" t="str">
        <f t="shared" si="71"/>
        <v/>
      </c>
      <c r="G102" s="137" t="str">
        <f t="shared" si="72"/>
        <v/>
      </c>
      <c r="H102" s="128"/>
      <c r="I102" s="148"/>
      <c r="J102" s="148"/>
      <c r="K102" s="148"/>
      <c r="L102" s="148"/>
      <c r="M102" s="148"/>
      <c r="N102" s="148"/>
      <c r="O102" s="148"/>
      <c r="P102" s="144">
        <f t="shared" si="73"/>
        <v>0</v>
      </c>
      <c r="Q102" s="144" cm="1">
        <f t="array" ref="Q102">IF(OR(A102="",E102="",F102=""),0,SUMPRODUCT((tlNo=A102)*(Timeline!$H$18:$BG$18+6&gt;=E102)*(Timeline!$H$18:$BG$18&lt;=F102)*Timeline!$H$20:$BG$378))</f>
        <v>0</v>
      </c>
      <c r="R102" s="144">
        <f t="shared" si="54"/>
        <v>0</v>
      </c>
      <c r="S102" s="144">
        <f>SUMIF($I$3:$O$3,Assumptions!$A$15,$I102:$O102)*N($G102)</f>
        <v>0</v>
      </c>
      <c r="T102" s="144">
        <f>SUMIF($I$3:$O$3,Assumptions!$A$16,$I102:$O102)*N($G102)</f>
        <v>0</v>
      </c>
      <c r="U102" s="144">
        <f>SUMIF($I$3:$O$3,Assumptions!$A$17,$I102:$O102)*N($G102)</f>
        <v>0</v>
      </c>
      <c r="V102" s="144">
        <f>SUMIF($I$3:$O$3,Assumptions!$A$18,$I102:$O102)*N($G102)</f>
        <v>0</v>
      </c>
      <c r="W102" s="144">
        <f>SUMIF($I$3:$O$3,Assumptions!$A$19,$I102:$O102)*N($G102)</f>
        <v>0</v>
      </c>
      <c r="X102" s="145">
        <f>S102*Assumptions!$B$15+T102*Assumptions!$B$16+U102*Assumptions!$B$17+V102*Assumptions!$B$18+W102*Assumptions!$B$19</f>
        <v>0</v>
      </c>
      <c r="Y102" s="145" t="str">
        <f t="shared" si="74"/>
        <v/>
      </c>
      <c r="Z102" s="146" t="str">
        <f t="shared" si="75"/>
        <v/>
      </c>
      <c r="AA102" s="146">
        <f>IF(D102="Active",1,IF(D102="Prospective",IF(Assumptions!$B$6="Active only",0,Assumptions!$B$7),0))</f>
        <v>0</v>
      </c>
      <c r="AB102" s="147" t="str">
        <f t="shared" si="76"/>
        <v/>
      </c>
      <c r="AC102" s="152" t="s">
        <v>103</v>
      </c>
      <c r="AD102" s="156">
        <f t="shared" si="55"/>
        <v>0</v>
      </c>
    </row>
    <row r="103" spans="1:30" collapsed="1" x14ac:dyDescent="0.25">
      <c r="A103" s="59">
        <v>2562</v>
      </c>
      <c r="B103" s="207" t="s">
        <v>203</v>
      </c>
      <c r="C103" s="61" t="s">
        <v>129</v>
      </c>
      <c r="D103" s="62" t="s">
        <v>33</v>
      </c>
      <c r="E103" s="63" t="str">
        <f>IF(COUNT(E104:E111)=0,"",MIN(E104:E111))</f>
        <v/>
      </c>
      <c r="F103" s="63" t="str">
        <f>IF(COUNT(F104:F111)=0,"",MAX(F104:F111))</f>
        <v/>
      </c>
      <c r="G103" s="134"/>
      <c r="H103" s="125">
        <f>SUM(H104:H111)</f>
        <v>0</v>
      </c>
      <c r="I103" s="141"/>
      <c r="J103" s="141"/>
      <c r="K103" s="141"/>
      <c r="L103" s="141"/>
      <c r="M103" s="141"/>
      <c r="N103" s="141"/>
      <c r="O103" s="141"/>
      <c r="P103" s="141">
        <f>SUM(P104:P111)</f>
        <v>0</v>
      </c>
      <c r="Q103" s="141">
        <f>SUM(Q104:Q111)</f>
        <v>0</v>
      </c>
      <c r="R103" s="141">
        <f t="shared" si="54"/>
        <v>0</v>
      </c>
      <c r="S103" s="141">
        <f t="shared" ref="S103:X103" si="77">SUM(S104:S111)</f>
        <v>0</v>
      </c>
      <c r="T103" s="141">
        <f t="shared" si="77"/>
        <v>0</v>
      </c>
      <c r="U103" s="141">
        <f t="shared" si="77"/>
        <v>0</v>
      </c>
      <c r="V103" s="141">
        <f t="shared" si="77"/>
        <v>0</v>
      </c>
      <c r="W103" s="141">
        <f t="shared" si="77"/>
        <v>0</v>
      </c>
      <c r="X103" s="142">
        <f t="shared" si="77"/>
        <v>0</v>
      </c>
      <c r="Y103" s="142">
        <f>H103-X103</f>
        <v>0</v>
      </c>
      <c r="Z103" s="143" t="str">
        <f>IF(H103=0,"",X103/H103)</f>
        <v/>
      </c>
      <c r="AA103" s="143"/>
      <c r="AB103" s="40" t="str">
        <f>IF(COUNTIF(AB104:AB111,"?*")=0,"No phases yet",IF(COUNTIF(AB104:AB111,"OK")=COUNTIF(AB104:AB111,"?*"),"All OK",(COUNTIF(AB104:AB111,"?*")-COUNTIF(AB104:AB111,"OK"))&amp;" to fix"))</f>
        <v>No phases yet</v>
      </c>
      <c r="AC103" s="52" t="s">
        <v>130</v>
      </c>
      <c r="AD103" s="156">
        <f t="shared" si="55"/>
        <v>0</v>
      </c>
    </row>
    <row r="104" spans="1:30" hidden="1" outlineLevel="1" x14ac:dyDescent="0.25">
      <c r="A104" s="54">
        <f>IF(A103="","",A103)</f>
        <v>2562</v>
      </c>
      <c r="B104" s="55" t="str">
        <f>IF(B103="","",B103)</f>
        <v>Pebble Creek Courtyard</v>
      </c>
      <c r="C104" s="56"/>
      <c r="D104" s="57" t="str">
        <f>IF(COUNTA(C104,E104,H104,I104:O104)=0,"",IF(D103="","",D103))</f>
        <v/>
      </c>
      <c r="E104" s="58"/>
      <c r="F104" s="138" t="str">
        <f t="shared" ref="F104:F111" si="78">IF(_xlfn.ISFORMULA(G104),"",IF(AND(E104&lt;&gt;"",N(G104)&gt;0),E104+7*G104-1,""))</f>
        <v/>
      </c>
      <c r="G104" s="135" t="str">
        <f t="shared" ref="G104:G111" si="79">IF(OR(E104="",F104=""),"",IF(F104&lt;E104,"",ROUNDUP((F104-E104+1)/7,0)))</f>
        <v/>
      </c>
      <c r="H104" s="126"/>
      <c r="I104" s="148"/>
      <c r="J104" s="148"/>
      <c r="K104" s="148"/>
      <c r="L104" s="148"/>
      <c r="M104" s="148"/>
      <c r="N104" s="148"/>
      <c r="O104" s="148"/>
      <c r="P104" s="144">
        <f t="shared" ref="P104:P111" si="80">SUM(I104:O104)*N(G104)</f>
        <v>0</v>
      </c>
      <c r="Q104" s="144" cm="1">
        <f t="array" ref="Q104">IF(OR(A104="",E104="",F104=""),0,SUMPRODUCT((tlNo=A104)*(Timeline!$H$18:$BG$18+6&gt;=E104)*(Timeline!$H$18:$BG$18&lt;=F104)*Timeline!$H$20:$BG$378))</f>
        <v>0</v>
      </c>
      <c r="R104" s="144">
        <f t="shared" si="54"/>
        <v>0</v>
      </c>
      <c r="S104" s="144">
        <f>SUMIF($I$3:$O$3,Assumptions!$A$15,$I104:$O104)*N($G104)</f>
        <v>0</v>
      </c>
      <c r="T104" s="144">
        <f>SUMIF($I$3:$O$3,Assumptions!$A$16,$I104:$O104)*N($G104)</f>
        <v>0</v>
      </c>
      <c r="U104" s="144">
        <f>SUMIF($I$3:$O$3,Assumptions!$A$17,$I104:$O104)*N($G104)</f>
        <v>0</v>
      </c>
      <c r="V104" s="144">
        <f>SUMIF($I$3:$O$3,Assumptions!$A$18,$I104:$O104)*N($G104)</f>
        <v>0</v>
      </c>
      <c r="W104" s="144">
        <f>SUMIF($I$3:$O$3,Assumptions!$A$19,$I104:$O104)*N($G104)</f>
        <v>0</v>
      </c>
      <c r="X104" s="145">
        <f>S104*Assumptions!$B$15+T104*Assumptions!$B$16+U104*Assumptions!$B$17+V104*Assumptions!$B$18+W104*Assumptions!$B$19</f>
        <v>0</v>
      </c>
      <c r="Y104" s="145" t="str">
        <f t="shared" ref="Y104:Y111" si="81">IF(D104="","",H104-X104)</f>
        <v/>
      </c>
      <c r="Z104" s="146" t="str">
        <f t="shared" ref="Z104:Z111" si="82">IF(OR(D104="",H104=0),"",X104/H104)</f>
        <v/>
      </c>
      <c r="AA104" s="146">
        <f>IF(D104="Active",1,IF(D104="Prospective",IF(Assumptions!$B$6="Active only",0,Assumptions!$B$7),0))</f>
        <v>0</v>
      </c>
      <c r="AB104" s="147" t="str">
        <f t="shared" ref="AB104:AB111" si="83">IF(COUNTA(C104,E104,H104,I104:O104)=0,"",IF(C104="","Select phase",IF(OR(E104="",F104=""),"Enter dates",IF(F104&lt;E104,"End before start",IF(H104="","Enter phase fee",IF(P104=0,"Enter staff hours",IF(R104&lt;0,"Over-mapped on Timeline",IF(R104&gt;0,"Map hours on Timeline","OK"))))))))</f>
        <v/>
      </c>
      <c r="AC104" s="152" t="s">
        <v>103</v>
      </c>
      <c r="AD104" s="156">
        <f t="shared" si="55"/>
        <v>0</v>
      </c>
    </row>
    <row r="105" spans="1:30" hidden="1" outlineLevel="1" x14ac:dyDescent="0.25">
      <c r="A105" s="51">
        <f>IF(A103="","",A103)</f>
        <v>2562</v>
      </c>
      <c r="B105" s="41" t="str">
        <f>IF(B103="","",B103)</f>
        <v>Pebble Creek Courtyard</v>
      </c>
      <c r="C105" s="42"/>
      <c r="D105" s="43" t="str">
        <f>IF(COUNTA(C105,E105,H105,I105:O105)=0,"",IF(D103="","",D103))</f>
        <v/>
      </c>
      <c r="E105" s="44"/>
      <c r="F105" s="139" t="str">
        <f t="shared" si="78"/>
        <v/>
      </c>
      <c r="G105" s="136" t="str">
        <f t="shared" si="79"/>
        <v/>
      </c>
      <c r="H105" s="127"/>
      <c r="I105" s="148"/>
      <c r="J105" s="148"/>
      <c r="K105" s="148"/>
      <c r="L105" s="148"/>
      <c r="M105" s="148"/>
      <c r="N105" s="148"/>
      <c r="O105" s="148"/>
      <c r="P105" s="144">
        <f t="shared" si="80"/>
        <v>0</v>
      </c>
      <c r="Q105" s="144" cm="1">
        <f t="array" ref="Q105">IF(OR(A105="",E105="",F105=""),0,SUMPRODUCT((tlNo=A105)*(Timeline!$H$18:$BG$18+6&gt;=E105)*(Timeline!$H$18:$BG$18&lt;=F105)*Timeline!$H$20:$BG$378))</f>
        <v>0</v>
      </c>
      <c r="R105" s="144">
        <f t="shared" si="54"/>
        <v>0</v>
      </c>
      <c r="S105" s="144">
        <f>SUMIF($I$3:$O$3,Assumptions!$A$15,$I105:$O105)*N($G105)</f>
        <v>0</v>
      </c>
      <c r="T105" s="144">
        <f>SUMIF($I$3:$O$3,Assumptions!$A$16,$I105:$O105)*N($G105)</f>
        <v>0</v>
      </c>
      <c r="U105" s="144">
        <f>SUMIF($I$3:$O$3,Assumptions!$A$17,$I105:$O105)*N($G105)</f>
        <v>0</v>
      </c>
      <c r="V105" s="144">
        <f>SUMIF($I$3:$O$3,Assumptions!$A$18,$I105:$O105)*N($G105)</f>
        <v>0</v>
      </c>
      <c r="W105" s="144">
        <f>SUMIF($I$3:$O$3,Assumptions!$A$19,$I105:$O105)*N($G105)</f>
        <v>0</v>
      </c>
      <c r="X105" s="145">
        <f>S105*Assumptions!$B$15+T105*Assumptions!$B$16+U105*Assumptions!$B$17+V105*Assumptions!$B$18+W105*Assumptions!$B$19</f>
        <v>0</v>
      </c>
      <c r="Y105" s="145" t="str">
        <f t="shared" si="81"/>
        <v/>
      </c>
      <c r="Z105" s="146" t="str">
        <f t="shared" si="82"/>
        <v/>
      </c>
      <c r="AA105" s="146">
        <f>IF(D105="Active",1,IF(D105="Prospective",IF(Assumptions!$B$6="Active only",0,Assumptions!$B$7),0))</f>
        <v>0</v>
      </c>
      <c r="AB105" s="147" t="str">
        <f t="shared" si="83"/>
        <v/>
      </c>
      <c r="AC105" s="152" t="s">
        <v>103</v>
      </c>
      <c r="AD105" s="156">
        <f t="shared" si="55"/>
        <v>0</v>
      </c>
    </row>
    <row r="106" spans="1:30" hidden="1" outlineLevel="1" x14ac:dyDescent="0.25">
      <c r="A106" s="51">
        <f>IF(A103="","",A103)</f>
        <v>2562</v>
      </c>
      <c r="B106" s="41" t="str">
        <f>IF(B103="","",B103)</f>
        <v>Pebble Creek Courtyard</v>
      </c>
      <c r="C106" s="42"/>
      <c r="D106" s="43" t="str">
        <f>IF(COUNTA(C106,E106,H106,I106:O106)=0,"",IF(D103="","",D103))</f>
        <v/>
      </c>
      <c r="E106" s="44"/>
      <c r="F106" s="139" t="str">
        <f t="shared" si="78"/>
        <v/>
      </c>
      <c r="G106" s="136" t="str">
        <f t="shared" si="79"/>
        <v/>
      </c>
      <c r="H106" s="127"/>
      <c r="I106" s="148"/>
      <c r="J106" s="148"/>
      <c r="K106" s="148"/>
      <c r="L106" s="148"/>
      <c r="M106" s="148"/>
      <c r="N106" s="148"/>
      <c r="O106" s="148"/>
      <c r="P106" s="144">
        <f t="shared" si="80"/>
        <v>0</v>
      </c>
      <c r="Q106" s="144" cm="1">
        <f t="array" ref="Q106">IF(OR(A106="",E106="",F106=""),0,SUMPRODUCT((tlNo=A106)*(Timeline!$H$18:$BG$18+6&gt;=E106)*(Timeline!$H$18:$BG$18&lt;=F106)*Timeline!$H$20:$BG$378))</f>
        <v>0</v>
      </c>
      <c r="R106" s="144">
        <f t="shared" si="54"/>
        <v>0</v>
      </c>
      <c r="S106" s="144">
        <f>SUMIF($I$3:$O$3,Assumptions!$A$15,$I106:$O106)*N($G106)</f>
        <v>0</v>
      </c>
      <c r="T106" s="144">
        <f>SUMIF($I$3:$O$3,Assumptions!$A$16,$I106:$O106)*N($G106)</f>
        <v>0</v>
      </c>
      <c r="U106" s="144">
        <f>SUMIF($I$3:$O$3,Assumptions!$A$17,$I106:$O106)*N($G106)</f>
        <v>0</v>
      </c>
      <c r="V106" s="144">
        <f>SUMIF($I$3:$O$3,Assumptions!$A$18,$I106:$O106)*N($G106)</f>
        <v>0</v>
      </c>
      <c r="W106" s="144">
        <f>SUMIF($I$3:$O$3,Assumptions!$A$19,$I106:$O106)*N($G106)</f>
        <v>0</v>
      </c>
      <c r="X106" s="145">
        <f>S106*Assumptions!$B$15+T106*Assumptions!$B$16+U106*Assumptions!$B$17+V106*Assumptions!$B$18+W106*Assumptions!$B$19</f>
        <v>0</v>
      </c>
      <c r="Y106" s="145" t="str">
        <f t="shared" si="81"/>
        <v/>
      </c>
      <c r="Z106" s="146" t="str">
        <f t="shared" si="82"/>
        <v/>
      </c>
      <c r="AA106" s="146">
        <f>IF(D106="Active",1,IF(D106="Prospective",IF(Assumptions!$B$6="Active only",0,Assumptions!$B$7),0))</f>
        <v>0</v>
      </c>
      <c r="AB106" s="147" t="str">
        <f t="shared" si="83"/>
        <v/>
      </c>
      <c r="AC106" s="152" t="s">
        <v>103</v>
      </c>
      <c r="AD106" s="156">
        <f t="shared" si="55"/>
        <v>0</v>
      </c>
    </row>
    <row r="107" spans="1:30" hidden="1" outlineLevel="1" x14ac:dyDescent="0.25">
      <c r="A107" s="51">
        <f>IF(A103="","",A103)</f>
        <v>2562</v>
      </c>
      <c r="B107" s="41" t="str">
        <f>IF(B103="","",B103)</f>
        <v>Pebble Creek Courtyard</v>
      </c>
      <c r="C107" s="42"/>
      <c r="D107" s="43" t="str">
        <f>IF(COUNTA(C107,E107,H107,I107:O107)=0,"",IF(D103="","",D103))</f>
        <v/>
      </c>
      <c r="E107" s="44"/>
      <c r="F107" s="139" t="str">
        <f t="shared" si="78"/>
        <v/>
      </c>
      <c r="G107" s="136" t="str">
        <f t="shared" si="79"/>
        <v/>
      </c>
      <c r="H107" s="127"/>
      <c r="I107" s="148"/>
      <c r="J107" s="148"/>
      <c r="K107" s="148"/>
      <c r="L107" s="148"/>
      <c r="M107" s="148"/>
      <c r="N107" s="148"/>
      <c r="O107" s="148"/>
      <c r="P107" s="144">
        <f t="shared" si="80"/>
        <v>0</v>
      </c>
      <c r="Q107" s="144" cm="1">
        <f t="array" ref="Q107">IF(OR(A107="",E107="",F107=""),0,SUMPRODUCT((tlNo=A107)*(Timeline!$H$18:$BG$18+6&gt;=E107)*(Timeline!$H$18:$BG$18&lt;=F107)*Timeline!$H$20:$BG$378))</f>
        <v>0</v>
      </c>
      <c r="R107" s="144">
        <f t="shared" si="54"/>
        <v>0</v>
      </c>
      <c r="S107" s="144">
        <f>SUMIF($I$3:$O$3,Assumptions!$A$15,$I107:$O107)*N($G107)</f>
        <v>0</v>
      </c>
      <c r="T107" s="144">
        <f>SUMIF($I$3:$O$3,Assumptions!$A$16,$I107:$O107)*N($G107)</f>
        <v>0</v>
      </c>
      <c r="U107" s="144">
        <f>SUMIF($I$3:$O$3,Assumptions!$A$17,$I107:$O107)*N($G107)</f>
        <v>0</v>
      </c>
      <c r="V107" s="144">
        <f>SUMIF($I$3:$O$3,Assumptions!$A$18,$I107:$O107)*N($G107)</f>
        <v>0</v>
      </c>
      <c r="W107" s="144">
        <f>SUMIF($I$3:$O$3,Assumptions!$A$19,$I107:$O107)*N($G107)</f>
        <v>0</v>
      </c>
      <c r="X107" s="145">
        <f>S107*Assumptions!$B$15+T107*Assumptions!$B$16+U107*Assumptions!$B$17+V107*Assumptions!$B$18+W107*Assumptions!$B$19</f>
        <v>0</v>
      </c>
      <c r="Y107" s="145" t="str">
        <f t="shared" si="81"/>
        <v/>
      </c>
      <c r="Z107" s="146" t="str">
        <f t="shared" si="82"/>
        <v/>
      </c>
      <c r="AA107" s="146">
        <f>IF(D107="Active",1,IF(D107="Prospective",IF(Assumptions!$B$6="Active only",0,Assumptions!$B$7),0))</f>
        <v>0</v>
      </c>
      <c r="AB107" s="147" t="str">
        <f t="shared" si="83"/>
        <v/>
      </c>
      <c r="AC107" s="152" t="s">
        <v>103</v>
      </c>
      <c r="AD107" s="156">
        <f t="shared" si="55"/>
        <v>0</v>
      </c>
    </row>
    <row r="108" spans="1:30" hidden="1" outlineLevel="1" x14ac:dyDescent="0.25">
      <c r="A108" s="51">
        <f>IF(A103="","",A103)</f>
        <v>2562</v>
      </c>
      <c r="B108" s="41" t="str">
        <f>IF(B103="","",B103)</f>
        <v>Pebble Creek Courtyard</v>
      </c>
      <c r="C108" s="42"/>
      <c r="D108" s="43" t="str">
        <f>IF(COUNTA(C108,E108,H108,I108:O108)=0,"",IF(D103="","",D103))</f>
        <v/>
      </c>
      <c r="E108" s="44"/>
      <c r="F108" s="139" t="str">
        <f t="shared" si="78"/>
        <v/>
      </c>
      <c r="G108" s="136" t="str">
        <f t="shared" si="79"/>
        <v/>
      </c>
      <c r="H108" s="127"/>
      <c r="I108" s="148"/>
      <c r="J108" s="148"/>
      <c r="K108" s="148"/>
      <c r="L108" s="148"/>
      <c r="M108" s="148"/>
      <c r="N108" s="148"/>
      <c r="O108" s="148"/>
      <c r="P108" s="144">
        <f t="shared" si="80"/>
        <v>0</v>
      </c>
      <c r="Q108" s="144" cm="1">
        <f t="array" ref="Q108">IF(OR(A108="",E108="",F108=""),0,SUMPRODUCT((tlNo=A108)*(Timeline!$H$18:$BG$18+6&gt;=E108)*(Timeline!$H$18:$BG$18&lt;=F108)*Timeline!$H$20:$BG$378))</f>
        <v>0</v>
      </c>
      <c r="R108" s="144">
        <f t="shared" si="54"/>
        <v>0</v>
      </c>
      <c r="S108" s="144">
        <f>SUMIF($I$3:$O$3,Assumptions!$A$15,$I108:$O108)*N($G108)</f>
        <v>0</v>
      </c>
      <c r="T108" s="144">
        <f>SUMIF($I$3:$O$3,Assumptions!$A$16,$I108:$O108)*N($G108)</f>
        <v>0</v>
      </c>
      <c r="U108" s="144">
        <f>SUMIF($I$3:$O$3,Assumptions!$A$17,$I108:$O108)*N($G108)</f>
        <v>0</v>
      </c>
      <c r="V108" s="144">
        <f>SUMIF($I$3:$O$3,Assumptions!$A$18,$I108:$O108)*N($G108)</f>
        <v>0</v>
      </c>
      <c r="W108" s="144">
        <f>SUMIF($I$3:$O$3,Assumptions!$A$19,$I108:$O108)*N($G108)</f>
        <v>0</v>
      </c>
      <c r="X108" s="145">
        <f>S108*Assumptions!$B$15+T108*Assumptions!$B$16+U108*Assumptions!$B$17+V108*Assumptions!$B$18+W108*Assumptions!$B$19</f>
        <v>0</v>
      </c>
      <c r="Y108" s="145" t="str">
        <f t="shared" si="81"/>
        <v/>
      </c>
      <c r="Z108" s="146" t="str">
        <f t="shared" si="82"/>
        <v/>
      </c>
      <c r="AA108" s="146">
        <f>IF(D108="Active",1,IF(D108="Prospective",IF(Assumptions!$B$6="Active only",0,Assumptions!$B$7),0))</f>
        <v>0</v>
      </c>
      <c r="AB108" s="147" t="str">
        <f t="shared" si="83"/>
        <v/>
      </c>
      <c r="AC108" s="152" t="s">
        <v>103</v>
      </c>
      <c r="AD108" s="156">
        <f t="shared" si="55"/>
        <v>0</v>
      </c>
    </row>
    <row r="109" spans="1:30" hidden="1" outlineLevel="1" x14ac:dyDescent="0.25">
      <c r="A109" s="51">
        <f>IF(A103="","",A103)</f>
        <v>2562</v>
      </c>
      <c r="B109" s="41" t="str">
        <f>IF(B103="","",B103)</f>
        <v>Pebble Creek Courtyard</v>
      </c>
      <c r="C109" s="42"/>
      <c r="D109" s="43" t="str">
        <f>IF(COUNTA(C109,E109,H109,I109:O109)=0,"",IF(D103="","",D103))</f>
        <v/>
      </c>
      <c r="E109" s="44"/>
      <c r="F109" s="139" t="str">
        <f t="shared" si="78"/>
        <v/>
      </c>
      <c r="G109" s="136" t="str">
        <f t="shared" si="79"/>
        <v/>
      </c>
      <c r="H109" s="127"/>
      <c r="I109" s="148"/>
      <c r="J109" s="148"/>
      <c r="K109" s="148"/>
      <c r="L109" s="148"/>
      <c r="M109" s="148"/>
      <c r="N109" s="148"/>
      <c r="O109" s="148"/>
      <c r="P109" s="144">
        <f t="shared" si="80"/>
        <v>0</v>
      </c>
      <c r="Q109" s="144" cm="1">
        <f t="array" ref="Q109">IF(OR(A109="",E109="",F109=""),0,SUMPRODUCT((tlNo=A109)*(Timeline!$H$18:$BG$18+6&gt;=E109)*(Timeline!$H$18:$BG$18&lt;=F109)*Timeline!$H$20:$BG$378))</f>
        <v>0</v>
      </c>
      <c r="R109" s="144">
        <f t="shared" si="54"/>
        <v>0</v>
      </c>
      <c r="S109" s="144">
        <f>SUMIF($I$3:$O$3,Assumptions!$A$15,$I109:$O109)*N($G109)</f>
        <v>0</v>
      </c>
      <c r="T109" s="144">
        <f>SUMIF($I$3:$O$3,Assumptions!$A$16,$I109:$O109)*N($G109)</f>
        <v>0</v>
      </c>
      <c r="U109" s="144">
        <f>SUMIF($I$3:$O$3,Assumptions!$A$17,$I109:$O109)*N($G109)</f>
        <v>0</v>
      </c>
      <c r="V109" s="144">
        <f>SUMIF($I$3:$O$3,Assumptions!$A$18,$I109:$O109)*N($G109)</f>
        <v>0</v>
      </c>
      <c r="W109" s="144">
        <f>SUMIF($I$3:$O$3,Assumptions!$A$19,$I109:$O109)*N($G109)</f>
        <v>0</v>
      </c>
      <c r="X109" s="145">
        <f>S109*Assumptions!$B$15+T109*Assumptions!$B$16+U109*Assumptions!$B$17+V109*Assumptions!$B$18+W109*Assumptions!$B$19</f>
        <v>0</v>
      </c>
      <c r="Y109" s="145" t="str">
        <f t="shared" si="81"/>
        <v/>
      </c>
      <c r="Z109" s="146" t="str">
        <f t="shared" si="82"/>
        <v/>
      </c>
      <c r="AA109" s="146">
        <f>IF(D109="Active",1,IF(D109="Prospective",IF(Assumptions!$B$6="Active only",0,Assumptions!$B$7),0))</f>
        <v>0</v>
      </c>
      <c r="AB109" s="147" t="str">
        <f t="shared" si="83"/>
        <v/>
      </c>
      <c r="AC109" s="152" t="s">
        <v>103</v>
      </c>
      <c r="AD109" s="156">
        <f t="shared" si="55"/>
        <v>0</v>
      </c>
    </row>
    <row r="110" spans="1:30" hidden="1" outlineLevel="1" x14ac:dyDescent="0.25">
      <c r="A110" s="51">
        <f>IF(A103="","",A103)</f>
        <v>2562</v>
      </c>
      <c r="B110" s="41" t="str">
        <f>IF(B103="","",B103)</f>
        <v>Pebble Creek Courtyard</v>
      </c>
      <c r="C110" s="42"/>
      <c r="D110" s="43" t="str">
        <f>IF(COUNTA(C110,E110,H110,I110:O110)=0,"",IF(D103="","",D103))</f>
        <v/>
      </c>
      <c r="E110" s="44"/>
      <c r="F110" s="139" t="str">
        <f t="shared" si="78"/>
        <v/>
      </c>
      <c r="G110" s="136" t="str">
        <f t="shared" si="79"/>
        <v/>
      </c>
      <c r="H110" s="127"/>
      <c r="I110" s="148"/>
      <c r="J110" s="148"/>
      <c r="K110" s="148"/>
      <c r="L110" s="148"/>
      <c r="M110" s="148"/>
      <c r="N110" s="148"/>
      <c r="O110" s="148"/>
      <c r="P110" s="144">
        <f t="shared" si="80"/>
        <v>0</v>
      </c>
      <c r="Q110" s="144" cm="1">
        <f t="array" ref="Q110">IF(OR(A110="",E110="",F110=""),0,SUMPRODUCT((tlNo=A110)*(Timeline!$H$18:$BG$18+6&gt;=E110)*(Timeline!$H$18:$BG$18&lt;=F110)*Timeline!$H$20:$BG$378))</f>
        <v>0</v>
      </c>
      <c r="R110" s="144">
        <f t="shared" si="54"/>
        <v>0</v>
      </c>
      <c r="S110" s="144">
        <f>SUMIF($I$3:$O$3,Assumptions!$A$15,$I110:$O110)*N($G110)</f>
        <v>0</v>
      </c>
      <c r="T110" s="144">
        <f>SUMIF($I$3:$O$3,Assumptions!$A$16,$I110:$O110)*N($G110)</f>
        <v>0</v>
      </c>
      <c r="U110" s="144">
        <f>SUMIF($I$3:$O$3,Assumptions!$A$17,$I110:$O110)*N($G110)</f>
        <v>0</v>
      </c>
      <c r="V110" s="144">
        <f>SUMIF($I$3:$O$3,Assumptions!$A$18,$I110:$O110)*N($G110)</f>
        <v>0</v>
      </c>
      <c r="W110" s="144">
        <f>SUMIF($I$3:$O$3,Assumptions!$A$19,$I110:$O110)*N($G110)</f>
        <v>0</v>
      </c>
      <c r="X110" s="145">
        <f>S110*Assumptions!$B$15+T110*Assumptions!$B$16+U110*Assumptions!$B$17+V110*Assumptions!$B$18+W110*Assumptions!$B$19</f>
        <v>0</v>
      </c>
      <c r="Y110" s="145" t="str">
        <f t="shared" si="81"/>
        <v/>
      </c>
      <c r="Z110" s="146" t="str">
        <f t="shared" si="82"/>
        <v/>
      </c>
      <c r="AA110" s="146">
        <f>IF(D110="Active",1,IF(D110="Prospective",IF(Assumptions!$B$6="Active only",0,Assumptions!$B$7),0))</f>
        <v>0</v>
      </c>
      <c r="AB110" s="147" t="str">
        <f t="shared" si="83"/>
        <v/>
      </c>
      <c r="AC110" s="152" t="s">
        <v>103</v>
      </c>
      <c r="AD110" s="156">
        <f t="shared" si="55"/>
        <v>0</v>
      </c>
    </row>
    <row r="111" spans="1:30" hidden="1" outlineLevel="1" x14ac:dyDescent="0.25">
      <c r="A111" s="64">
        <f>IF(A103="","",A103)</f>
        <v>2562</v>
      </c>
      <c r="B111" s="45" t="str">
        <f>IF(B103="","",B103)</f>
        <v>Pebble Creek Courtyard</v>
      </c>
      <c r="C111" s="46"/>
      <c r="D111" s="47" t="str">
        <f>IF(COUNTA(C111,E111,H111,I111:O111)=0,"",IF(D103="","",D103))</f>
        <v/>
      </c>
      <c r="E111" s="48"/>
      <c r="F111" s="140" t="str">
        <f t="shared" si="78"/>
        <v/>
      </c>
      <c r="G111" s="137" t="str">
        <f t="shared" si="79"/>
        <v/>
      </c>
      <c r="H111" s="128"/>
      <c r="I111" s="148"/>
      <c r="J111" s="148"/>
      <c r="K111" s="148"/>
      <c r="L111" s="148"/>
      <c r="M111" s="148"/>
      <c r="N111" s="148"/>
      <c r="O111" s="148"/>
      <c r="P111" s="144">
        <f t="shared" si="80"/>
        <v>0</v>
      </c>
      <c r="Q111" s="144" cm="1">
        <f t="array" ref="Q111">IF(OR(A111="",E111="",F111=""),0,SUMPRODUCT((tlNo=A111)*(Timeline!$H$18:$BG$18+6&gt;=E111)*(Timeline!$H$18:$BG$18&lt;=F111)*Timeline!$H$20:$BG$378))</f>
        <v>0</v>
      </c>
      <c r="R111" s="144">
        <f t="shared" si="54"/>
        <v>0</v>
      </c>
      <c r="S111" s="144">
        <f>SUMIF($I$3:$O$3,Assumptions!$A$15,$I111:$O111)*N($G111)</f>
        <v>0</v>
      </c>
      <c r="T111" s="144">
        <f>SUMIF($I$3:$O$3,Assumptions!$A$16,$I111:$O111)*N($G111)</f>
        <v>0</v>
      </c>
      <c r="U111" s="144">
        <f>SUMIF($I$3:$O$3,Assumptions!$A$17,$I111:$O111)*N($G111)</f>
        <v>0</v>
      </c>
      <c r="V111" s="144">
        <f>SUMIF($I$3:$O$3,Assumptions!$A$18,$I111:$O111)*N($G111)</f>
        <v>0</v>
      </c>
      <c r="W111" s="144">
        <f>SUMIF($I$3:$O$3,Assumptions!$A$19,$I111:$O111)*N($G111)</f>
        <v>0</v>
      </c>
      <c r="X111" s="145">
        <f>S111*Assumptions!$B$15+T111*Assumptions!$B$16+U111*Assumptions!$B$17+V111*Assumptions!$B$18+W111*Assumptions!$B$19</f>
        <v>0</v>
      </c>
      <c r="Y111" s="145" t="str">
        <f t="shared" si="81"/>
        <v/>
      </c>
      <c r="Z111" s="146" t="str">
        <f t="shared" si="82"/>
        <v/>
      </c>
      <c r="AA111" s="146">
        <f>IF(D111="Active",1,IF(D111="Prospective",IF(Assumptions!$B$6="Active only",0,Assumptions!$B$7),0))</f>
        <v>0</v>
      </c>
      <c r="AB111" s="147" t="str">
        <f t="shared" si="83"/>
        <v/>
      </c>
      <c r="AC111" s="152" t="s">
        <v>103</v>
      </c>
      <c r="AD111" s="156">
        <f t="shared" si="55"/>
        <v>0</v>
      </c>
    </row>
    <row r="112" spans="1:30" collapsed="1" x14ac:dyDescent="0.25">
      <c r="A112" s="59">
        <v>2570</v>
      </c>
      <c r="B112" s="207" t="s">
        <v>204</v>
      </c>
      <c r="C112" s="61" t="s">
        <v>129</v>
      </c>
      <c r="D112" s="62" t="s">
        <v>33</v>
      </c>
      <c r="E112" s="63">
        <f>IF(COUNT(E113:E116)=0,"",MIN(E113:E116))</f>
        <v>46321</v>
      </c>
      <c r="F112" s="63">
        <f>IF(COUNT(F113:F116)=0,"",MAX(F113:F116))</f>
        <v>46458</v>
      </c>
      <c r="G112" s="134"/>
      <c r="H112" s="125">
        <f>SUM(H113:H116)</f>
        <v>128000</v>
      </c>
      <c r="I112" s="141"/>
      <c r="J112" s="141"/>
      <c r="K112" s="141"/>
      <c r="L112" s="141"/>
      <c r="M112" s="141"/>
      <c r="N112" s="141"/>
      <c r="O112" s="141"/>
      <c r="P112" s="141">
        <f>SUM(P113:P116)</f>
        <v>1264</v>
      </c>
      <c r="Q112" s="141">
        <f>SUM(Q113:Q116)</f>
        <v>832</v>
      </c>
      <c r="R112" s="141">
        <f t="shared" si="54"/>
        <v>432</v>
      </c>
      <c r="S112" s="141">
        <f t="shared" ref="S112:X112" si="84">SUM(S113:S116)</f>
        <v>376</v>
      </c>
      <c r="T112" s="141">
        <f t="shared" si="84"/>
        <v>0</v>
      </c>
      <c r="U112" s="141">
        <f t="shared" si="84"/>
        <v>0</v>
      </c>
      <c r="V112" s="141">
        <f t="shared" si="84"/>
        <v>312</v>
      </c>
      <c r="W112" s="141">
        <f t="shared" si="84"/>
        <v>576</v>
      </c>
      <c r="X112" s="142">
        <f t="shared" si="84"/>
        <v>241400</v>
      </c>
      <c r="Y112" s="142">
        <f>H112-X112</f>
        <v>-113400</v>
      </c>
      <c r="Z112" s="143">
        <f>IF(H112=0,"",X112/H112)</f>
        <v>1.8859375</v>
      </c>
      <c r="AA112" s="143"/>
      <c r="AB112" s="40" t="str">
        <f>IF(COUNTIF(AB113:AB116,"?*")=0,"No phases yet",IF(COUNTIF(AB113:AB116,"OK")=COUNTIF(AB113:AB116,"?*"),"All OK",(COUNTIF(AB113:AB116,"?*")-COUNTIF(AB113:AB116,"OK"))&amp;" to fix"))</f>
        <v>3 to fix</v>
      </c>
      <c r="AC112" s="52" t="s">
        <v>130</v>
      </c>
      <c r="AD112" s="156">
        <f t="shared" si="55"/>
        <v>0</v>
      </c>
    </row>
    <row r="113" spans="1:30" outlineLevel="1" x14ac:dyDescent="0.25">
      <c r="A113" s="54">
        <f>IF(A112="","",A112)</f>
        <v>2570</v>
      </c>
      <c r="B113" s="55" t="str">
        <f>IF(B112="","",B112)</f>
        <v>Saltmarsh Master Plan</v>
      </c>
      <c r="C113" s="56" t="s">
        <v>149</v>
      </c>
      <c r="D113" s="57" t="str">
        <f>IF(COUNTA(C113,E113,H113,I113:O113)=0,"",IF(D112="","",D112))</f>
        <v>Active</v>
      </c>
      <c r="E113" s="58">
        <v>46321</v>
      </c>
      <c r="F113" s="138">
        <f>IF(_xlfn.ISFORMULA(G113),"",IF(AND(E113&lt;&gt;"",N(G113)&gt;0),E113+7*G113-1,""))</f>
        <v>46362</v>
      </c>
      <c r="G113" s="135">
        <v>6</v>
      </c>
      <c r="H113" s="126">
        <v>15500</v>
      </c>
      <c r="I113" s="148">
        <v>4</v>
      </c>
      <c r="J113" s="148">
        <v>4</v>
      </c>
      <c r="K113" s="148"/>
      <c r="L113" s="148"/>
      <c r="M113" s="148">
        <v>8</v>
      </c>
      <c r="N113" s="148"/>
      <c r="O113" s="148">
        <v>8</v>
      </c>
      <c r="P113" s="144">
        <f>SUM(I113:O113)*N(G113)</f>
        <v>144</v>
      </c>
      <c r="Q113" s="144" cm="1">
        <f t="array" ref="Q113">IF(OR(A113="",E113="",F113=""),0,SUMPRODUCT((tlNo=A113)*(Timeline!$H$18:$BG$18+6&gt;=E113)*(Timeline!$H$18:$BG$18&lt;=F113)*Timeline!$H$20:$BG$378))</f>
        <v>144</v>
      </c>
      <c r="R113" s="144">
        <f t="shared" si="54"/>
        <v>0</v>
      </c>
      <c r="S113" s="144">
        <f>SUMIF($I$3:$O$3,Assumptions!$A$15,$I113:$O113)*N($G113)</f>
        <v>48</v>
      </c>
      <c r="T113" s="144">
        <f>SUMIF($I$3:$O$3,Assumptions!$A$16,$I113:$O113)*N($G113)</f>
        <v>0</v>
      </c>
      <c r="U113" s="144">
        <f>SUMIF($I$3:$O$3,Assumptions!$A$17,$I113:$O113)*N($G113)</f>
        <v>0</v>
      </c>
      <c r="V113" s="144">
        <f>SUMIF($I$3:$O$3,Assumptions!$A$18,$I113:$O113)*N($G113)</f>
        <v>48</v>
      </c>
      <c r="W113" s="144">
        <f>SUMIF($I$3:$O$3,Assumptions!$A$19,$I113:$O113)*N($G113)</f>
        <v>48</v>
      </c>
      <c r="X113" s="145">
        <f>S113*Assumptions!$B$15+T113*Assumptions!$B$16+U113*Assumptions!$B$17+V113*Assumptions!$B$18+W113*Assumptions!$B$19</f>
        <v>28800</v>
      </c>
      <c r="Y113" s="145">
        <f>IF(D113="","",H113-X113)</f>
        <v>-13300</v>
      </c>
      <c r="Z113" s="146">
        <f>IF(OR(D113="",H113=0),"",X113/H113)</f>
        <v>1.8580645161290323</v>
      </c>
      <c r="AA113" s="146">
        <f>IF(D113="Active",1,IF(D113="Prospective",IF(Assumptions!$B$6="Active only",0,Assumptions!$B$7),0))</f>
        <v>1</v>
      </c>
      <c r="AB113" s="147" t="str">
        <f>IF(COUNTA(C113,E113,H113,I113:O113)=0,"",IF(C113="","Select phase",IF(OR(E113="",F113=""),"Enter dates",IF(F113&lt;E113,"End before start",IF(H113="","Enter phase fee",IF(P113=0,"Enter staff hours",IF(R113&lt;0,"Over-mapped on Timeline",IF(R113&gt;0,"Map hours on Timeline","OK"))))))))</f>
        <v>OK</v>
      </c>
      <c r="AC113" s="152" t="s">
        <v>103</v>
      </c>
      <c r="AD113" s="156">
        <f t="shared" si="55"/>
        <v>6</v>
      </c>
    </row>
    <row r="114" spans="1:30" outlineLevel="1" x14ac:dyDescent="0.25">
      <c r="A114" s="51">
        <f>IF(A112="","",A112)</f>
        <v>2570</v>
      </c>
      <c r="B114" s="41" t="str">
        <f>IF(B112="","",B112)</f>
        <v>Saltmarsh Master Plan</v>
      </c>
      <c r="C114" s="42" t="s">
        <v>150</v>
      </c>
      <c r="D114" s="43" t="str">
        <f>IF(COUNTA(C114,E114,H114,I114:O114)=0,"",IF(D112="","",D112))</f>
        <v>Active</v>
      </c>
      <c r="E114" s="44">
        <v>46362</v>
      </c>
      <c r="F114" s="139">
        <f>IF(_xlfn.ISFORMULA(G114),"",IF(AND(E114&lt;&gt;"",N(G114)&gt;0),E114+7*G114-1,""))</f>
        <v>46417</v>
      </c>
      <c r="G114" s="136">
        <v>8</v>
      </c>
      <c r="H114" s="127">
        <v>47000</v>
      </c>
      <c r="I114" s="148">
        <v>8</v>
      </c>
      <c r="J114" s="148">
        <v>16</v>
      </c>
      <c r="K114" s="148"/>
      <c r="L114" s="148"/>
      <c r="M114" s="148">
        <v>8</v>
      </c>
      <c r="N114" s="148"/>
      <c r="O114" s="148">
        <v>16</v>
      </c>
      <c r="P114" s="144">
        <f>SUM(I114:O114)*N(G114)</f>
        <v>384</v>
      </c>
      <c r="Q114" s="144" cm="1">
        <f t="array" ref="Q114">IF(OR(A114="",E114="",F114=""),0,SUMPRODUCT((tlNo=A114)*(Timeline!$H$18:$BG$18+6&gt;=E114)*(Timeline!$H$18:$BG$18&lt;=F114)*Timeline!$H$20:$BG$378))</f>
        <v>280</v>
      </c>
      <c r="R114" s="144">
        <f t="shared" si="54"/>
        <v>104</v>
      </c>
      <c r="S114" s="144">
        <f>SUMIF($I$3:$O$3,Assumptions!$A$15,$I114:$O114)*N($G114)</f>
        <v>192</v>
      </c>
      <c r="T114" s="144">
        <f>SUMIF($I$3:$O$3,Assumptions!$A$16,$I114:$O114)*N($G114)</f>
        <v>0</v>
      </c>
      <c r="U114" s="144">
        <f>SUMIF($I$3:$O$3,Assumptions!$A$17,$I114:$O114)*N($G114)</f>
        <v>0</v>
      </c>
      <c r="V114" s="144">
        <f>SUMIF($I$3:$O$3,Assumptions!$A$18,$I114:$O114)*N($G114)</f>
        <v>64</v>
      </c>
      <c r="W114" s="144">
        <f>SUMIF($I$3:$O$3,Assumptions!$A$19,$I114:$O114)*N($G114)</f>
        <v>128</v>
      </c>
      <c r="X114" s="145">
        <f>S114*Assumptions!$B$15+T114*Assumptions!$B$16+U114*Assumptions!$B$17+V114*Assumptions!$B$18+W114*Assumptions!$B$19</f>
        <v>84160</v>
      </c>
      <c r="Y114" s="145">
        <f>IF(D114="","",H114-X114)</f>
        <v>-37160</v>
      </c>
      <c r="Z114" s="146">
        <f>IF(OR(D114="",H114=0),"",X114/H114)</f>
        <v>1.7906382978723405</v>
      </c>
      <c r="AA114" s="146">
        <f>IF(D114="Active",1,IF(D114="Prospective",IF(Assumptions!$B$6="Active only",0,Assumptions!$B$7),0))</f>
        <v>1</v>
      </c>
      <c r="AB114" s="147" t="str">
        <f>IF(COUNTA(C114,E114,H114,I114:O114)=0,"",IF(C114="","Select phase",IF(OR(E114="",F114=""),"Enter dates",IF(F114&lt;E114,"End before start",IF(H114="","Enter phase fee",IF(P114=0,"Enter staff hours",IF(R114&lt;0,"Over-mapped on Timeline",IF(R114&gt;0,"Map hours on Timeline","OK"))))))))</f>
        <v>Map hours on Timeline</v>
      </c>
      <c r="AC114" s="152" t="s">
        <v>103</v>
      </c>
      <c r="AD114" s="156">
        <f t="shared" si="55"/>
        <v>8</v>
      </c>
    </row>
    <row r="115" spans="1:30" outlineLevel="1" x14ac:dyDescent="0.25">
      <c r="A115" s="51">
        <f>IF(A112="","",A112)</f>
        <v>2570</v>
      </c>
      <c r="B115" s="41" t="str">
        <f>IF(B112="","",B112)</f>
        <v>Saltmarsh Master Plan</v>
      </c>
      <c r="C115" s="42" t="s">
        <v>151</v>
      </c>
      <c r="D115" s="43" t="str">
        <f>IF(COUNTA(C115,E115,H115,I115:O115)=0,"",IF(D112="","",D112))</f>
        <v>Active</v>
      </c>
      <c r="E115" s="44">
        <v>46431</v>
      </c>
      <c r="F115" s="139">
        <f>IF(_xlfn.ISFORMULA(G115),"",IF(AND(E115&lt;&gt;"",N(G115)&gt;0),E115+7*G115-1,""))</f>
        <v>46458</v>
      </c>
      <c r="G115" s="136">
        <v>4</v>
      </c>
      <c r="H115" s="127">
        <v>6000</v>
      </c>
      <c r="I115" s="148">
        <v>4</v>
      </c>
      <c r="J115" s="148">
        <v>0</v>
      </c>
      <c r="K115" s="148"/>
      <c r="L115" s="148"/>
      <c r="M115" s="148">
        <v>10</v>
      </c>
      <c r="N115" s="148"/>
      <c r="O115" s="148">
        <v>0</v>
      </c>
      <c r="P115" s="144">
        <f>SUM(I115:O115)*N(G115)</f>
        <v>56</v>
      </c>
      <c r="Q115" s="144" cm="1">
        <f t="array" ref="Q115">IF(OR(A115="",E115="",F115=""),0,SUMPRODUCT((tlNo=A115)*(Timeline!$H$18:$BG$18+6&gt;=E115)*(Timeline!$H$18:$BG$18&lt;=F115)*Timeline!$H$20:$BG$378))</f>
        <v>136</v>
      </c>
      <c r="R115" s="144">
        <f t="shared" si="54"/>
        <v>-80</v>
      </c>
      <c r="S115" s="144">
        <f>SUMIF($I$3:$O$3,Assumptions!$A$15,$I115:$O115)*N($G115)</f>
        <v>16</v>
      </c>
      <c r="T115" s="144">
        <f>SUMIF($I$3:$O$3,Assumptions!$A$16,$I115:$O115)*N($G115)</f>
        <v>0</v>
      </c>
      <c r="U115" s="144">
        <f>SUMIF($I$3:$O$3,Assumptions!$A$17,$I115:$O115)*N($G115)</f>
        <v>0</v>
      </c>
      <c r="V115" s="144">
        <f>SUMIF($I$3:$O$3,Assumptions!$A$18,$I115:$O115)*N($G115)</f>
        <v>40</v>
      </c>
      <c r="W115" s="144">
        <f>SUMIF($I$3:$O$3,Assumptions!$A$19,$I115:$O115)*N($G115)</f>
        <v>0</v>
      </c>
      <c r="X115" s="145">
        <f>S115*Assumptions!$B$15+T115*Assumptions!$B$16+U115*Assumptions!$B$17+V115*Assumptions!$B$18+W115*Assumptions!$B$19</f>
        <v>11640</v>
      </c>
      <c r="Y115" s="145">
        <f>IF(D115="","",H115-X115)</f>
        <v>-5640</v>
      </c>
      <c r="Z115" s="146">
        <f>IF(OR(D115="",H115=0),"",X115/H115)</f>
        <v>1.94</v>
      </c>
      <c r="AA115" s="146">
        <f>IF(D115="Active",1,IF(D115="Prospective",IF(Assumptions!$B$6="Active only",0,Assumptions!$B$7),0))</f>
        <v>1</v>
      </c>
      <c r="AB115" s="147" t="str">
        <f>IF(COUNTA(C115,E115,H115,I115:O115)=0,"",IF(C115="","Select phase",IF(OR(E115="",F115=""),"Enter dates",IF(F115&lt;E115,"End before start",IF(H115="","Enter phase fee",IF(P115=0,"Enter staff hours",IF(R115&lt;0,"Over-mapped on Timeline",IF(R115&gt;0,"Map hours on Timeline","OK"))))))))</f>
        <v>Over-mapped on Timeline</v>
      </c>
      <c r="AC115" s="152" t="s">
        <v>103</v>
      </c>
      <c r="AD115" s="156">
        <f t="shared" si="55"/>
        <v>4</v>
      </c>
    </row>
    <row r="116" spans="1:30" outlineLevel="1" x14ac:dyDescent="0.25">
      <c r="A116" s="51">
        <f>IF(A112="","",A112)</f>
        <v>2570</v>
      </c>
      <c r="B116" s="41" t="str">
        <f>IF(B112="","",B112)</f>
        <v>Saltmarsh Master Plan</v>
      </c>
      <c r="C116" s="42" t="s">
        <v>152</v>
      </c>
      <c r="D116" s="43" t="str">
        <f>IF(COUNTA(C116,E116,H116,I116:O116)=0,"",IF(D112="","",D112))</f>
        <v>Active</v>
      </c>
      <c r="E116" s="44">
        <v>46321</v>
      </c>
      <c r="F116" s="139">
        <f>IF(_xlfn.ISFORMULA(G116),"",IF(AND(E116&lt;&gt;"",N(G116)&gt;0),E116+7*G116-1,""))</f>
        <v>46390</v>
      </c>
      <c r="G116" s="136">
        <v>10</v>
      </c>
      <c r="H116" s="127">
        <v>59500</v>
      </c>
      <c r="I116" s="148">
        <v>8</v>
      </c>
      <c r="J116" s="148">
        <v>4</v>
      </c>
      <c r="K116" s="148"/>
      <c r="L116" s="148"/>
      <c r="M116" s="148">
        <v>16</v>
      </c>
      <c r="N116" s="148"/>
      <c r="O116" s="148">
        <v>40</v>
      </c>
      <c r="P116" s="144">
        <f>SUM(I116:O116)*N(G116)</f>
        <v>680</v>
      </c>
      <c r="Q116" s="144" cm="1">
        <f t="array" ref="Q116">IF(OR(A116="",E116="",F116=""),0,SUMPRODUCT((tlNo=A116)*(Timeline!$H$18:$BG$18+6&gt;=E116)*(Timeline!$H$18:$BG$18&lt;=F116)*Timeline!$H$20:$BG$378))</f>
        <v>272</v>
      </c>
      <c r="R116" s="144">
        <f t="shared" si="54"/>
        <v>408</v>
      </c>
      <c r="S116" s="144">
        <f>SUMIF($I$3:$O$3,Assumptions!$A$15,$I116:$O116)*N($G116)</f>
        <v>120</v>
      </c>
      <c r="T116" s="144">
        <f>SUMIF($I$3:$O$3,Assumptions!$A$16,$I116:$O116)*N($G116)</f>
        <v>0</v>
      </c>
      <c r="U116" s="144">
        <f>SUMIF($I$3:$O$3,Assumptions!$A$17,$I116:$O116)*N($G116)</f>
        <v>0</v>
      </c>
      <c r="V116" s="144">
        <f>SUMIF($I$3:$O$3,Assumptions!$A$18,$I116:$O116)*N($G116)</f>
        <v>160</v>
      </c>
      <c r="W116" s="144">
        <f>SUMIF($I$3:$O$3,Assumptions!$A$19,$I116:$O116)*N($G116)</f>
        <v>400</v>
      </c>
      <c r="X116" s="145">
        <f>S116*Assumptions!$B$15+T116*Assumptions!$B$16+U116*Assumptions!$B$17+V116*Assumptions!$B$18+W116*Assumptions!$B$19</f>
        <v>116800</v>
      </c>
      <c r="Y116" s="145">
        <f>IF(D116="","",H116-X116)</f>
        <v>-57300</v>
      </c>
      <c r="Z116" s="146">
        <f>IF(OR(D116="",H116=0),"",X116/H116)</f>
        <v>1.9630252100840335</v>
      </c>
      <c r="AA116" s="146">
        <f>IF(D116="Active",1,IF(D116="Prospective",IF(Assumptions!$B$6="Active only",0,Assumptions!$B$7),0))</f>
        <v>1</v>
      </c>
      <c r="AB116" s="147" t="str">
        <f>IF(COUNTA(C116,E116,H116,I116:O116)=0,"",IF(C116="","Select phase",IF(OR(E116="",F116=""),"Enter dates",IF(F116&lt;E116,"End before start",IF(H116="","Enter phase fee",IF(P116=0,"Enter staff hours",IF(R116&lt;0,"Over-mapped on Timeline",IF(R116&gt;0,"Map hours on Timeline","OK"))))))))</f>
        <v>Map hours on Timeline</v>
      </c>
      <c r="AC116" s="152" t="s">
        <v>103</v>
      </c>
      <c r="AD116" s="156">
        <f t="shared" si="55"/>
        <v>10</v>
      </c>
    </row>
    <row r="117" spans="1:30" x14ac:dyDescent="0.25">
      <c r="A117" s="59">
        <v>2576</v>
      </c>
      <c r="B117" s="207" t="s">
        <v>205</v>
      </c>
      <c r="C117" s="61" t="s">
        <v>129</v>
      </c>
      <c r="D117" s="62" t="s">
        <v>173</v>
      </c>
      <c r="E117" s="63" t="str">
        <f>IF(COUNT(E118:E125)=0,"",MIN(E118:E125))</f>
        <v/>
      </c>
      <c r="F117" s="63" t="str">
        <f>IF(COUNT(F118:F125)=0,"",MAX(F118:F125))</f>
        <v/>
      </c>
      <c r="G117" s="134"/>
      <c r="H117" s="125">
        <f>SUM(H118:H125)</f>
        <v>0</v>
      </c>
      <c r="I117" s="141"/>
      <c r="J117" s="141"/>
      <c r="K117" s="141"/>
      <c r="L117" s="141"/>
      <c r="M117" s="141"/>
      <c r="N117" s="141"/>
      <c r="O117" s="141"/>
      <c r="P117" s="141">
        <f>SUM(P118:P125)</f>
        <v>0</v>
      </c>
      <c r="Q117" s="141">
        <f>SUM(Q118:Q125)</f>
        <v>0</v>
      </c>
      <c r="R117" s="141">
        <f t="shared" si="54"/>
        <v>0</v>
      </c>
      <c r="S117" s="141">
        <f t="shared" ref="S117:X117" si="85">SUM(S118:S125)</f>
        <v>0</v>
      </c>
      <c r="T117" s="141">
        <f t="shared" si="85"/>
        <v>0</v>
      </c>
      <c r="U117" s="141">
        <f t="shared" si="85"/>
        <v>0</v>
      </c>
      <c r="V117" s="141">
        <f t="shared" si="85"/>
        <v>0</v>
      </c>
      <c r="W117" s="141">
        <f t="shared" si="85"/>
        <v>0</v>
      </c>
      <c r="X117" s="142">
        <f t="shared" si="85"/>
        <v>0</v>
      </c>
      <c r="Y117" s="142">
        <f>H117-X117</f>
        <v>0</v>
      </c>
      <c r="Z117" s="143" t="str">
        <f>IF(H117=0,"",X117/H117)</f>
        <v/>
      </c>
      <c r="AA117" s="143"/>
      <c r="AB117" s="40" t="str">
        <f>IF(COUNTIF(AB118:AB125,"?*")=0,"No phases yet",IF(COUNTIF(AB118:AB125,"OK")=COUNTIF(AB118:AB125,"?*"),"All OK",(COUNTIF(AB118:AB125,"?*")-COUNTIF(AB118:AB125,"OK"))&amp;" to fix"))</f>
        <v>No phases yet</v>
      </c>
      <c r="AC117" s="52" t="s">
        <v>130</v>
      </c>
      <c r="AD117" s="156">
        <f t="shared" si="55"/>
        <v>0</v>
      </c>
    </row>
    <row r="118" spans="1:30" hidden="1" outlineLevel="2" x14ac:dyDescent="0.25">
      <c r="A118" s="54">
        <f>IF(A117="","",A117)</f>
        <v>2576</v>
      </c>
      <c r="B118" s="55" t="str">
        <f>IF(B117="","",B117)</f>
        <v>Westbury Elementary School</v>
      </c>
      <c r="C118" s="56"/>
      <c r="D118" s="57" t="str">
        <f>IF(COUNTA(C118,E118,H118,I118:O118)=0,"",IF(D117="","",D117))</f>
        <v/>
      </c>
      <c r="E118" s="58"/>
      <c r="F118" s="138" t="str">
        <f t="shared" ref="F118:F125" si="86">IF(_xlfn.ISFORMULA(G118),"",IF(AND(E118&lt;&gt;"",N(G118)&gt;0),E118+7*G118-1,""))</f>
        <v/>
      </c>
      <c r="G118" s="135" t="str">
        <f t="shared" ref="G118:G125" si="87">IF(OR(E118="",F118=""),"",IF(F118&lt;E118,"",ROUNDUP((F118-E118+1)/7,0)))</f>
        <v/>
      </c>
      <c r="H118" s="126"/>
      <c r="I118" s="148"/>
      <c r="J118" s="148"/>
      <c r="K118" s="148"/>
      <c r="L118" s="148"/>
      <c r="M118" s="148"/>
      <c r="N118" s="148"/>
      <c r="O118" s="148"/>
      <c r="P118" s="144">
        <f t="shared" ref="P118:P125" si="88">SUM(I118:O118)*N(G118)</f>
        <v>0</v>
      </c>
      <c r="Q118" s="144" cm="1">
        <f t="array" ref="Q118">IF(OR(A118="",E118="",F118=""),0,SUMPRODUCT((tlNo=A118)*(Timeline!$H$18:$BG$18+6&gt;=E118)*(Timeline!$H$18:$BG$18&lt;=F118)*Timeline!$H$20:$BG$378))</f>
        <v>0</v>
      </c>
      <c r="R118" s="144">
        <f t="shared" si="54"/>
        <v>0</v>
      </c>
      <c r="S118" s="144">
        <f>SUMIF($I$3:$O$3,Assumptions!$A$15,$I118:$O118)*N($G118)</f>
        <v>0</v>
      </c>
      <c r="T118" s="144">
        <f>SUMIF($I$3:$O$3,Assumptions!$A$16,$I118:$O118)*N($G118)</f>
        <v>0</v>
      </c>
      <c r="U118" s="144">
        <f>SUMIF($I$3:$O$3,Assumptions!$A$17,$I118:$O118)*N($G118)</f>
        <v>0</v>
      </c>
      <c r="V118" s="144">
        <f>SUMIF($I$3:$O$3,Assumptions!$A$18,$I118:$O118)*N($G118)</f>
        <v>0</v>
      </c>
      <c r="W118" s="144">
        <f>SUMIF($I$3:$O$3,Assumptions!$A$19,$I118:$O118)*N($G118)</f>
        <v>0</v>
      </c>
      <c r="X118" s="145">
        <f>S118*Assumptions!$B$15+T118*Assumptions!$B$16+U118*Assumptions!$B$17+V118*Assumptions!$B$18+W118*Assumptions!$B$19</f>
        <v>0</v>
      </c>
      <c r="Y118" s="145" t="str">
        <f t="shared" ref="Y118:Y125" si="89">IF(D118="","",H118-X118)</f>
        <v/>
      </c>
      <c r="Z118" s="146" t="str">
        <f t="shared" ref="Z118:Z125" si="90">IF(OR(D118="",H118=0),"",X118/H118)</f>
        <v/>
      </c>
      <c r="AA118" s="146">
        <f>IF(D118="Active",1,IF(D118="Prospective",IF(Assumptions!$B$6="Active only",0,Assumptions!$B$7),0))</f>
        <v>0</v>
      </c>
      <c r="AB118" s="147" t="str">
        <f t="shared" ref="AB118:AB125" si="91">IF(COUNTA(C118,E118,H118,I118:O118)=0,"",IF(C118="","Select phase",IF(OR(E118="",F118=""),"Enter dates",IF(F118&lt;E118,"End before start",IF(H118="","Enter phase fee",IF(P118=0,"Enter staff hours",IF(R118&lt;0,"Over-mapped on Timeline",IF(R118&gt;0,"Map hours on Timeline","OK"))))))))</f>
        <v/>
      </c>
      <c r="AC118" s="152" t="s">
        <v>103</v>
      </c>
      <c r="AD118" s="156">
        <f t="shared" si="55"/>
        <v>0</v>
      </c>
    </row>
    <row r="119" spans="1:30" hidden="1" outlineLevel="2" x14ac:dyDescent="0.25">
      <c r="A119" s="51">
        <f>IF(A117="","",A117)</f>
        <v>2576</v>
      </c>
      <c r="B119" s="41" t="str">
        <f>IF(B117="","",B117)</f>
        <v>Westbury Elementary School</v>
      </c>
      <c r="C119" s="42"/>
      <c r="D119" s="43" t="str">
        <f>IF(COUNTA(C119,E119,H119,I119:O119)=0,"",IF(D117="","",D117))</f>
        <v/>
      </c>
      <c r="E119" s="44"/>
      <c r="F119" s="139" t="str">
        <f t="shared" si="86"/>
        <v/>
      </c>
      <c r="G119" s="136" t="str">
        <f t="shared" si="87"/>
        <v/>
      </c>
      <c r="H119" s="127"/>
      <c r="I119" s="148"/>
      <c r="J119" s="148"/>
      <c r="K119" s="148"/>
      <c r="L119" s="148"/>
      <c r="M119" s="148"/>
      <c r="N119" s="148"/>
      <c r="O119" s="148"/>
      <c r="P119" s="144">
        <f t="shared" si="88"/>
        <v>0</v>
      </c>
      <c r="Q119" s="144" cm="1">
        <f t="array" ref="Q119">IF(OR(A119="",E119="",F119=""),0,SUMPRODUCT((tlNo=A119)*(Timeline!$H$18:$BG$18+6&gt;=E119)*(Timeline!$H$18:$BG$18&lt;=F119)*Timeline!$H$20:$BG$378))</f>
        <v>0</v>
      </c>
      <c r="R119" s="144">
        <f t="shared" si="54"/>
        <v>0</v>
      </c>
      <c r="S119" s="144">
        <f>SUMIF($I$3:$O$3,Assumptions!$A$15,$I119:$O119)*N($G119)</f>
        <v>0</v>
      </c>
      <c r="T119" s="144">
        <f>SUMIF($I$3:$O$3,Assumptions!$A$16,$I119:$O119)*N($G119)</f>
        <v>0</v>
      </c>
      <c r="U119" s="144">
        <f>SUMIF($I$3:$O$3,Assumptions!$A$17,$I119:$O119)*N($G119)</f>
        <v>0</v>
      </c>
      <c r="V119" s="144">
        <f>SUMIF($I$3:$O$3,Assumptions!$A$18,$I119:$O119)*N($G119)</f>
        <v>0</v>
      </c>
      <c r="W119" s="144">
        <f>SUMIF($I$3:$O$3,Assumptions!$A$19,$I119:$O119)*N($G119)</f>
        <v>0</v>
      </c>
      <c r="X119" s="145">
        <f>S119*Assumptions!$B$15+T119*Assumptions!$B$16+U119*Assumptions!$B$17+V119*Assumptions!$B$18+W119*Assumptions!$B$19</f>
        <v>0</v>
      </c>
      <c r="Y119" s="145" t="str">
        <f t="shared" si="89"/>
        <v/>
      </c>
      <c r="Z119" s="146" t="str">
        <f t="shared" si="90"/>
        <v/>
      </c>
      <c r="AA119" s="146">
        <f>IF(D119="Active",1,IF(D119="Prospective",IF(Assumptions!$B$6="Active only",0,Assumptions!$B$7),0))</f>
        <v>0</v>
      </c>
      <c r="AB119" s="147" t="str">
        <f t="shared" si="91"/>
        <v/>
      </c>
      <c r="AC119" s="152" t="s">
        <v>103</v>
      </c>
      <c r="AD119" s="156">
        <f t="shared" si="55"/>
        <v>0</v>
      </c>
    </row>
    <row r="120" spans="1:30" hidden="1" outlineLevel="2" x14ac:dyDescent="0.25">
      <c r="A120" s="51">
        <f>IF(A117="","",A117)</f>
        <v>2576</v>
      </c>
      <c r="B120" s="41" t="str">
        <f>IF(B117="","",B117)</f>
        <v>Westbury Elementary School</v>
      </c>
      <c r="C120" s="42"/>
      <c r="D120" s="43" t="str">
        <f>IF(COUNTA(C120,E120,H120,I120:O120)=0,"",IF(D117="","",D117))</f>
        <v/>
      </c>
      <c r="E120" s="44"/>
      <c r="F120" s="139" t="str">
        <f t="shared" si="86"/>
        <v/>
      </c>
      <c r="G120" s="136" t="str">
        <f t="shared" si="87"/>
        <v/>
      </c>
      <c r="H120" s="127"/>
      <c r="I120" s="148"/>
      <c r="J120" s="148"/>
      <c r="K120" s="148"/>
      <c r="L120" s="148"/>
      <c r="M120" s="148"/>
      <c r="N120" s="148"/>
      <c r="O120" s="148"/>
      <c r="P120" s="144">
        <f t="shared" si="88"/>
        <v>0</v>
      </c>
      <c r="Q120" s="144" cm="1">
        <f t="array" ref="Q120">IF(OR(A120="",E120="",F120=""),0,SUMPRODUCT((tlNo=A120)*(Timeline!$H$18:$BG$18+6&gt;=E120)*(Timeline!$H$18:$BG$18&lt;=F120)*Timeline!$H$20:$BG$378))</f>
        <v>0</v>
      </c>
      <c r="R120" s="144">
        <f t="shared" si="54"/>
        <v>0</v>
      </c>
      <c r="S120" s="144">
        <f>SUMIF($I$3:$O$3,Assumptions!$A$15,$I120:$O120)*N($G120)</f>
        <v>0</v>
      </c>
      <c r="T120" s="144">
        <f>SUMIF($I$3:$O$3,Assumptions!$A$16,$I120:$O120)*N($G120)</f>
        <v>0</v>
      </c>
      <c r="U120" s="144">
        <f>SUMIF($I$3:$O$3,Assumptions!$A$17,$I120:$O120)*N($G120)</f>
        <v>0</v>
      </c>
      <c r="V120" s="144">
        <f>SUMIF($I$3:$O$3,Assumptions!$A$18,$I120:$O120)*N($G120)</f>
        <v>0</v>
      </c>
      <c r="W120" s="144">
        <f>SUMIF($I$3:$O$3,Assumptions!$A$19,$I120:$O120)*N($G120)</f>
        <v>0</v>
      </c>
      <c r="X120" s="145">
        <f>S120*Assumptions!$B$15+T120*Assumptions!$B$16+U120*Assumptions!$B$17+V120*Assumptions!$B$18+W120*Assumptions!$B$19</f>
        <v>0</v>
      </c>
      <c r="Y120" s="145" t="str">
        <f t="shared" si="89"/>
        <v/>
      </c>
      <c r="Z120" s="146" t="str">
        <f t="shared" si="90"/>
        <v/>
      </c>
      <c r="AA120" s="146">
        <f>IF(D120="Active",1,IF(D120="Prospective",IF(Assumptions!$B$6="Active only",0,Assumptions!$B$7),0))</f>
        <v>0</v>
      </c>
      <c r="AB120" s="147" t="str">
        <f t="shared" si="91"/>
        <v/>
      </c>
      <c r="AC120" s="152" t="s">
        <v>103</v>
      </c>
      <c r="AD120" s="156">
        <f t="shared" si="55"/>
        <v>0</v>
      </c>
    </row>
    <row r="121" spans="1:30" hidden="1" outlineLevel="2" x14ac:dyDescent="0.25">
      <c r="A121" s="51">
        <f>IF(A117="","",A117)</f>
        <v>2576</v>
      </c>
      <c r="B121" s="41" t="str">
        <f>IF(B117="","",B117)</f>
        <v>Westbury Elementary School</v>
      </c>
      <c r="C121" s="42"/>
      <c r="D121" s="43" t="str">
        <f>IF(COUNTA(C121,E121,H121,I121:O121)=0,"",IF(D117="","",D117))</f>
        <v/>
      </c>
      <c r="E121" s="44"/>
      <c r="F121" s="139" t="str">
        <f t="shared" si="86"/>
        <v/>
      </c>
      <c r="G121" s="136" t="str">
        <f t="shared" si="87"/>
        <v/>
      </c>
      <c r="H121" s="127"/>
      <c r="I121" s="148"/>
      <c r="J121" s="148"/>
      <c r="K121" s="148"/>
      <c r="L121" s="148"/>
      <c r="M121" s="148"/>
      <c r="N121" s="148"/>
      <c r="O121" s="148"/>
      <c r="P121" s="144">
        <f t="shared" si="88"/>
        <v>0</v>
      </c>
      <c r="Q121" s="144" cm="1">
        <f t="array" ref="Q121">IF(OR(A121="",E121="",F121=""),0,SUMPRODUCT((tlNo=A121)*(Timeline!$H$18:$BG$18+6&gt;=E121)*(Timeline!$H$18:$BG$18&lt;=F121)*Timeline!$H$20:$BG$378))</f>
        <v>0</v>
      </c>
      <c r="R121" s="144">
        <f t="shared" si="54"/>
        <v>0</v>
      </c>
      <c r="S121" s="144">
        <f>SUMIF($I$3:$O$3,Assumptions!$A$15,$I121:$O121)*N($G121)</f>
        <v>0</v>
      </c>
      <c r="T121" s="144">
        <f>SUMIF($I$3:$O$3,Assumptions!$A$16,$I121:$O121)*N($G121)</f>
        <v>0</v>
      </c>
      <c r="U121" s="144">
        <f>SUMIF($I$3:$O$3,Assumptions!$A$17,$I121:$O121)*N($G121)</f>
        <v>0</v>
      </c>
      <c r="V121" s="144">
        <f>SUMIF($I$3:$O$3,Assumptions!$A$18,$I121:$O121)*N($G121)</f>
        <v>0</v>
      </c>
      <c r="W121" s="144">
        <f>SUMIF($I$3:$O$3,Assumptions!$A$19,$I121:$O121)*N($G121)</f>
        <v>0</v>
      </c>
      <c r="X121" s="145">
        <f>S121*Assumptions!$B$15+T121*Assumptions!$B$16+U121*Assumptions!$B$17+V121*Assumptions!$B$18+W121*Assumptions!$B$19</f>
        <v>0</v>
      </c>
      <c r="Y121" s="145" t="str">
        <f t="shared" si="89"/>
        <v/>
      </c>
      <c r="Z121" s="146" t="str">
        <f t="shared" si="90"/>
        <v/>
      </c>
      <c r="AA121" s="146">
        <f>IF(D121="Active",1,IF(D121="Prospective",IF(Assumptions!$B$6="Active only",0,Assumptions!$B$7),0))</f>
        <v>0</v>
      </c>
      <c r="AB121" s="147" t="str">
        <f t="shared" si="91"/>
        <v/>
      </c>
      <c r="AC121" s="152" t="s">
        <v>103</v>
      </c>
      <c r="AD121" s="156">
        <f t="shared" si="55"/>
        <v>0</v>
      </c>
    </row>
    <row r="122" spans="1:30" hidden="1" outlineLevel="2" x14ac:dyDescent="0.25">
      <c r="A122" s="51">
        <f>IF(A117="","",A117)</f>
        <v>2576</v>
      </c>
      <c r="B122" s="41" t="str">
        <f>IF(B117="","",B117)</f>
        <v>Westbury Elementary School</v>
      </c>
      <c r="C122" s="42"/>
      <c r="D122" s="43" t="str">
        <f>IF(COUNTA(C122,E122,H122,I122:O122)=0,"",IF(D117="","",D117))</f>
        <v/>
      </c>
      <c r="E122" s="44"/>
      <c r="F122" s="139" t="str">
        <f t="shared" si="86"/>
        <v/>
      </c>
      <c r="G122" s="136" t="str">
        <f t="shared" si="87"/>
        <v/>
      </c>
      <c r="H122" s="127"/>
      <c r="I122" s="148"/>
      <c r="J122" s="148"/>
      <c r="K122" s="148"/>
      <c r="L122" s="148"/>
      <c r="M122" s="148"/>
      <c r="N122" s="148"/>
      <c r="O122" s="148"/>
      <c r="P122" s="144">
        <f t="shared" si="88"/>
        <v>0</v>
      </c>
      <c r="Q122" s="144" cm="1">
        <f t="array" ref="Q122">IF(OR(A122="",E122="",F122=""),0,SUMPRODUCT((tlNo=A122)*(Timeline!$H$18:$BG$18+6&gt;=E122)*(Timeline!$H$18:$BG$18&lt;=F122)*Timeline!$H$20:$BG$378))</f>
        <v>0</v>
      </c>
      <c r="R122" s="144">
        <f t="shared" si="54"/>
        <v>0</v>
      </c>
      <c r="S122" s="144">
        <f>SUMIF($I$3:$O$3,Assumptions!$A$15,$I122:$O122)*N($G122)</f>
        <v>0</v>
      </c>
      <c r="T122" s="144">
        <f>SUMIF($I$3:$O$3,Assumptions!$A$16,$I122:$O122)*N($G122)</f>
        <v>0</v>
      </c>
      <c r="U122" s="144">
        <f>SUMIF($I$3:$O$3,Assumptions!$A$17,$I122:$O122)*N($G122)</f>
        <v>0</v>
      </c>
      <c r="V122" s="144">
        <f>SUMIF($I$3:$O$3,Assumptions!$A$18,$I122:$O122)*N($G122)</f>
        <v>0</v>
      </c>
      <c r="W122" s="144">
        <f>SUMIF($I$3:$O$3,Assumptions!$A$19,$I122:$O122)*N($G122)</f>
        <v>0</v>
      </c>
      <c r="X122" s="145">
        <f>S122*Assumptions!$B$15+T122*Assumptions!$B$16+U122*Assumptions!$B$17+V122*Assumptions!$B$18+W122*Assumptions!$B$19</f>
        <v>0</v>
      </c>
      <c r="Y122" s="145" t="str">
        <f t="shared" si="89"/>
        <v/>
      </c>
      <c r="Z122" s="146" t="str">
        <f t="shared" si="90"/>
        <v/>
      </c>
      <c r="AA122" s="146">
        <f>IF(D122="Active",1,IF(D122="Prospective",IF(Assumptions!$B$6="Active only",0,Assumptions!$B$7),0))</f>
        <v>0</v>
      </c>
      <c r="AB122" s="147" t="str">
        <f t="shared" si="91"/>
        <v/>
      </c>
      <c r="AC122" s="152" t="s">
        <v>103</v>
      </c>
      <c r="AD122" s="156">
        <f t="shared" si="55"/>
        <v>0</v>
      </c>
    </row>
    <row r="123" spans="1:30" hidden="1" outlineLevel="2" x14ac:dyDescent="0.25">
      <c r="A123" s="51">
        <f>IF(A117="","",A117)</f>
        <v>2576</v>
      </c>
      <c r="B123" s="41" t="str">
        <f>IF(B117="","",B117)</f>
        <v>Westbury Elementary School</v>
      </c>
      <c r="C123" s="42"/>
      <c r="D123" s="43" t="str">
        <f>IF(COUNTA(C123,E123,H123,I123:O123)=0,"",IF(D117="","",D117))</f>
        <v/>
      </c>
      <c r="E123" s="44"/>
      <c r="F123" s="139" t="str">
        <f t="shared" si="86"/>
        <v/>
      </c>
      <c r="G123" s="136" t="str">
        <f t="shared" si="87"/>
        <v/>
      </c>
      <c r="H123" s="127"/>
      <c r="I123" s="148"/>
      <c r="J123" s="148"/>
      <c r="K123" s="148"/>
      <c r="L123" s="148"/>
      <c r="M123" s="148"/>
      <c r="N123" s="148"/>
      <c r="O123" s="148"/>
      <c r="P123" s="144">
        <f t="shared" si="88"/>
        <v>0</v>
      </c>
      <c r="Q123" s="144" cm="1">
        <f t="array" ref="Q123">IF(OR(A123="",E123="",F123=""),0,SUMPRODUCT((tlNo=A123)*(Timeline!$H$18:$BG$18+6&gt;=E123)*(Timeline!$H$18:$BG$18&lt;=F123)*Timeline!$H$20:$BG$378))</f>
        <v>0</v>
      </c>
      <c r="R123" s="144">
        <f t="shared" si="54"/>
        <v>0</v>
      </c>
      <c r="S123" s="144">
        <f>SUMIF($I$3:$O$3,Assumptions!$A$15,$I123:$O123)*N($G123)</f>
        <v>0</v>
      </c>
      <c r="T123" s="144">
        <f>SUMIF($I$3:$O$3,Assumptions!$A$16,$I123:$O123)*N($G123)</f>
        <v>0</v>
      </c>
      <c r="U123" s="144">
        <f>SUMIF($I$3:$O$3,Assumptions!$A$17,$I123:$O123)*N($G123)</f>
        <v>0</v>
      </c>
      <c r="V123" s="144">
        <f>SUMIF($I$3:$O$3,Assumptions!$A$18,$I123:$O123)*N($G123)</f>
        <v>0</v>
      </c>
      <c r="W123" s="144">
        <f>SUMIF($I$3:$O$3,Assumptions!$A$19,$I123:$O123)*N($G123)</f>
        <v>0</v>
      </c>
      <c r="X123" s="145">
        <f>S123*Assumptions!$B$15+T123*Assumptions!$B$16+U123*Assumptions!$B$17+V123*Assumptions!$B$18+W123*Assumptions!$B$19</f>
        <v>0</v>
      </c>
      <c r="Y123" s="145" t="str">
        <f t="shared" si="89"/>
        <v/>
      </c>
      <c r="Z123" s="146" t="str">
        <f t="shared" si="90"/>
        <v/>
      </c>
      <c r="AA123" s="146">
        <f>IF(D123="Active",1,IF(D123="Prospective",IF(Assumptions!$B$6="Active only",0,Assumptions!$B$7),0))</f>
        <v>0</v>
      </c>
      <c r="AB123" s="147" t="str">
        <f t="shared" si="91"/>
        <v/>
      </c>
      <c r="AC123" s="152" t="s">
        <v>103</v>
      </c>
      <c r="AD123" s="156">
        <f t="shared" si="55"/>
        <v>0</v>
      </c>
    </row>
    <row r="124" spans="1:30" hidden="1" outlineLevel="2" x14ac:dyDescent="0.25">
      <c r="A124" s="51">
        <f>IF(A117="","",A117)</f>
        <v>2576</v>
      </c>
      <c r="B124" s="41" t="str">
        <f>IF(B117="","",B117)</f>
        <v>Westbury Elementary School</v>
      </c>
      <c r="C124" s="42"/>
      <c r="D124" s="43" t="str">
        <f>IF(COUNTA(C124,E124,H124,I124:O124)=0,"",IF(D117="","",D117))</f>
        <v/>
      </c>
      <c r="E124" s="44"/>
      <c r="F124" s="139" t="str">
        <f t="shared" si="86"/>
        <v/>
      </c>
      <c r="G124" s="136" t="str">
        <f t="shared" si="87"/>
        <v/>
      </c>
      <c r="H124" s="127"/>
      <c r="I124" s="148"/>
      <c r="J124" s="148"/>
      <c r="K124" s="148"/>
      <c r="L124" s="148"/>
      <c r="M124" s="148"/>
      <c r="N124" s="148"/>
      <c r="O124" s="148"/>
      <c r="P124" s="144">
        <f t="shared" si="88"/>
        <v>0</v>
      </c>
      <c r="Q124" s="144" cm="1">
        <f t="array" ref="Q124">IF(OR(A124="",E124="",F124=""),0,SUMPRODUCT((tlNo=A124)*(Timeline!$H$18:$BG$18+6&gt;=E124)*(Timeline!$H$18:$BG$18&lt;=F124)*Timeline!$H$20:$BG$378))</f>
        <v>0</v>
      </c>
      <c r="R124" s="144">
        <f t="shared" si="54"/>
        <v>0</v>
      </c>
      <c r="S124" s="144">
        <f>SUMIF($I$3:$O$3,Assumptions!$A$15,$I124:$O124)*N($G124)</f>
        <v>0</v>
      </c>
      <c r="T124" s="144">
        <f>SUMIF($I$3:$O$3,Assumptions!$A$16,$I124:$O124)*N($G124)</f>
        <v>0</v>
      </c>
      <c r="U124" s="144">
        <f>SUMIF($I$3:$O$3,Assumptions!$A$17,$I124:$O124)*N($G124)</f>
        <v>0</v>
      </c>
      <c r="V124" s="144">
        <f>SUMIF($I$3:$O$3,Assumptions!$A$18,$I124:$O124)*N($G124)</f>
        <v>0</v>
      </c>
      <c r="W124" s="144">
        <f>SUMIF($I$3:$O$3,Assumptions!$A$19,$I124:$O124)*N($G124)</f>
        <v>0</v>
      </c>
      <c r="X124" s="145">
        <f>S124*Assumptions!$B$15+T124*Assumptions!$B$16+U124*Assumptions!$B$17+V124*Assumptions!$B$18+W124*Assumptions!$B$19</f>
        <v>0</v>
      </c>
      <c r="Y124" s="145" t="str">
        <f t="shared" si="89"/>
        <v/>
      </c>
      <c r="Z124" s="146" t="str">
        <f t="shared" si="90"/>
        <v/>
      </c>
      <c r="AA124" s="146">
        <f>IF(D124="Active",1,IF(D124="Prospective",IF(Assumptions!$B$6="Active only",0,Assumptions!$B$7),0))</f>
        <v>0</v>
      </c>
      <c r="AB124" s="147" t="str">
        <f t="shared" si="91"/>
        <v/>
      </c>
      <c r="AC124" s="152" t="s">
        <v>103</v>
      </c>
      <c r="AD124" s="156">
        <f t="shared" si="55"/>
        <v>0</v>
      </c>
    </row>
    <row r="125" spans="1:30" hidden="1" outlineLevel="2" x14ac:dyDescent="0.25">
      <c r="A125" s="51">
        <f>IF(A117="","",A117)</f>
        <v>2576</v>
      </c>
      <c r="B125" s="41" t="str">
        <f>IF(B117="","",B117)</f>
        <v>Westbury Elementary School</v>
      </c>
      <c r="C125" s="42"/>
      <c r="D125" s="43" t="str">
        <f>IF(COUNTA(C125,E125,H125,I125:O125)=0,"",IF(D117="","",D117))</f>
        <v/>
      </c>
      <c r="E125" s="44"/>
      <c r="F125" s="139" t="str">
        <f t="shared" si="86"/>
        <v/>
      </c>
      <c r="G125" s="136" t="str">
        <f t="shared" si="87"/>
        <v/>
      </c>
      <c r="H125" s="127"/>
      <c r="I125" s="148"/>
      <c r="J125" s="148"/>
      <c r="K125" s="148"/>
      <c r="L125" s="148"/>
      <c r="M125" s="148"/>
      <c r="N125" s="148"/>
      <c r="O125" s="148"/>
      <c r="P125" s="144">
        <f t="shared" si="88"/>
        <v>0</v>
      </c>
      <c r="Q125" s="144" cm="1">
        <f t="array" ref="Q125">IF(OR(A125="",E125="",F125=""),0,SUMPRODUCT((tlNo=A125)*(Timeline!$H$18:$BG$18+6&gt;=E125)*(Timeline!$H$18:$BG$18&lt;=F125)*Timeline!$H$20:$BG$378))</f>
        <v>0</v>
      </c>
      <c r="R125" s="144">
        <f t="shared" si="54"/>
        <v>0</v>
      </c>
      <c r="S125" s="144">
        <f>SUMIF($I$3:$O$3,Assumptions!$A$15,$I125:$O125)*N($G125)</f>
        <v>0</v>
      </c>
      <c r="T125" s="144">
        <f>SUMIF($I$3:$O$3,Assumptions!$A$16,$I125:$O125)*N($G125)</f>
        <v>0</v>
      </c>
      <c r="U125" s="144">
        <f>SUMIF($I$3:$O$3,Assumptions!$A$17,$I125:$O125)*N($G125)</f>
        <v>0</v>
      </c>
      <c r="V125" s="144">
        <f>SUMIF($I$3:$O$3,Assumptions!$A$18,$I125:$O125)*N($G125)</f>
        <v>0</v>
      </c>
      <c r="W125" s="144">
        <f>SUMIF($I$3:$O$3,Assumptions!$A$19,$I125:$O125)*N($G125)</f>
        <v>0</v>
      </c>
      <c r="X125" s="145">
        <f>S125*Assumptions!$B$15+T125*Assumptions!$B$16+U125*Assumptions!$B$17+V125*Assumptions!$B$18+W125*Assumptions!$B$19</f>
        <v>0</v>
      </c>
      <c r="Y125" s="145" t="str">
        <f t="shared" si="89"/>
        <v/>
      </c>
      <c r="Z125" s="146" t="str">
        <f t="shared" si="90"/>
        <v/>
      </c>
      <c r="AA125" s="146">
        <f>IF(D125="Active",1,IF(D125="Prospective",IF(Assumptions!$B$6="Active only",0,Assumptions!$B$7),0))</f>
        <v>0</v>
      </c>
      <c r="AB125" s="147" t="str">
        <f t="shared" si="91"/>
        <v/>
      </c>
      <c r="AC125" s="152" t="s">
        <v>103</v>
      </c>
      <c r="AD125" s="156">
        <f t="shared" si="55"/>
        <v>0</v>
      </c>
    </row>
    <row r="126" spans="1:30" collapsed="1" x14ac:dyDescent="0.25">
      <c r="A126" s="59">
        <v>2577</v>
      </c>
      <c r="B126" s="207" t="s">
        <v>206</v>
      </c>
      <c r="C126" s="61" t="s">
        <v>129</v>
      </c>
      <c r="D126" s="62" t="s">
        <v>33</v>
      </c>
      <c r="E126" s="63" t="str">
        <f>IF(COUNT(E127:E134)=0,"",MIN(E127:E134))</f>
        <v/>
      </c>
      <c r="F126" s="63" t="str">
        <f>IF(COUNT(F127:F134)=0,"",MAX(F127:F134))</f>
        <v/>
      </c>
      <c r="G126" s="134"/>
      <c r="H126" s="125">
        <f>SUM(H127:H134)</f>
        <v>0</v>
      </c>
      <c r="I126" s="141"/>
      <c r="J126" s="141"/>
      <c r="K126" s="141"/>
      <c r="L126" s="141"/>
      <c r="M126" s="141"/>
      <c r="N126" s="141"/>
      <c r="O126" s="141"/>
      <c r="P126" s="141">
        <f>SUM(P127:P134)</f>
        <v>0</v>
      </c>
      <c r="Q126" s="141">
        <f>SUM(Q127:Q134)</f>
        <v>0</v>
      </c>
      <c r="R126" s="141">
        <f t="shared" si="54"/>
        <v>0</v>
      </c>
      <c r="S126" s="141">
        <f t="shared" ref="S126:X126" si="92">SUM(S127:S134)</f>
        <v>0</v>
      </c>
      <c r="T126" s="141">
        <f t="shared" si="92"/>
        <v>0</v>
      </c>
      <c r="U126" s="141">
        <f t="shared" si="92"/>
        <v>0</v>
      </c>
      <c r="V126" s="141">
        <f t="shared" si="92"/>
        <v>0</v>
      </c>
      <c r="W126" s="141">
        <f t="shared" si="92"/>
        <v>0</v>
      </c>
      <c r="X126" s="142">
        <f t="shared" si="92"/>
        <v>0</v>
      </c>
      <c r="Y126" s="142">
        <f>H126-X126</f>
        <v>0</v>
      </c>
      <c r="Z126" s="143" t="str">
        <f>IF(H126=0,"",X126/H126)</f>
        <v/>
      </c>
      <c r="AA126" s="143"/>
      <c r="AB126" s="40" t="str">
        <f>IF(COUNTIF(AB127:AB134,"?*")=0,"No phases yet",IF(COUNTIF(AB127:AB134,"OK")=COUNTIF(AB127:AB134,"?*"),"All OK",(COUNTIF(AB127:AB134,"?*")-COUNTIF(AB127:AB134,"OK"))&amp;" to fix"))</f>
        <v>1 to fix</v>
      </c>
      <c r="AC126" s="52" t="s">
        <v>130</v>
      </c>
      <c r="AD126" s="156">
        <f t="shared" si="55"/>
        <v>0</v>
      </c>
    </row>
    <row r="127" spans="1:30" outlineLevel="1" x14ac:dyDescent="0.25">
      <c r="A127" s="54">
        <f>IF(A126="","",A126)</f>
        <v>2577</v>
      </c>
      <c r="B127" s="55" t="str">
        <f>IF(B126="","",B126)</f>
        <v>Riverbend Master Plan</v>
      </c>
      <c r="C127" s="56" t="s">
        <v>110</v>
      </c>
      <c r="D127" s="57" t="str">
        <f>IF(COUNTA(C127,E127,H127,I127:O127)=0,"",IF(D126="","",D126))</f>
        <v>Active</v>
      </c>
      <c r="E127" s="58"/>
      <c r="F127" s="138" t="str">
        <f t="shared" ref="F127:F134" si="93">IF(_xlfn.ISFORMULA(G127),"",IF(AND(E127&lt;&gt;"",N(G127)&gt;0),E127+7*G127-1,""))</f>
        <v/>
      </c>
      <c r="G127" s="135" t="str">
        <f t="shared" ref="G127:G134" si="94">IF(OR(E127="",F127=""),"",IF(F127&lt;E127,"",ROUNDUP((F127-E127+1)/7,0)))</f>
        <v/>
      </c>
      <c r="H127" s="126"/>
      <c r="I127" s="148"/>
      <c r="J127" s="148"/>
      <c r="K127" s="148"/>
      <c r="L127" s="148"/>
      <c r="M127" s="148"/>
      <c r="N127" s="148"/>
      <c r="O127" s="148"/>
      <c r="P127" s="144">
        <f t="shared" ref="P127:P134" si="95">SUM(I127:O127)*N(G127)</f>
        <v>0</v>
      </c>
      <c r="Q127" s="144" cm="1">
        <f t="array" ref="Q127">IF(OR(A127="",E127="",F127=""),0,SUMPRODUCT((tlNo=A127)*(Timeline!$H$18:$BG$18+6&gt;=E127)*(Timeline!$H$18:$BG$18&lt;=F127)*Timeline!$H$20:$BG$378))</f>
        <v>0</v>
      </c>
      <c r="R127" s="144">
        <f t="shared" si="54"/>
        <v>0</v>
      </c>
      <c r="S127" s="144">
        <f>SUMIF($I$3:$O$3,Assumptions!$A$15,$I127:$O127)*N($G127)</f>
        <v>0</v>
      </c>
      <c r="T127" s="144">
        <f>SUMIF($I$3:$O$3,Assumptions!$A$16,$I127:$O127)*N($G127)</f>
        <v>0</v>
      </c>
      <c r="U127" s="144">
        <f>SUMIF($I$3:$O$3,Assumptions!$A$17,$I127:$O127)*N($G127)</f>
        <v>0</v>
      </c>
      <c r="V127" s="144">
        <f>SUMIF($I$3:$O$3,Assumptions!$A$18,$I127:$O127)*N($G127)</f>
        <v>0</v>
      </c>
      <c r="W127" s="144">
        <f>SUMIF($I$3:$O$3,Assumptions!$A$19,$I127:$O127)*N($G127)</f>
        <v>0</v>
      </c>
      <c r="X127" s="145">
        <f>S127*Assumptions!$B$15+T127*Assumptions!$B$16+U127*Assumptions!$B$17+V127*Assumptions!$B$18+W127*Assumptions!$B$19</f>
        <v>0</v>
      </c>
      <c r="Y127" s="145">
        <f t="shared" ref="Y127:Y134" si="96">IF(D127="","",H127-X127)</f>
        <v>0</v>
      </c>
      <c r="Z127" s="146" t="str">
        <f t="shared" ref="Z127:Z134" si="97">IF(OR(D127="",H127=0),"",X127/H127)</f>
        <v/>
      </c>
      <c r="AA127" s="146">
        <f>IF(D127="Active",1,IF(D127="Prospective",IF(Assumptions!$B$6="Active only",0,Assumptions!$B$7),0))</f>
        <v>1</v>
      </c>
      <c r="AB127" s="147" t="str">
        <f t="shared" ref="AB127:AB134" si="98">IF(COUNTA(C127,E127,H127,I127:O127)=0,"",IF(C127="","Select phase",IF(OR(E127="",F127=""),"Enter dates",IF(F127&lt;E127,"End before start",IF(H127="","Enter phase fee",IF(P127=0,"Enter staff hours",IF(R127&lt;0,"Over-mapped on Timeline",IF(R127&gt;0,"Map hours on Timeline","OK"))))))))</f>
        <v>Enter dates</v>
      </c>
      <c r="AC127" s="152" t="s">
        <v>103</v>
      </c>
      <c r="AD127" s="156">
        <f t="shared" si="55"/>
        <v>0</v>
      </c>
    </row>
    <row r="128" spans="1:30" outlineLevel="1" x14ac:dyDescent="0.25">
      <c r="A128" s="51">
        <f>IF(A126="","",A126)</f>
        <v>2577</v>
      </c>
      <c r="B128" s="41" t="str">
        <f>IF(B126="","",B126)</f>
        <v>Riverbend Master Plan</v>
      </c>
      <c r="C128" s="42"/>
      <c r="D128" s="43" t="str">
        <f>IF(COUNTA(C128,E128,H128,I128:O128)=0,"",IF(D126="","",D126))</f>
        <v/>
      </c>
      <c r="E128" s="44"/>
      <c r="F128" s="139" t="str">
        <f t="shared" si="93"/>
        <v/>
      </c>
      <c r="G128" s="136" t="str">
        <f t="shared" si="94"/>
        <v/>
      </c>
      <c r="H128" s="127"/>
      <c r="I128" s="148"/>
      <c r="J128" s="148"/>
      <c r="K128" s="148"/>
      <c r="L128" s="148"/>
      <c r="M128" s="148"/>
      <c r="N128" s="148"/>
      <c r="O128" s="148"/>
      <c r="P128" s="144">
        <f t="shared" si="95"/>
        <v>0</v>
      </c>
      <c r="Q128" s="144" cm="1">
        <f t="array" ref="Q128">IF(OR(A128="",E128="",F128=""),0,SUMPRODUCT((tlNo=A128)*(Timeline!$H$18:$BG$18+6&gt;=E128)*(Timeline!$H$18:$BG$18&lt;=F128)*Timeline!$H$20:$BG$378))</f>
        <v>0</v>
      </c>
      <c r="R128" s="144">
        <f t="shared" si="54"/>
        <v>0</v>
      </c>
      <c r="S128" s="144">
        <f>SUMIF($I$3:$O$3,Assumptions!$A$15,$I128:$O128)*N($G128)</f>
        <v>0</v>
      </c>
      <c r="T128" s="144">
        <f>SUMIF($I$3:$O$3,Assumptions!$A$16,$I128:$O128)*N($G128)</f>
        <v>0</v>
      </c>
      <c r="U128" s="144">
        <f>SUMIF($I$3:$O$3,Assumptions!$A$17,$I128:$O128)*N($G128)</f>
        <v>0</v>
      </c>
      <c r="V128" s="144">
        <f>SUMIF($I$3:$O$3,Assumptions!$A$18,$I128:$O128)*N($G128)</f>
        <v>0</v>
      </c>
      <c r="W128" s="144">
        <f>SUMIF($I$3:$O$3,Assumptions!$A$19,$I128:$O128)*N($G128)</f>
        <v>0</v>
      </c>
      <c r="X128" s="145">
        <f>S128*Assumptions!$B$15+T128*Assumptions!$B$16+U128*Assumptions!$B$17+V128*Assumptions!$B$18+W128*Assumptions!$B$19</f>
        <v>0</v>
      </c>
      <c r="Y128" s="145" t="str">
        <f t="shared" si="96"/>
        <v/>
      </c>
      <c r="Z128" s="146" t="str">
        <f t="shared" si="97"/>
        <v/>
      </c>
      <c r="AA128" s="146">
        <f>IF(D128="Active",1,IF(D128="Prospective",IF(Assumptions!$B$6="Active only",0,Assumptions!$B$7),0))</f>
        <v>0</v>
      </c>
      <c r="AB128" s="147" t="str">
        <f t="shared" si="98"/>
        <v/>
      </c>
      <c r="AC128" s="152" t="s">
        <v>103</v>
      </c>
      <c r="AD128" s="156">
        <f t="shared" si="55"/>
        <v>0</v>
      </c>
    </row>
    <row r="129" spans="1:30" outlineLevel="1" x14ac:dyDescent="0.25">
      <c r="A129" s="51">
        <f>IF(A126="","",A126)</f>
        <v>2577</v>
      </c>
      <c r="B129" s="41" t="str">
        <f>IF(B126="","",B126)</f>
        <v>Riverbend Master Plan</v>
      </c>
      <c r="C129" s="42"/>
      <c r="D129" s="43" t="str">
        <f>IF(COUNTA(C129,E129,H129,I129:O129)=0,"",IF(D126="","",D126))</f>
        <v/>
      </c>
      <c r="E129" s="44"/>
      <c r="F129" s="139" t="str">
        <f t="shared" si="93"/>
        <v/>
      </c>
      <c r="G129" s="136" t="str">
        <f t="shared" si="94"/>
        <v/>
      </c>
      <c r="H129" s="127"/>
      <c r="I129" s="148"/>
      <c r="J129" s="148"/>
      <c r="K129" s="148"/>
      <c r="L129" s="148"/>
      <c r="M129" s="148"/>
      <c r="N129" s="148"/>
      <c r="O129" s="148"/>
      <c r="P129" s="144">
        <f t="shared" si="95"/>
        <v>0</v>
      </c>
      <c r="Q129" s="144" cm="1">
        <f t="array" ref="Q129">IF(OR(A129="",E129="",F129=""),0,SUMPRODUCT((tlNo=A129)*(Timeline!$H$18:$BG$18+6&gt;=E129)*(Timeline!$H$18:$BG$18&lt;=F129)*Timeline!$H$20:$BG$378))</f>
        <v>0</v>
      </c>
      <c r="R129" s="144">
        <f t="shared" si="54"/>
        <v>0</v>
      </c>
      <c r="S129" s="144">
        <f>SUMIF($I$3:$O$3,Assumptions!$A$15,$I129:$O129)*N($G129)</f>
        <v>0</v>
      </c>
      <c r="T129" s="144">
        <f>SUMIF($I$3:$O$3,Assumptions!$A$16,$I129:$O129)*N($G129)</f>
        <v>0</v>
      </c>
      <c r="U129" s="144">
        <f>SUMIF($I$3:$O$3,Assumptions!$A$17,$I129:$O129)*N($G129)</f>
        <v>0</v>
      </c>
      <c r="V129" s="144">
        <f>SUMIF($I$3:$O$3,Assumptions!$A$18,$I129:$O129)*N($G129)</f>
        <v>0</v>
      </c>
      <c r="W129" s="144">
        <f>SUMIF($I$3:$O$3,Assumptions!$A$19,$I129:$O129)*N($G129)</f>
        <v>0</v>
      </c>
      <c r="X129" s="145">
        <f>S129*Assumptions!$B$15+T129*Assumptions!$B$16+U129*Assumptions!$B$17+V129*Assumptions!$B$18+W129*Assumptions!$B$19</f>
        <v>0</v>
      </c>
      <c r="Y129" s="145" t="str">
        <f t="shared" si="96"/>
        <v/>
      </c>
      <c r="Z129" s="146" t="str">
        <f t="shared" si="97"/>
        <v/>
      </c>
      <c r="AA129" s="146">
        <f>IF(D129="Active",1,IF(D129="Prospective",IF(Assumptions!$B$6="Active only",0,Assumptions!$B$7),0))</f>
        <v>0</v>
      </c>
      <c r="AB129" s="147" t="str">
        <f t="shared" si="98"/>
        <v/>
      </c>
      <c r="AC129" s="152" t="s">
        <v>103</v>
      </c>
      <c r="AD129" s="156">
        <f t="shared" si="55"/>
        <v>0</v>
      </c>
    </row>
    <row r="130" spans="1:30" outlineLevel="1" x14ac:dyDescent="0.25">
      <c r="A130" s="51">
        <f>IF(A126="","",A126)</f>
        <v>2577</v>
      </c>
      <c r="B130" s="41" t="str">
        <f>IF(B126="","",B126)</f>
        <v>Riverbend Master Plan</v>
      </c>
      <c r="C130" s="42"/>
      <c r="D130" s="43" t="str">
        <f>IF(COUNTA(C130,E130,H130,I130:O130)=0,"",IF(D126="","",D126))</f>
        <v/>
      </c>
      <c r="E130" s="44"/>
      <c r="F130" s="139" t="str">
        <f t="shared" si="93"/>
        <v/>
      </c>
      <c r="G130" s="136" t="str">
        <f t="shared" si="94"/>
        <v/>
      </c>
      <c r="H130" s="127"/>
      <c r="I130" s="148"/>
      <c r="J130" s="148"/>
      <c r="K130" s="148"/>
      <c r="L130" s="148"/>
      <c r="M130" s="148"/>
      <c r="N130" s="148"/>
      <c r="O130" s="148"/>
      <c r="P130" s="144">
        <f t="shared" si="95"/>
        <v>0</v>
      </c>
      <c r="Q130" s="144" cm="1">
        <f t="array" ref="Q130">IF(OR(A130="",E130="",F130=""),0,SUMPRODUCT((tlNo=A130)*(Timeline!$H$18:$BG$18+6&gt;=E130)*(Timeline!$H$18:$BG$18&lt;=F130)*Timeline!$H$20:$BG$378))</f>
        <v>0</v>
      </c>
      <c r="R130" s="144">
        <f t="shared" si="54"/>
        <v>0</v>
      </c>
      <c r="S130" s="144">
        <f>SUMIF($I$3:$O$3,Assumptions!$A$15,$I130:$O130)*N($G130)</f>
        <v>0</v>
      </c>
      <c r="T130" s="144">
        <f>SUMIF($I$3:$O$3,Assumptions!$A$16,$I130:$O130)*N($G130)</f>
        <v>0</v>
      </c>
      <c r="U130" s="144">
        <f>SUMIF($I$3:$O$3,Assumptions!$A$17,$I130:$O130)*N($G130)</f>
        <v>0</v>
      </c>
      <c r="V130" s="144">
        <f>SUMIF($I$3:$O$3,Assumptions!$A$18,$I130:$O130)*N($G130)</f>
        <v>0</v>
      </c>
      <c r="W130" s="144">
        <f>SUMIF($I$3:$O$3,Assumptions!$A$19,$I130:$O130)*N($G130)</f>
        <v>0</v>
      </c>
      <c r="X130" s="145">
        <f>S130*Assumptions!$B$15+T130*Assumptions!$B$16+U130*Assumptions!$B$17+V130*Assumptions!$B$18+W130*Assumptions!$B$19</f>
        <v>0</v>
      </c>
      <c r="Y130" s="145" t="str">
        <f t="shared" si="96"/>
        <v/>
      </c>
      <c r="Z130" s="146" t="str">
        <f t="shared" si="97"/>
        <v/>
      </c>
      <c r="AA130" s="146">
        <f>IF(D130="Active",1,IF(D130="Prospective",IF(Assumptions!$B$6="Active only",0,Assumptions!$B$7),0))</f>
        <v>0</v>
      </c>
      <c r="AB130" s="147" t="str">
        <f t="shared" si="98"/>
        <v/>
      </c>
      <c r="AC130" s="152" t="s">
        <v>103</v>
      </c>
      <c r="AD130" s="156">
        <f t="shared" si="55"/>
        <v>0</v>
      </c>
    </row>
    <row r="131" spans="1:30" outlineLevel="1" x14ac:dyDescent="0.25">
      <c r="A131" s="51">
        <f>IF(A126="","",A126)</f>
        <v>2577</v>
      </c>
      <c r="B131" s="41" t="str">
        <f>IF(B126="","",B126)</f>
        <v>Riverbend Master Plan</v>
      </c>
      <c r="C131" s="42"/>
      <c r="D131" s="43" t="str">
        <f>IF(COUNTA(C131,E131,H131,I131:O131)=0,"",IF(D126="","",D126))</f>
        <v/>
      </c>
      <c r="E131" s="44"/>
      <c r="F131" s="139" t="str">
        <f t="shared" si="93"/>
        <v/>
      </c>
      <c r="G131" s="136" t="str">
        <f t="shared" si="94"/>
        <v/>
      </c>
      <c r="H131" s="127"/>
      <c r="I131" s="148"/>
      <c r="J131" s="148"/>
      <c r="K131" s="148"/>
      <c r="L131" s="148"/>
      <c r="M131" s="148"/>
      <c r="N131" s="148"/>
      <c r="O131" s="148"/>
      <c r="P131" s="144">
        <f t="shared" si="95"/>
        <v>0</v>
      </c>
      <c r="Q131" s="144" cm="1">
        <f t="array" ref="Q131">IF(OR(A131="",E131="",F131=""),0,SUMPRODUCT((tlNo=A131)*(Timeline!$H$18:$BG$18+6&gt;=E131)*(Timeline!$H$18:$BG$18&lt;=F131)*Timeline!$H$20:$BG$378))</f>
        <v>0</v>
      </c>
      <c r="R131" s="144">
        <f t="shared" si="54"/>
        <v>0</v>
      </c>
      <c r="S131" s="144">
        <f>SUMIF($I$3:$O$3,Assumptions!$A$15,$I131:$O131)*N($G131)</f>
        <v>0</v>
      </c>
      <c r="T131" s="144">
        <f>SUMIF($I$3:$O$3,Assumptions!$A$16,$I131:$O131)*N($G131)</f>
        <v>0</v>
      </c>
      <c r="U131" s="144">
        <f>SUMIF($I$3:$O$3,Assumptions!$A$17,$I131:$O131)*N($G131)</f>
        <v>0</v>
      </c>
      <c r="V131" s="144">
        <f>SUMIF($I$3:$O$3,Assumptions!$A$18,$I131:$O131)*N($G131)</f>
        <v>0</v>
      </c>
      <c r="W131" s="144">
        <f>SUMIF($I$3:$O$3,Assumptions!$A$19,$I131:$O131)*N($G131)</f>
        <v>0</v>
      </c>
      <c r="X131" s="145">
        <f>S131*Assumptions!$B$15+T131*Assumptions!$B$16+U131*Assumptions!$B$17+V131*Assumptions!$B$18+W131*Assumptions!$B$19</f>
        <v>0</v>
      </c>
      <c r="Y131" s="145" t="str">
        <f t="shared" si="96"/>
        <v/>
      </c>
      <c r="Z131" s="146" t="str">
        <f t="shared" si="97"/>
        <v/>
      </c>
      <c r="AA131" s="146">
        <f>IF(D131="Active",1,IF(D131="Prospective",IF(Assumptions!$B$6="Active only",0,Assumptions!$B$7),0))</f>
        <v>0</v>
      </c>
      <c r="AB131" s="147" t="str">
        <f t="shared" si="98"/>
        <v/>
      </c>
      <c r="AC131" s="152" t="s">
        <v>103</v>
      </c>
      <c r="AD131" s="156">
        <f t="shared" si="55"/>
        <v>0</v>
      </c>
    </row>
    <row r="132" spans="1:30" outlineLevel="1" x14ac:dyDescent="0.25">
      <c r="A132" s="51">
        <f>IF(A126="","",A126)</f>
        <v>2577</v>
      </c>
      <c r="B132" s="41" t="str">
        <f>IF(B126="","",B126)</f>
        <v>Riverbend Master Plan</v>
      </c>
      <c r="C132" s="42"/>
      <c r="D132" s="43" t="str">
        <f>IF(COUNTA(C132,E132,H132,I132:O132)=0,"",IF(D126="","",D126))</f>
        <v/>
      </c>
      <c r="E132" s="44"/>
      <c r="F132" s="139" t="str">
        <f t="shared" si="93"/>
        <v/>
      </c>
      <c r="G132" s="136" t="str">
        <f t="shared" si="94"/>
        <v/>
      </c>
      <c r="H132" s="127"/>
      <c r="I132" s="148"/>
      <c r="J132" s="148"/>
      <c r="K132" s="148"/>
      <c r="L132" s="148"/>
      <c r="M132" s="148"/>
      <c r="N132" s="148"/>
      <c r="O132" s="148"/>
      <c r="P132" s="144">
        <f t="shared" si="95"/>
        <v>0</v>
      </c>
      <c r="Q132" s="144" cm="1">
        <f t="array" ref="Q132">IF(OR(A132="",E132="",F132=""),0,SUMPRODUCT((tlNo=A132)*(Timeline!$H$18:$BG$18+6&gt;=E132)*(Timeline!$H$18:$BG$18&lt;=F132)*Timeline!$H$20:$BG$378))</f>
        <v>0</v>
      </c>
      <c r="R132" s="144">
        <f t="shared" si="54"/>
        <v>0</v>
      </c>
      <c r="S132" s="144">
        <f>SUMIF($I$3:$O$3,Assumptions!$A$15,$I132:$O132)*N($G132)</f>
        <v>0</v>
      </c>
      <c r="T132" s="144">
        <f>SUMIF($I$3:$O$3,Assumptions!$A$16,$I132:$O132)*N($G132)</f>
        <v>0</v>
      </c>
      <c r="U132" s="144">
        <f>SUMIF($I$3:$O$3,Assumptions!$A$17,$I132:$O132)*N($G132)</f>
        <v>0</v>
      </c>
      <c r="V132" s="144">
        <f>SUMIF($I$3:$O$3,Assumptions!$A$18,$I132:$O132)*N($G132)</f>
        <v>0</v>
      </c>
      <c r="W132" s="144">
        <f>SUMIF($I$3:$O$3,Assumptions!$A$19,$I132:$O132)*N($G132)</f>
        <v>0</v>
      </c>
      <c r="X132" s="145">
        <f>S132*Assumptions!$B$15+T132*Assumptions!$B$16+U132*Assumptions!$B$17+V132*Assumptions!$B$18+W132*Assumptions!$B$19</f>
        <v>0</v>
      </c>
      <c r="Y132" s="145" t="str">
        <f t="shared" si="96"/>
        <v/>
      </c>
      <c r="Z132" s="146" t="str">
        <f t="shared" si="97"/>
        <v/>
      </c>
      <c r="AA132" s="146">
        <f>IF(D132="Active",1,IF(D132="Prospective",IF(Assumptions!$B$6="Active only",0,Assumptions!$B$7),0))</f>
        <v>0</v>
      </c>
      <c r="AB132" s="147" t="str">
        <f t="shared" si="98"/>
        <v/>
      </c>
      <c r="AC132" s="152" t="s">
        <v>103</v>
      </c>
      <c r="AD132" s="156">
        <f t="shared" si="55"/>
        <v>0</v>
      </c>
    </row>
    <row r="133" spans="1:30" outlineLevel="1" x14ac:dyDescent="0.25">
      <c r="A133" s="51">
        <f>IF(A126="","",A126)</f>
        <v>2577</v>
      </c>
      <c r="B133" s="41" t="str">
        <f>IF(B126="","",B126)</f>
        <v>Riverbend Master Plan</v>
      </c>
      <c r="C133" s="42"/>
      <c r="D133" s="43" t="str">
        <f>IF(COUNTA(C133,E133,H133,I133:O133)=0,"",IF(D126="","",D126))</f>
        <v/>
      </c>
      <c r="E133" s="44"/>
      <c r="F133" s="139" t="str">
        <f t="shared" si="93"/>
        <v/>
      </c>
      <c r="G133" s="136" t="str">
        <f t="shared" si="94"/>
        <v/>
      </c>
      <c r="H133" s="127"/>
      <c r="I133" s="148"/>
      <c r="J133" s="148"/>
      <c r="K133" s="148"/>
      <c r="L133" s="148"/>
      <c r="M133" s="148"/>
      <c r="N133" s="148"/>
      <c r="O133" s="148"/>
      <c r="P133" s="144">
        <f t="shared" si="95"/>
        <v>0</v>
      </c>
      <c r="Q133" s="144" cm="1">
        <f t="array" ref="Q133">IF(OR(A133="",E133="",F133=""),0,SUMPRODUCT((tlNo=A133)*(Timeline!$H$18:$BG$18+6&gt;=E133)*(Timeline!$H$18:$BG$18&lt;=F133)*Timeline!$H$20:$BG$378))</f>
        <v>0</v>
      </c>
      <c r="R133" s="144">
        <f t="shared" ref="R133:R196" si="99">P133-Q133</f>
        <v>0</v>
      </c>
      <c r="S133" s="144">
        <f>SUMIF($I$3:$O$3,Assumptions!$A$15,$I133:$O133)*N($G133)</f>
        <v>0</v>
      </c>
      <c r="T133" s="144">
        <f>SUMIF($I$3:$O$3,Assumptions!$A$16,$I133:$O133)*N($G133)</f>
        <v>0</v>
      </c>
      <c r="U133" s="144">
        <f>SUMIF($I$3:$O$3,Assumptions!$A$17,$I133:$O133)*N($G133)</f>
        <v>0</v>
      </c>
      <c r="V133" s="144">
        <f>SUMIF($I$3:$O$3,Assumptions!$A$18,$I133:$O133)*N($G133)</f>
        <v>0</v>
      </c>
      <c r="W133" s="144">
        <f>SUMIF($I$3:$O$3,Assumptions!$A$19,$I133:$O133)*N($G133)</f>
        <v>0</v>
      </c>
      <c r="X133" s="145">
        <f>S133*Assumptions!$B$15+T133*Assumptions!$B$16+U133*Assumptions!$B$17+V133*Assumptions!$B$18+W133*Assumptions!$B$19</f>
        <v>0</v>
      </c>
      <c r="Y133" s="145" t="str">
        <f t="shared" si="96"/>
        <v/>
      </c>
      <c r="Z133" s="146" t="str">
        <f t="shared" si="97"/>
        <v/>
      </c>
      <c r="AA133" s="146">
        <f>IF(D133="Active",1,IF(D133="Prospective",IF(Assumptions!$B$6="Active only",0,Assumptions!$B$7),0))</f>
        <v>0</v>
      </c>
      <c r="AB133" s="147" t="str">
        <f t="shared" si="98"/>
        <v/>
      </c>
      <c r="AC133" s="152" t="s">
        <v>103</v>
      </c>
      <c r="AD133" s="156">
        <f t="shared" ref="AD133:AD196" si="100">IF(AC133="Phase",N(G133),0)</f>
        <v>0</v>
      </c>
    </row>
    <row r="134" spans="1:30" outlineLevel="1" x14ac:dyDescent="0.25">
      <c r="A134" s="64">
        <f>IF(A126="","",A126)</f>
        <v>2577</v>
      </c>
      <c r="B134" s="45" t="str">
        <f>IF(B126="","",B126)</f>
        <v>Riverbend Master Plan</v>
      </c>
      <c r="C134" s="46"/>
      <c r="D134" s="47" t="str">
        <f>IF(COUNTA(C134,E134,H134,I134:O134)=0,"",IF(D126="","",D126))</f>
        <v/>
      </c>
      <c r="E134" s="48"/>
      <c r="F134" s="140" t="str">
        <f t="shared" si="93"/>
        <v/>
      </c>
      <c r="G134" s="137" t="str">
        <f t="shared" si="94"/>
        <v/>
      </c>
      <c r="H134" s="128"/>
      <c r="I134" s="148"/>
      <c r="J134" s="148"/>
      <c r="K134" s="148"/>
      <c r="L134" s="148"/>
      <c r="M134" s="148"/>
      <c r="N134" s="148"/>
      <c r="O134" s="148"/>
      <c r="P134" s="144">
        <f t="shared" si="95"/>
        <v>0</v>
      </c>
      <c r="Q134" s="144" cm="1">
        <f t="array" ref="Q134">IF(OR(A134="",E134="",F134=""),0,SUMPRODUCT((tlNo=A134)*(Timeline!$H$18:$BG$18+6&gt;=E134)*(Timeline!$H$18:$BG$18&lt;=F134)*Timeline!$H$20:$BG$378))</f>
        <v>0</v>
      </c>
      <c r="R134" s="144">
        <f t="shared" si="99"/>
        <v>0</v>
      </c>
      <c r="S134" s="144">
        <f>SUMIF($I$3:$O$3,Assumptions!$A$15,$I134:$O134)*N($G134)</f>
        <v>0</v>
      </c>
      <c r="T134" s="144">
        <f>SUMIF($I$3:$O$3,Assumptions!$A$16,$I134:$O134)*N($G134)</f>
        <v>0</v>
      </c>
      <c r="U134" s="144">
        <f>SUMIF($I$3:$O$3,Assumptions!$A$17,$I134:$O134)*N($G134)</f>
        <v>0</v>
      </c>
      <c r="V134" s="144">
        <f>SUMIF($I$3:$O$3,Assumptions!$A$18,$I134:$O134)*N($G134)</f>
        <v>0</v>
      </c>
      <c r="W134" s="144">
        <f>SUMIF($I$3:$O$3,Assumptions!$A$19,$I134:$O134)*N($G134)</f>
        <v>0</v>
      </c>
      <c r="X134" s="145">
        <f>S134*Assumptions!$B$15+T134*Assumptions!$B$16+U134*Assumptions!$B$17+V134*Assumptions!$B$18+W134*Assumptions!$B$19</f>
        <v>0</v>
      </c>
      <c r="Y134" s="145" t="str">
        <f t="shared" si="96"/>
        <v/>
      </c>
      <c r="Z134" s="146" t="str">
        <f t="shared" si="97"/>
        <v/>
      </c>
      <c r="AA134" s="146">
        <f>IF(D134="Active",1,IF(D134="Prospective",IF(Assumptions!$B$6="Active only",0,Assumptions!$B$7),0))</f>
        <v>0</v>
      </c>
      <c r="AB134" s="147" t="str">
        <f t="shared" si="98"/>
        <v/>
      </c>
      <c r="AC134" s="152" t="s">
        <v>103</v>
      </c>
      <c r="AD134" s="156">
        <f t="shared" si="100"/>
        <v>0</v>
      </c>
    </row>
    <row r="135" spans="1:30" x14ac:dyDescent="0.25">
      <c r="A135" s="59">
        <v>2582</v>
      </c>
      <c r="B135" s="207" t="s">
        <v>207</v>
      </c>
      <c r="C135" s="61" t="s">
        <v>129</v>
      </c>
      <c r="D135" s="62" t="s">
        <v>33</v>
      </c>
      <c r="E135" s="63">
        <f>IF(COUNT(E136:E136)=0,"",MIN(E136:E136))</f>
        <v>46054</v>
      </c>
      <c r="F135" s="63">
        <f>IF(COUNT(F136:F136)=0,"",MAX(F136:F136))</f>
        <v>46137</v>
      </c>
      <c r="G135" s="134"/>
      <c r="H135" s="125">
        <f>SUM(H136:H136)</f>
        <v>23000</v>
      </c>
      <c r="I135" s="141"/>
      <c r="J135" s="141"/>
      <c r="K135" s="141"/>
      <c r="L135" s="141"/>
      <c r="M135" s="141"/>
      <c r="N135" s="141"/>
      <c r="O135" s="141"/>
      <c r="P135" s="141">
        <f>SUM(P136:P136)</f>
        <v>72</v>
      </c>
      <c r="Q135" s="141">
        <f>SUM(Q136:Q136)</f>
        <v>0</v>
      </c>
      <c r="R135" s="141">
        <f t="shared" si="99"/>
        <v>72</v>
      </c>
      <c r="S135" s="141">
        <f t="shared" ref="S135:X135" si="101">SUM(S136:S136)</f>
        <v>12</v>
      </c>
      <c r="T135" s="141">
        <f t="shared" si="101"/>
        <v>60</v>
      </c>
      <c r="U135" s="141">
        <f t="shared" si="101"/>
        <v>0</v>
      </c>
      <c r="V135" s="141">
        <f t="shared" si="101"/>
        <v>0</v>
      </c>
      <c r="W135" s="141">
        <f t="shared" si="101"/>
        <v>0</v>
      </c>
      <c r="X135" s="142">
        <f t="shared" si="101"/>
        <v>18480</v>
      </c>
      <c r="Y135" s="142">
        <f>H135-X135</f>
        <v>4520</v>
      </c>
      <c r="Z135" s="143">
        <f>IF(H135=0,"",X135/H135)</f>
        <v>0.8034782608695652</v>
      </c>
      <c r="AA135" s="143"/>
      <c r="AB135" s="40" t="str">
        <f>IF(COUNTIF(AB136:AB136,"?*")=0,"No phases yet",IF(COUNTIF(AB136:AB136,"OK")=COUNTIF(AB136:AB136,"?*"),"All OK",(COUNTIF(AB136:AB136,"?*")-COUNTIF(AB136:AB136,"OK"))&amp;" to fix"))</f>
        <v>1 to fix</v>
      </c>
      <c r="AC135" s="52" t="s">
        <v>130</v>
      </c>
      <c r="AD135" s="156">
        <f t="shared" si="100"/>
        <v>0</v>
      </c>
    </row>
    <row r="136" spans="1:30" outlineLevel="1" x14ac:dyDescent="0.25">
      <c r="A136" s="54">
        <f>IF(A135="","",A135)</f>
        <v>2582</v>
      </c>
      <c r="B136" s="55" t="str">
        <f>IF(B135="","",B135)</f>
        <v>Bayside Lofts</v>
      </c>
      <c r="C136" s="56" t="s">
        <v>110</v>
      </c>
      <c r="D136" s="57" t="str">
        <f>IF(COUNTA(C136,E136,H136,I136:O136)=0,"",IF(D135="","",D135))</f>
        <v>Active</v>
      </c>
      <c r="E136" s="58">
        <v>46054</v>
      </c>
      <c r="F136" s="138">
        <f>IF(_xlfn.ISFORMULA(G136),"",IF(AND(E136&lt;&gt;"",N(G136)&gt;0),E136+7*G136-1,""))</f>
        <v>46137</v>
      </c>
      <c r="G136" s="135">
        <v>12</v>
      </c>
      <c r="H136" s="126">
        <v>23000</v>
      </c>
      <c r="I136" s="148">
        <v>1</v>
      </c>
      <c r="J136" s="148"/>
      <c r="K136" s="148">
        <v>5</v>
      </c>
      <c r="L136" s="148"/>
      <c r="M136" s="148"/>
      <c r="N136" s="148"/>
      <c r="O136" s="148"/>
      <c r="P136" s="144">
        <f>SUM(I136:O136)*N(G136)</f>
        <v>72</v>
      </c>
      <c r="Q136" s="144" cm="1">
        <f t="array" ref="Q136">IF(OR(A136="",E136="",F136=""),0,SUMPRODUCT((tlNo=A136)*(Timeline!$H$18:$BG$18+6&gt;=E136)*(Timeline!$H$18:$BG$18&lt;=F136)*Timeline!$H$20:$BG$378))</f>
        <v>0</v>
      </c>
      <c r="R136" s="144">
        <f t="shared" si="99"/>
        <v>72</v>
      </c>
      <c r="S136" s="144">
        <f>SUMIF($I$3:$O$3,Assumptions!$A$15,$I136:$O136)*N($G136)</f>
        <v>12</v>
      </c>
      <c r="T136" s="144">
        <f>SUMIF($I$3:$O$3,Assumptions!$A$16,$I136:$O136)*N($G136)</f>
        <v>60</v>
      </c>
      <c r="U136" s="144">
        <f>SUMIF($I$3:$O$3,Assumptions!$A$17,$I136:$O136)*N($G136)</f>
        <v>0</v>
      </c>
      <c r="V136" s="144">
        <f>SUMIF($I$3:$O$3,Assumptions!$A$18,$I136:$O136)*N($G136)</f>
        <v>0</v>
      </c>
      <c r="W136" s="144">
        <f>SUMIF($I$3:$O$3,Assumptions!$A$19,$I136:$O136)*N($G136)</f>
        <v>0</v>
      </c>
      <c r="X136" s="145">
        <f>S136*Assumptions!$B$15+T136*Assumptions!$B$16+U136*Assumptions!$B$17+V136*Assumptions!$B$18+W136*Assumptions!$B$19</f>
        <v>18480</v>
      </c>
      <c r="Y136" s="145">
        <f>IF(D136="","",H136-X136)</f>
        <v>4520</v>
      </c>
      <c r="Z136" s="146">
        <f>IF(OR(D136="",H136=0),"",X136/H136)</f>
        <v>0.8034782608695652</v>
      </c>
      <c r="AA136" s="146">
        <f>IF(D136="Active",1,IF(D136="Prospective",IF(Assumptions!$B$6="Active only",0,Assumptions!$B$7),0))</f>
        <v>1</v>
      </c>
      <c r="AB136" s="147" t="str">
        <f>IF(COUNTA(C136,E136,H136,I136:O136)=0,"",IF(C136="","Select phase",IF(OR(E136="",F136=""),"Enter dates",IF(F136&lt;E136,"End before start",IF(H136="","Enter phase fee",IF(P136=0,"Enter staff hours",IF(R136&lt;0,"Over-mapped on Timeline",IF(R136&gt;0,"Map hours on Timeline","OK"))))))))</f>
        <v>Map hours on Timeline</v>
      </c>
      <c r="AC136" s="152" t="s">
        <v>103</v>
      </c>
      <c r="AD136" s="156">
        <f t="shared" si="100"/>
        <v>12</v>
      </c>
    </row>
    <row r="137" spans="1:30" x14ac:dyDescent="0.25">
      <c r="A137" s="59">
        <v>2583</v>
      </c>
      <c r="B137" s="207" t="s">
        <v>208</v>
      </c>
      <c r="C137" s="61" t="s">
        <v>129</v>
      </c>
      <c r="D137" s="62" t="s">
        <v>33</v>
      </c>
      <c r="E137" s="63" t="str">
        <f>IF(COUNT(E138:E145)=0,"",MIN(E138:E145))</f>
        <v/>
      </c>
      <c r="F137" s="63" t="str">
        <f>IF(COUNT(F138:F145)=0,"",MAX(F138:F145))</f>
        <v/>
      </c>
      <c r="G137" s="134"/>
      <c r="H137" s="125">
        <f>SUM(H138:H145)</f>
        <v>0</v>
      </c>
      <c r="I137" s="141"/>
      <c r="J137" s="141"/>
      <c r="K137" s="141"/>
      <c r="L137" s="141"/>
      <c r="M137" s="141"/>
      <c r="N137" s="141"/>
      <c r="O137" s="141"/>
      <c r="P137" s="141">
        <f>SUM(P138:P145)</f>
        <v>0</v>
      </c>
      <c r="Q137" s="141">
        <f>SUM(Q138:Q145)</f>
        <v>0</v>
      </c>
      <c r="R137" s="141">
        <f t="shared" si="99"/>
        <v>0</v>
      </c>
      <c r="S137" s="141">
        <f t="shared" ref="S137:X137" si="102">SUM(S138:S145)</f>
        <v>0</v>
      </c>
      <c r="T137" s="141">
        <f t="shared" si="102"/>
        <v>0</v>
      </c>
      <c r="U137" s="141">
        <f t="shared" si="102"/>
        <v>0</v>
      </c>
      <c r="V137" s="141">
        <f t="shared" si="102"/>
        <v>0</v>
      </c>
      <c r="W137" s="141">
        <f t="shared" si="102"/>
        <v>0</v>
      </c>
      <c r="X137" s="142">
        <f t="shared" si="102"/>
        <v>0</v>
      </c>
      <c r="Y137" s="142">
        <f>H137-X137</f>
        <v>0</v>
      </c>
      <c r="Z137" s="143" t="str">
        <f>IF(H137=0,"",X137/H137)</f>
        <v/>
      </c>
      <c r="AA137" s="143"/>
      <c r="AB137" s="40" t="str">
        <f>IF(COUNTIF(AB138:AB145,"?*")=0,"No phases yet",IF(COUNTIF(AB138:AB145,"OK")=COUNTIF(AB138:AB145,"?*"),"All OK",(COUNTIF(AB138:AB145,"?*")-COUNTIF(AB138:AB145,"OK"))&amp;" to fix"))</f>
        <v>No phases yet</v>
      </c>
      <c r="AC137" s="52" t="s">
        <v>130</v>
      </c>
      <c r="AD137" s="156">
        <f t="shared" si="100"/>
        <v>0</v>
      </c>
    </row>
    <row r="138" spans="1:30" hidden="1" outlineLevel="2" x14ac:dyDescent="0.25">
      <c r="A138" s="54">
        <f>IF(A137="","",A137)</f>
        <v>2583</v>
      </c>
      <c r="B138" s="55" t="str">
        <f>IF(B137="","",B137)</f>
        <v>Cypress Point Campus Plan</v>
      </c>
      <c r="C138" s="56"/>
      <c r="D138" s="57" t="str">
        <f>IF(COUNTA(C138,E138,H138,I138:O138)=0,"",IF(D137="","",D137))</f>
        <v/>
      </c>
      <c r="E138" s="58"/>
      <c r="F138" s="138" t="str">
        <f t="shared" ref="F138:F145" si="103">IF(_xlfn.ISFORMULA(G138),"",IF(AND(E138&lt;&gt;"",N(G138)&gt;0),E138+7*G138-1,""))</f>
        <v/>
      </c>
      <c r="G138" s="135" t="str">
        <f t="shared" ref="G138:G145" si="104">IF(OR(E138="",F138=""),"",IF(F138&lt;E138,"",ROUNDUP((F138-E138+1)/7,0)))</f>
        <v/>
      </c>
      <c r="H138" s="126"/>
      <c r="I138" s="148"/>
      <c r="J138" s="148"/>
      <c r="K138" s="148"/>
      <c r="L138" s="148"/>
      <c r="M138" s="148"/>
      <c r="N138" s="148"/>
      <c r="O138" s="148"/>
      <c r="P138" s="144">
        <f t="shared" ref="P138:P145" si="105">SUM(I138:O138)*N(G138)</f>
        <v>0</v>
      </c>
      <c r="Q138" s="144" cm="1">
        <f t="array" ref="Q138">IF(OR(A138="",E138="",F138=""),0,SUMPRODUCT((tlNo=A138)*(Timeline!$H$18:$BG$18+6&gt;=E138)*(Timeline!$H$18:$BG$18&lt;=F138)*Timeline!$H$20:$BG$378))</f>
        <v>0</v>
      </c>
      <c r="R138" s="144">
        <f t="shared" si="99"/>
        <v>0</v>
      </c>
      <c r="S138" s="144">
        <f>SUMIF($I$3:$O$3,Assumptions!$A$15,$I138:$O138)*N($G138)</f>
        <v>0</v>
      </c>
      <c r="T138" s="144">
        <f>SUMIF($I$3:$O$3,Assumptions!$A$16,$I138:$O138)*N($G138)</f>
        <v>0</v>
      </c>
      <c r="U138" s="144">
        <f>SUMIF($I$3:$O$3,Assumptions!$A$17,$I138:$O138)*N($G138)</f>
        <v>0</v>
      </c>
      <c r="V138" s="144">
        <f>SUMIF($I$3:$O$3,Assumptions!$A$18,$I138:$O138)*N($G138)</f>
        <v>0</v>
      </c>
      <c r="W138" s="144">
        <f>SUMIF($I$3:$O$3,Assumptions!$A$19,$I138:$O138)*N($G138)</f>
        <v>0</v>
      </c>
      <c r="X138" s="145">
        <f>S138*Assumptions!$B$15+T138*Assumptions!$B$16+U138*Assumptions!$B$17+V138*Assumptions!$B$18+W138*Assumptions!$B$19</f>
        <v>0</v>
      </c>
      <c r="Y138" s="145" t="str">
        <f t="shared" ref="Y138:Y145" si="106">IF(D138="","",H138-X138)</f>
        <v/>
      </c>
      <c r="Z138" s="146" t="str">
        <f t="shared" ref="Z138:Z145" si="107">IF(OR(D138="",H138=0),"",X138/H138)</f>
        <v/>
      </c>
      <c r="AA138" s="146">
        <f>IF(D138="Active",1,IF(D138="Prospective",IF(Assumptions!$B$6="Active only",0,Assumptions!$B$7),0))</f>
        <v>0</v>
      </c>
      <c r="AB138" s="147" t="str">
        <f t="shared" ref="AB138:AB145" si="108">IF(COUNTA(C138,E138,H138,I138:O138)=0,"",IF(C138="","Select phase",IF(OR(E138="",F138=""),"Enter dates",IF(F138&lt;E138,"End before start",IF(H138="","Enter phase fee",IF(P138=0,"Enter staff hours",IF(R138&lt;0,"Over-mapped on Timeline",IF(R138&gt;0,"Map hours on Timeline","OK"))))))))</f>
        <v/>
      </c>
      <c r="AC138" s="152" t="s">
        <v>103</v>
      </c>
      <c r="AD138" s="156">
        <f t="shared" si="100"/>
        <v>0</v>
      </c>
    </row>
    <row r="139" spans="1:30" hidden="1" outlineLevel="2" x14ac:dyDescent="0.25">
      <c r="A139" s="51">
        <f>IF(A137="","",A137)</f>
        <v>2583</v>
      </c>
      <c r="B139" s="41" t="str">
        <f>IF(B137="","",B137)</f>
        <v>Cypress Point Campus Plan</v>
      </c>
      <c r="C139" s="42"/>
      <c r="D139" s="43" t="str">
        <f>IF(COUNTA(C139,E139,H139,I139:O139)=0,"",IF(D137="","",D137))</f>
        <v/>
      </c>
      <c r="E139" s="44"/>
      <c r="F139" s="139" t="str">
        <f t="shared" si="103"/>
        <v/>
      </c>
      <c r="G139" s="136" t="str">
        <f t="shared" si="104"/>
        <v/>
      </c>
      <c r="H139" s="127"/>
      <c r="I139" s="148"/>
      <c r="J139" s="148"/>
      <c r="K139" s="148"/>
      <c r="L139" s="148"/>
      <c r="M139" s="148"/>
      <c r="N139" s="148"/>
      <c r="O139" s="148"/>
      <c r="P139" s="144">
        <f t="shared" si="105"/>
        <v>0</v>
      </c>
      <c r="Q139" s="144" cm="1">
        <f t="array" ref="Q139">IF(OR(A139="",E139="",F139=""),0,SUMPRODUCT((tlNo=A139)*(Timeline!$H$18:$BG$18+6&gt;=E139)*(Timeline!$H$18:$BG$18&lt;=F139)*Timeline!$H$20:$BG$378))</f>
        <v>0</v>
      </c>
      <c r="R139" s="144">
        <f t="shared" si="99"/>
        <v>0</v>
      </c>
      <c r="S139" s="144">
        <f>SUMIF($I$3:$O$3,Assumptions!$A$15,$I139:$O139)*N($G139)</f>
        <v>0</v>
      </c>
      <c r="T139" s="144">
        <f>SUMIF($I$3:$O$3,Assumptions!$A$16,$I139:$O139)*N($G139)</f>
        <v>0</v>
      </c>
      <c r="U139" s="144">
        <f>SUMIF($I$3:$O$3,Assumptions!$A$17,$I139:$O139)*N($G139)</f>
        <v>0</v>
      </c>
      <c r="V139" s="144">
        <f>SUMIF($I$3:$O$3,Assumptions!$A$18,$I139:$O139)*N($G139)</f>
        <v>0</v>
      </c>
      <c r="W139" s="144">
        <f>SUMIF($I$3:$O$3,Assumptions!$A$19,$I139:$O139)*N($G139)</f>
        <v>0</v>
      </c>
      <c r="X139" s="145">
        <f>S139*Assumptions!$B$15+T139*Assumptions!$B$16+U139*Assumptions!$B$17+V139*Assumptions!$B$18+W139*Assumptions!$B$19</f>
        <v>0</v>
      </c>
      <c r="Y139" s="145" t="str">
        <f t="shared" si="106"/>
        <v/>
      </c>
      <c r="Z139" s="146" t="str">
        <f t="shared" si="107"/>
        <v/>
      </c>
      <c r="AA139" s="146">
        <f>IF(D139="Active",1,IF(D139="Prospective",IF(Assumptions!$B$6="Active only",0,Assumptions!$B$7),0))</f>
        <v>0</v>
      </c>
      <c r="AB139" s="147" t="str">
        <f t="shared" si="108"/>
        <v/>
      </c>
      <c r="AC139" s="152" t="s">
        <v>103</v>
      </c>
      <c r="AD139" s="156">
        <f t="shared" si="100"/>
        <v>0</v>
      </c>
    </row>
    <row r="140" spans="1:30" hidden="1" outlineLevel="2" x14ac:dyDescent="0.25">
      <c r="A140" s="51">
        <f>IF(A137="","",A137)</f>
        <v>2583</v>
      </c>
      <c r="B140" s="41" t="str">
        <f>IF(B137="","",B137)</f>
        <v>Cypress Point Campus Plan</v>
      </c>
      <c r="C140" s="42"/>
      <c r="D140" s="43" t="str">
        <f>IF(COUNTA(C140,E140,H140,I140:O140)=0,"",IF(D137="","",D137))</f>
        <v/>
      </c>
      <c r="E140" s="44"/>
      <c r="F140" s="139" t="str">
        <f t="shared" si="103"/>
        <v/>
      </c>
      <c r="G140" s="136" t="str">
        <f t="shared" si="104"/>
        <v/>
      </c>
      <c r="H140" s="127"/>
      <c r="I140" s="148"/>
      <c r="J140" s="148"/>
      <c r="K140" s="148"/>
      <c r="L140" s="148"/>
      <c r="M140" s="148"/>
      <c r="N140" s="148"/>
      <c r="O140" s="148"/>
      <c r="P140" s="144">
        <f t="shared" si="105"/>
        <v>0</v>
      </c>
      <c r="Q140" s="144" cm="1">
        <f t="array" ref="Q140">IF(OR(A140="",E140="",F140=""),0,SUMPRODUCT((tlNo=A140)*(Timeline!$H$18:$BG$18+6&gt;=E140)*(Timeline!$H$18:$BG$18&lt;=F140)*Timeline!$H$20:$BG$378))</f>
        <v>0</v>
      </c>
      <c r="R140" s="144">
        <f t="shared" si="99"/>
        <v>0</v>
      </c>
      <c r="S140" s="144">
        <f>SUMIF($I$3:$O$3,Assumptions!$A$15,$I140:$O140)*N($G140)</f>
        <v>0</v>
      </c>
      <c r="T140" s="144">
        <f>SUMIF($I$3:$O$3,Assumptions!$A$16,$I140:$O140)*N($G140)</f>
        <v>0</v>
      </c>
      <c r="U140" s="144">
        <f>SUMIF($I$3:$O$3,Assumptions!$A$17,$I140:$O140)*N($G140)</f>
        <v>0</v>
      </c>
      <c r="V140" s="144">
        <f>SUMIF($I$3:$O$3,Assumptions!$A$18,$I140:$O140)*N($G140)</f>
        <v>0</v>
      </c>
      <c r="W140" s="144">
        <f>SUMIF($I$3:$O$3,Assumptions!$A$19,$I140:$O140)*N($G140)</f>
        <v>0</v>
      </c>
      <c r="X140" s="145">
        <f>S140*Assumptions!$B$15+T140*Assumptions!$B$16+U140*Assumptions!$B$17+V140*Assumptions!$B$18+W140*Assumptions!$B$19</f>
        <v>0</v>
      </c>
      <c r="Y140" s="145" t="str">
        <f t="shared" si="106"/>
        <v/>
      </c>
      <c r="Z140" s="146" t="str">
        <f t="shared" si="107"/>
        <v/>
      </c>
      <c r="AA140" s="146">
        <f>IF(D140="Active",1,IF(D140="Prospective",IF(Assumptions!$B$6="Active only",0,Assumptions!$B$7),0))</f>
        <v>0</v>
      </c>
      <c r="AB140" s="147" t="str">
        <f t="shared" si="108"/>
        <v/>
      </c>
      <c r="AC140" s="152" t="s">
        <v>103</v>
      </c>
      <c r="AD140" s="156">
        <f t="shared" si="100"/>
        <v>0</v>
      </c>
    </row>
    <row r="141" spans="1:30" hidden="1" outlineLevel="2" x14ac:dyDescent="0.25">
      <c r="A141" s="51">
        <f>IF(A137="","",A137)</f>
        <v>2583</v>
      </c>
      <c r="B141" s="41" t="str">
        <f>IF(B137="","",B137)</f>
        <v>Cypress Point Campus Plan</v>
      </c>
      <c r="C141" s="42"/>
      <c r="D141" s="43" t="str">
        <f>IF(COUNTA(C141,E141,H141,I141:O141)=0,"",IF(D137="","",D137))</f>
        <v/>
      </c>
      <c r="E141" s="44"/>
      <c r="F141" s="139" t="str">
        <f t="shared" si="103"/>
        <v/>
      </c>
      <c r="G141" s="136" t="str">
        <f t="shared" si="104"/>
        <v/>
      </c>
      <c r="H141" s="127"/>
      <c r="I141" s="148"/>
      <c r="J141" s="148"/>
      <c r="K141" s="148"/>
      <c r="L141" s="148"/>
      <c r="M141" s="148"/>
      <c r="N141" s="148"/>
      <c r="O141" s="148"/>
      <c r="P141" s="144">
        <f t="shared" si="105"/>
        <v>0</v>
      </c>
      <c r="Q141" s="144" cm="1">
        <f t="array" ref="Q141">IF(OR(A141="",E141="",F141=""),0,SUMPRODUCT((tlNo=A141)*(Timeline!$H$18:$BG$18+6&gt;=E141)*(Timeline!$H$18:$BG$18&lt;=F141)*Timeline!$H$20:$BG$378))</f>
        <v>0</v>
      </c>
      <c r="R141" s="144">
        <f t="shared" si="99"/>
        <v>0</v>
      </c>
      <c r="S141" s="144">
        <f>SUMIF($I$3:$O$3,Assumptions!$A$15,$I141:$O141)*N($G141)</f>
        <v>0</v>
      </c>
      <c r="T141" s="144">
        <f>SUMIF($I$3:$O$3,Assumptions!$A$16,$I141:$O141)*N($G141)</f>
        <v>0</v>
      </c>
      <c r="U141" s="144">
        <f>SUMIF($I$3:$O$3,Assumptions!$A$17,$I141:$O141)*N($G141)</f>
        <v>0</v>
      </c>
      <c r="V141" s="144">
        <f>SUMIF($I$3:$O$3,Assumptions!$A$18,$I141:$O141)*N($G141)</f>
        <v>0</v>
      </c>
      <c r="W141" s="144">
        <f>SUMIF($I$3:$O$3,Assumptions!$A$19,$I141:$O141)*N($G141)</f>
        <v>0</v>
      </c>
      <c r="X141" s="145">
        <f>S141*Assumptions!$B$15+T141*Assumptions!$B$16+U141*Assumptions!$B$17+V141*Assumptions!$B$18+W141*Assumptions!$B$19</f>
        <v>0</v>
      </c>
      <c r="Y141" s="145" t="str">
        <f t="shared" si="106"/>
        <v/>
      </c>
      <c r="Z141" s="146" t="str">
        <f t="shared" si="107"/>
        <v/>
      </c>
      <c r="AA141" s="146">
        <f>IF(D141="Active",1,IF(D141="Prospective",IF(Assumptions!$B$6="Active only",0,Assumptions!$B$7),0))</f>
        <v>0</v>
      </c>
      <c r="AB141" s="147" t="str">
        <f t="shared" si="108"/>
        <v/>
      </c>
      <c r="AC141" s="152" t="s">
        <v>103</v>
      </c>
      <c r="AD141" s="156">
        <f t="shared" si="100"/>
        <v>0</v>
      </c>
    </row>
    <row r="142" spans="1:30" hidden="1" outlineLevel="2" x14ac:dyDescent="0.25">
      <c r="A142" s="51">
        <f>IF(A137="","",A137)</f>
        <v>2583</v>
      </c>
      <c r="B142" s="41" t="str">
        <f>IF(B137="","",B137)</f>
        <v>Cypress Point Campus Plan</v>
      </c>
      <c r="C142" s="42"/>
      <c r="D142" s="43" t="str">
        <f>IF(COUNTA(C142,E142,H142,I142:O142)=0,"",IF(D137="","",D137))</f>
        <v/>
      </c>
      <c r="E142" s="44"/>
      <c r="F142" s="139" t="str">
        <f t="shared" si="103"/>
        <v/>
      </c>
      <c r="G142" s="136" t="str">
        <f t="shared" si="104"/>
        <v/>
      </c>
      <c r="H142" s="127"/>
      <c r="I142" s="148"/>
      <c r="J142" s="148"/>
      <c r="K142" s="148"/>
      <c r="L142" s="148"/>
      <c r="M142" s="148"/>
      <c r="N142" s="148"/>
      <c r="O142" s="148"/>
      <c r="P142" s="144">
        <f t="shared" si="105"/>
        <v>0</v>
      </c>
      <c r="Q142" s="144" cm="1">
        <f t="array" ref="Q142">IF(OR(A142="",E142="",F142=""),0,SUMPRODUCT((tlNo=A142)*(Timeline!$H$18:$BG$18+6&gt;=E142)*(Timeline!$H$18:$BG$18&lt;=F142)*Timeline!$H$20:$BG$378))</f>
        <v>0</v>
      </c>
      <c r="R142" s="144">
        <f t="shared" si="99"/>
        <v>0</v>
      </c>
      <c r="S142" s="144">
        <f>SUMIF($I$3:$O$3,Assumptions!$A$15,$I142:$O142)*N($G142)</f>
        <v>0</v>
      </c>
      <c r="T142" s="144">
        <f>SUMIF($I$3:$O$3,Assumptions!$A$16,$I142:$O142)*N($G142)</f>
        <v>0</v>
      </c>
      <c r="U142" s="144">
        <f>SUMIF($I$3:$O$3,Assumptions!$A$17,$I142:$O142)*N($G142)</f>
        <v>0</v>
      </c>
      <c r="V142" s="144">
        <f>SUMIF($I$3:$O$3,Assumptions!$A$18,$I142:$O142)*N($G142)</f>
        <v>0</v>
      </c>
      <c r="W142" s="144">
        <f>SUMIF($I$3:$O$3,Assumptions!$A$19,$I142:$O142)*N($G142)</f>
        <v>0</v>
      </c>
      <c r="X142" s="145">
        <f>S142*Assumptions!$B$15+T142*Assumptions!$B$16+U142*Assumptions!$B$17+V142*Assumptions!$B$18+W142*Assumptions!$B$19</f>
        <v>0</v>
      </c>
      <c r="Y142" s="145" t="str">
        <f t="shared" si="106"/>
        <v/>
      </c>
      <c r="Z142" s="146" t="str">
        <f t="shared" si="107"/>
        <v/>
      </c>
      <c r="AA142" s="146">
        <f>IF(D142="Active",1,IF(D142="Prospective",IF(Assumptions!$B$6="Active only",0,Assumptions!$B$7),0))</f>
        <v>0</v>
      </c>
      <c r="AB142" s="147" t="str">
        <f t="shared" si="108"/>
        <v/>
      </c>
      <c r="AC142" s="152" t="s">
        <v>103</v>
      </c>
      <c r="AD142" s="156">
        <f t="shared" si="100"/>
        <v>0</v>
      </c>
    </row>
    <row r="143" spans="1:30" hidden="1" outlineLevel="2" x14ac:dyDescent="0.25">
      <c r="A143" s="51">
        <f>IF(A137="","",A137)</f>
        <v>2583</v>
      </c>
      <c r="B143" s="41" t="str">
        <f>IF(B137="","",B137)</f>
        <v>Cypress Point Campus Plan</v>
      </c>
      <c r="C143" s="42"/>
      <c r="D143" s="43" t="str">
        <f>IF(COUNTA(C143,E143,H143,I143:O143)=0,"",IF(D137="","",D137))</f>
        <v/>
      </c>
      <c r="E143" s="44"/>
      <c r="F143" s="139" t="str">
        <f t="shared" si="103"/>
        <v/>
      </c>
      <c r="G143" s="136" t="str">
        <f t="shared" si="104"/>
        <v/>
      </c>
      <c r="H143" s="127"/>
      <c r="I143" s="148"/>
      <c r="J143" s="148"/>
      <c r="K143" s="148"/>
      <c r="L143" s="148"/>
      <c r="M143" s="148"/>
      <c r="N143" s="148"/>
      <c r="O143" s="148"/>
      <c r="P143" s="144">
        <f t="shared" si="105"/>
        <v>0</v>
      </c>
      <c r="Q143" s="144" cm="1">
        <f t="array" ref="Q143">IF(OR(A143="",E143="",F143=""),0,SUMPRODUCT((tlNo=A143)*(Timeline!$H$18:$BG$18+6&gt;=E143)*(Timeline!$H$18:$BG$18&lt;=F143)*Timeline!$H$20:$BG$378))</f>
        <v>0</v>
      </c>
      <c r="R143" s="144">
        <f t="shared" si="99"/>
        <v>0</v>
      </c>
      <c r="S143" s="144">
        <f>SUMIF($I$3:$O$3,Assumptions!$A$15,$I143:$O143)*N($G143)</f>
        <v>0</v>
      </c>
      <c r="T143" s="144">
        <f>SUMIF($I$3:$O$3,Assumptions!$A$16,$I143:$O143)*N($G143)</f>
        <v>0</v>
      </c>
      <c r="U143" s="144">
        <f>SUMIF($I$3:$O$3,Assumptions!$A$17,$I143:$O143)*N($G143)</f>
        <v>0</v>
      </c>
      <c r="V143" s="144">
        <f>SUMIF($I$3:$O$3,Assumptions!$A$18,$I143:$O143)*N($G143)</f>
        <v>0</v>
      </c>
      <c r="W143" s="144">
        <f>SUMIF($I$3:$O$3,Assumptions!$A$19,$I143:$O143)*N($G143)</f>
        <v>0</v>
      </c>
      <c r="X143" s="145">
        <f>S143*Assumptions!$B$15+T143*Assumptions!$B$16+U143*Assumptions!$B$17+V143*Assumptions!$B$18+W143*Assumptions!$B$19</f>
        <v>0</v>
      </c>
      <c r="Y143" s="145" t="str">
        <f t="shared" si="106"/>
        <v/>
      </c>
      <c r="Z143" s="146" t="str">
        <f t="shared" si="107"/>
        <v/>
      </c>
      <c r="AA143" s="146">
        <f>IF(D143="Active",1,IF(D143="Prospective",IF(Assumptions!$B$6="Active only",0,Assumptions!$B$7),0))</f>
        <v>0</v>
      </c>
      <c r="AB143" s="147" t="str">
        <f t="shared" si="108"/>
        <v/>
      </c>
      <c r="AC143" s="152" t="s">
        <v>103</v>
      </c>
      <c r="AD143" s="156">
        <f t="shared" si="100"/>
        <v>0</v>
      </c>
    </row>
    <row r="144" spans="1:30" hidden="1" outlineLevel="2" x14ac:dyDescent="0.25">
      <c r="A144" s="51">
        <f>IF(A137="","",A137)</f>
        <v>2583</v>
      </c>
      <c r="B144" s="41" t="str">
        <f>IF(B137="","",B137)</f>
        <v>Cypress Point Campus Plan</v>
      </c>
      <c r="C144" s="42"/>
      <c r="D144" s="43" t="str">
        <f>IF(COUNTA(C144,E144,H144,I144:O144)=0,"",IF(D137="","",D137))</f>
        <v/>
      </c>
      <c r="E144" s="44"/>
      <c r="F144" s="139" t="str">
        <f t="shared" si="103"/>
        <v/>
      </c>
      <c r="G144" s="136" t="str">
        <f t="shared" si="104"/>
        <v/>
      </c>
      <c r="H144" s="127"/>
      <c r="I144" s="148"/>
      <c r="J144" s="148"/>
      <c r="K144" s="148"/>
      <c r="L144" s="148"/>
      <c r="M144" s="148"/>
      <c r="N144" s="148"/>
      <c r="O144" s="148"/>
      <c r="P144" s="144">
        <f t="shared" si="105"/>
        <v>0</v>
      </c>
      <c r="Q144" s="144" cm="1">
        <f t="array" ref="Q144">IF(OR(A144="",E144="",F144=""),0,SUMPRODUCT((tlNo=A144)*(Timeline!$H$18:$BG$18+6&gt;=E144)*(Timeline!$H$18:$BG$18&lt;=F144)*Timeline!$H$20:$BG$378))</f>
        <v>0</v>
      </c>
      <c r="R144" s="144">
        <f t="shared" si="99"/>
        <v>0</v>
      </c>
      <c r="S144" s="144">
        <f>SUMIF($I$3:$O$3,Assumptions!$A$15,$I144:$O144)*N($G144)</f>
        <v>0</v>
      </c>
      <c r="T144" s="144">
        <f>SUMIF($I$3:$O$3,Assumptions!$A$16,$I144:$O144)*N($G144)</f>
        <v>0</v>
      </c>
      <c r="U144" s="144">
        <f>SUMIF($I$3:$O$3,Assumptions!$A$17,$I144:$O144)*N($G144)</f>
        <v>0</v>
      </c>
      <c r="V144" s="144">
        <f>SUMIF($I$3:$O$3,Assumptions!$A$18,$I144:$O144)*N($G144)</f>
        <v>0</v>
      </c>
      <c r="W144" s="144">
        <f>SUMIF($I$3:$O$3,Assumptions!$A$19,$I144:$O144)*N($G144)</f>
        <v>0</v>
      </c>
      <c r="X144" s="145">
        <f>S144*Assumptions!$B$15+T144*Assumptions!$B$16+U144*Assumptions!$B$17+V144*Assumptions!$B$18+W144*Assumptions!$B$19</f>
        <v>0</v>
      </c>
      <c r="Y144" s="145" t="str">
        <f t="shared" si="106"/>
        <v/>
      </c>
      <c r="Z144" s="146" t="str">
        <f t="shared" si="107"/>
        <v/>
      </c>
      <c r="AA144" s="146">
        <f>IF(D144="Active",1,IF(D144="Prospective",IF(Assumptions!$B$6="Active only",0,Assumptions!$B$7),0))</f>
        <v>0</v>
      </c>
      <c r="AB144" s="147" t="str">
        <f t="shared" si="108"/>
        <v/>
      </c>
      <c r="AC144" s="152" t="s">
        <v>103</v>
      </c>
      <c r="AD144" s="156">
        <f t="shared" si="100"/>
        <v>0</v>
      </c>
    </row>
    <row r="145" spans="1:30" hidden="1" outlineLevel="2" x14ac:dyDescent="0.25">
      <c r="A145" s="51">
        <f>IF(A137="","",A137)</f>
        <v>2583</v>
      </c>
      <c r="B145" s="41" t="str">
        <f>IF(B137="","",B137)</f>
        <v>Cypress Point Campus Plan</v>
      </c>
      <c r="C145" s="42"/>
      <c r="D145" s="43" t="str">
        <f>IF(COUNTA(C145,E145,H145,I145:O145)=0,"",IF(D137="","",D137))</f>
        <v/>
      </c>
      <c r="E145" s="44"/>
      <c r="F145" s="139" t="str">
        <f t="shared" si="103"/>
        <v/>
      </c>
      <c r="G145" s="136" t="str">
        <f t="shared" si="104"/>
        <v/>
      </c>
      <c r="H145" s="127"/>
      <c r="I145" s="148"/>
      <c r="J145" s="148"/>
      <c r="K145" s="148"/>
      <c r="L145" s="148"/>
      <c r="M145" s="148"/>
      <c r="N145" s="148"/>
      <c r="O145" s="148"/>
      <c r="P145" s="144">
        <f t="shared" si="105"/>
        <v>0</v>
      </c>
      <c r="Q145" s="144" cm="1">
        <f t="array" ref="Q145">IF(OR(A145="",E145="",F145=""),0,SUMPRODUCT((tlNo=A145)*(Timeline!$H$18:$BG$18+6&gt;=E145)*(Timeline!$H$18:$BG$18&lt;=F145)*Timeline!$H$20:$BG$378))</f>
        <v>0</v>
      </c>
      <c r="R145" s="144">
        <f t="shared" si="99"/>
        <v>0</v>
      </c>
      <c r="S145" s="144">
        <f>SUMIF($I$3:$O$3,Assumptions!$A$15,$I145:$O145)*N($G145)</f>
        <v>0</v>
      </c>
      <c r="T145" s="144">
        <f>SUMIF($I$3:$O$3,Assumptions!$A$16,$I145:$O145)*N($G145)</f>
        <v>0</v>
      </c>
      <c r="U145" s="144">
        <f>SUMIF($I$3:$O$3,Assumptions!$A$17,$I145:$O145)*N($G145)</f>
        <v>0</v>
      </c>
      <c r="V145" s="144">
        <f>SUMIF($I$3:$O$3,Assumptions!$A$18,$I145:$O145)*N($G145)</f>
        <v>0</v>
      </c>
      <c r="W145" s="144">
        <f>SUMIF($I$3:$O$3,Assumptions!$A$19,$I145:$O145)*N($G145)</f>
        <v>0</v>
      </c>
      <c r="X145" s="145">
        <f>S145*Assumptions!$B$15+T145*Assumptions!$B$16+U145*Assumptions!$B$17+V145*Assumptions!$B$18+W145*Assumptions!$B$19</f>
        <v>0</v>
      </c>
      <c r="Y145" s="145" t="str">
        <f t="shared" si="106"/>
        <v/>
      </c>
      <c r="Z145" s="146" t="str">
        <f t="shared" si="107"/>
        <v/>
      </c>
      <c r="AA145" s="146">
        <f>IF(D145="Active",1,IF(D145="Prospective",IF(Assumptions!$B$6="Active only",0,Assumptions!$B$7),0))</f>
        <v>0</v>
      </c>
      <c r="AB145" s="147" t="str">
        <f t="shared" si="108"/>
        <v/>
      </c>
      <c r="AC145" s="152" t="s">
        <v>103</v>
      </c>
      <c r="AD145" s="156">
        <f t="shared" si="100"/>
        <v>0</v>
      </c>
    </row>
    <row r="146" spans="1:30" collapsed="1" x14ac:dyDescent="0.25">
      <c r="A146" s="59">
        <v>2584</v>
      </c>
      <c r="B146" s="207" t="s">
        <v>209</v>
      </c>
      <c r="C146" s="61" t="s">
        <v>129</v>
      </c>
      <c r="D146" s="62" t="s">
        <v>33</v>
      </c>
      <c r="E146" s="63">
        <f>IF(COUNT(E147:E152)=0,"",MIN(E147:E152))</f>
        <v>46300</v>
      </c>
      <c r="F146" s="63">
        <f>IF(COUNT(F147:F152)=0,"",MAX(F147:F152))</f>
        <v>46339</v>
      </c>
      <c r="G146" s="134"/>
      <c r="H146" s="125">
        <f>SUM(H147:H152)</f>
        <v>111500</v>
      </c>
      <c r="I146" s="141"/>
      <c r="J146" s="141"/>
      <c r="K146" s="141"/>
      <c r="L146" s="141"/>
      <c r="M146" s="141"/>
      <c r="N146" s="141"/>
      <c r="O146" s="141"/>
      <c r="P146" s="141">
        <f>SUM(P147:P152)</f>
        <v>144</v>
      </c>
      <c r="Q146" s="141">
        <f>SUM(Q147:Q152)</f>
        <v>144</v>
      </c>
      <c r="R146" s="141">
        <f t="shared" si="99"/>
        <v>0</v>
      </c>
      <c r="S146" s="141">
        <f t="shared" ref="S146:X146" si="109">SUM(S147:S152)</f>
        <v>48</v>
      </c>
      <c r="T146" s="141">
        <f t="shared" si="109"/>
        <v>0</v>
      </c>
      <c r="U146" s="141">
        <f t="shared" si="109"/>
        <v>96</v>
      </c>
      <c r="V146" s="141">
        <f t="shared" si="109"/>
        <v>0</v>
      </c>
      <c r="W146" s="141">
        <f t="shared" si="109"/>
        <v>0</v>
      </c>
      <c r="X146" s="142">
        <f t="shared" si="109"/>
        <v>33120</v>
      </c>
      <c r="Y146" s="142">
        <f>H146-X146</f>
        <v>78380</v>
      </c>
      <c r="Z146" s="143">
        <f>IF(H146=0,"",X146/H146)</f>
        <v>0.29704035874439461</v>
      </c>
      <c r="AA146" s="143"/>
      <c r="AB146" s="40" t="str">
        <f>IF(COUNTIF(AB147:AB152,"?*")=0,"No phases yet",IF(COUNTIF(AB147:AB152,"OK")=COUNTIF(AB147:AB152,"?*"),"All OK",(COUNTIF(AB147:AB152,"?*")-COUNTIF(AB147:AB152,"OK"))&amp;" to fix"))</f>
        <v>5 to fix</v>
      </c>
      <c r="AC146" s="52" t="s">
        <v>130</v>
      </c>
      <c r="AD146" s="156">
        <f t="shared" si="100"/>
        <v>0</v>
      </c>
    </row>
    <row r="147" spans="1:30" outlineLevel="1" x14ac:dyDescent="0.25">
      <c r="A147" s="54">
        <f>IF(A146="","",A146)</f>
        <v>2584</v>
      </c>
      <c r="B147" s="55" t="str">
        <f>IF(B146="","",B146)</f>
        <v>Hollis Campus Plan</v>
      </c>
      <c r="C147" s="56" t="s">
        <v>104</v>
      </c>
      <c r="D147" s="57" t="str">
        <f>IF(COUNTA(C147,E147,H147,I147:O147)=0,"",IF(D146="","",D146))</f>
        <v>Active</v>
      </c>
      <c r="E147" s="58">
        <v>46300</v>
      </c>
      <c r="F147" s="138">
        <v>46339</v>
      </c>
      <c r="G147" s="135">
        <f t="shared" ref="G147:G152" si="110">IF(OR(E147="",F147=""),"",IF(F147&lt;E147,"",ROUNDUP((F147-E147+1)/7,0)))</f>
        <v>6</v>
      </c>
      <c r="H147" s="126">
        <v>22500</v>
      </c>
      <c r="I147" s="148">
        <v>8</v>
      </c>
      <c r="J147" s="148"/>
      <c r="K147" s="148"/>
      <c r="L147" s="148">
        <v>16</v>
      </c>
      <c r="M147" s="148"/>
      <c r="N147" s="148"/>
      <c r="O147" s="148"/>
      <c r="P147" s="144">
        <f t="shared" ref="P147:P152" si="111">SUM(I147:O147)*N(G147)</f>
        <v>144</v>
      </c>
      <c r="Q147" s="144" cm="1">
        <f t="array" ref="Q147">IF(OR(A147="",E147="",F147=""),0,SUMPRODUCT((tlNo=A147)*(Timeline!$H$18:$BG$18+6&gt;=E147)*(Timeline!$H$18:$BG$18&lt;=F147)*Timeline!$H$20:$BG$378))</f>
        <v>144</v>
      </c>
      <c r="R147" s="144">
        <f t="shared" si="99"/>
        <v>0</v>
      </c>
      <c r="S147" s="144">
        <f>SUMIF($I$3:$O$3,Assumptions!$A$15,$I147:$O147)*N($G147)</f>
        <v>48</v>
      </c>
      <c r="T147" s="144">
        <f>SUMIF($I$3:$O$3,Assumptions!$A$16,$I147:$O147)*N($G147)</f>
        <v>0</v>
      </c>
      <c r="U147" s="144">
        <f>SUMIF($I$3:$O$3,Assumptions!$A$17,$I147:$O147)*N($G147)</f>
        <v>96</v>
      </c>
      <c r="V147" s="144">
        <f>SUMIF($I$3:$O$3,Assumptions!$A$18,$I147:$O147)*N($G147)</f>
        <v>0</v>
      </c>
      <c r="W147" s="144">
        <f>SUMIF($I$3:$O$3,Assumptions!$A$19,$I147:$O147)*N($G147)</f>
        <v>0</v>
      </c>
      <c r="X147" s="145">
        <f>S147*Assumptions!$B$15+T147*Assumptions!$B$16+U147*Assumptions!$B$17+V147*Assumptions!$B$18+W147*Assumptions!$B$19</f>
        <v>33120</v>
      </c>
      <c r="Y147" s="145">
        <f t="shared" ref="Y147:Y152" si="112">IF(D147="","",H147-X147)</f>
        <v>-10620</v>
      </c>
      <c r="Z147" s="146">
        <f t="shared" ref="Z147:Z152" si="113">IF(OR(D147="",H147=0),"",X147/H147)</f>
        <v>1.472</v>
      </c>
      <c r="AA147" s="146">
        <f>IF(D147="Active",1,IF(D147="Prospective",IF(Assumptions!$B$6="Active only",0,Assumptions!$B$7),0))</f>
        <v>1</v>
      </c>
      <c r="AB147" s="147" t="str">
        <f t="shared" ref="AB147:AB152" si="114">IF(COUNTA(C147,E147,H147,I147:O147)=0,"",IF(C147="","Select phase",IF(OR(E147="",F147=""),"Enter dates",IF(F147&lt;E147,"End before start",IF(H147="","Enter phase fee",IF(P147=0,"Enter staff hours",IF(R147&lt;0,"Over-mapped on Timeline",IF(R147&gt;0,"Map hours on Timeline","OK"))))))))</f>
        <v>OK</v>
      </c>
      <c r="AC147" s="152" t="s">
        <v>103</v>
      </c>
      <c r="AD147" s="156">
        <f t="shared" si="100"/>
        <v>6</v>
      </c>
    </row>
    <row r="148" spans="1:30" outlineLevel="1" x14ac:dyDescent="0.25">
      <c r="A148" s="51">
        <f>IF(A146="","",A146)</f>
        <v>2584</v>
      </c>
      <c r="B148" s="41" t="str">
        <f>IF(B146="","",B146)</f>
        <v>Hollis Campus Plan</v>
      </c>
      <c r="C148" s="42" t="s">
        <v>105</v>
      </c>
      <c r="D148" s="43" t="str">
        <f>IF(COUNTA(C148,E148,H148,I148:O148)=0,"",IF(D146="","",D146))</f>
        <v>Active</v>
      </c>
      <c r="E148" s="44"/>
      <c r="F148" s="139" t="str">
        <f>IF(_xlfn.ISFORMULA(G148),"",IF(AND(E148&lt;&gt;"",N(G148)&gt;0),E148+7*G148-1,""))</f>
        <v/>
      </c>
      <c r="G148" s="136" t="str">
        <f t="shared" si="110"/>
        <v/>
      </c>
      <c r="H148" s="127">
        <v>15000</v>
      </c>
      <c r="I148" s="148"/>
      <c r="J148" s="148"/>
      <c r="K148" s="148"/>
      <c r="L148" s="148"/>
      <c r="M148" s="148"/>
      <c r="N148" s="148"/>
      <c r="O148" s="148"/>
      <c r="P148" s="144">
        <f t="shared" si="111"/>
        <v>0</v>
      </c>
      <c r="Q148" s="144" cm="1">
        <f t="array" ref="Q148">IF(OR(A148="",E148="",F148=""),0,SUMPRODUCT((tlNo=A148)*(Timeline!$H$18:$BG$18+6&gt;=E148)*(Timeline!$H$18:$BG$18&lt;=F148)*Timeline!$H$20:$BG$378))</f>
        <v>0</v>
      </c>
      <c r="R148" s="144">
        <f t="shared" si="99"/>
        <v>0</v>
      </c>
      <c r="S148" s="144">
        <f>SUMIF($I$3:$O$3,Assumptions!$A$15,$I148:$O148)*N($G148)</f>
        <v>0</v>
      </c>
      <c r="T148" s="144">
        <f>SUMIF($I$3:$O$3,Assumptions!$A$16,$I148:$O148)*N($G148)</f>
        <v>0</v>
      </c>
      <c r="U148" s="144">
        <f>SUMIF($I$3:$O$3,Assumptions!$A$17,$I148:$O148)*N($G148)</f>
        <v>0</v>
      </c>
      <c r="V148" s="144">
        <f>SUMIF($I$3:$O$3,Assumptions!$A$18,$I148:$O148)*N($G148)</f>
        <v>0</v>
      </c>
      <c r="W148" s="144">
        <f>SUMIF($I$3:$O$3,Assumptions!$A$19,$I148:$O148)*N($G148)</f>
        <v>0</v>
      </c>
      <c r="X148" s="145">
        <f>S148*Assumptions!$B$15+T148*Assumptions!$B$16+U148*Assumptions!$B$17+V148*Assumptions!$B$18+W148*Assumptions!$B$19</f>
        <v>0</v>
      </c>
      <c r="Y148" s="145">
        <f t="shared" si="112"/>
        <v>15000</v>
      </c>
      <c r="Z148" s="146">
        <f t="shared" si="113"/>
        <v>0</v>
      </c>
      <c r="AA148" s="146">
        <f>IF(D148="Active",1,IF(D148="Prospective",IF(Assumptions!$B$6="Active only",0,Assumptions!$B$7),0))</f>
        <v>1</v>
      </c>
      <c r="AB148" s="147" t="str">
        <f t="shared" si="114"/>
        <v>Enter dates</v>
      </c>
      <c r="AC148" s="152" t="s">
        <v>103</v>
      </c>
      <c r="AD148" s="156">
        <f t="shared" si="100"/>
        <v>0</v>
      </c>
    </row>
    <row r="149" spans="1:30" outlineLevel="1" x14ac:dyDescent="0.25">
      <c r="A149" s="51">
        <f>IF(A146="","",A146)</f>
        <v>2584</v>
      </c>
      <c r="B149" s="41" t="str">
        <f>IF(B146="","",B146)</f>
        <v>Hollis Campus Plan</v>
      </c>
      <c r="C149" s="42" t="s">
        <v>106</v>
      </c>
      <c r="D149" s="43" t="str">
        <f>IF(COUNTA(C149,E149,H149,I149:O149)=0,"",IF(D146="","",D146))</f>
        <v>Active</v>
      </c>
      <c r="E149" s="44"/>
      <c r="F149" s="139" t="str">
        <f>IF(_xlfn.ISFORMULA(G149),"",IF(AND(E149&lt;&gt;"",N(G149)&gt;0),E149+7*G149-1,""))</f>
        <v/>
      </c>
      <c r="G149" s="136" t="str">
        <f t="shared" si="110"/>
        <v/>
      </c>
      <c r="H149" s="127">
        <v>26000</v>
      </c>
      <c r="I149" s="148"/>
      <c r="J149" s="148"/>
      <c r="K149" s="148"/>
      <c r="L149" s="148"/>
      <c r="M149" s="148"/>
      <c r="N149" s="148"/>
      <c r="O149" s="148"/>
      <c r="P149" s="144">
        <f t="shared" si="111"/>
        <v>0</v>
      </c>
      <c r="Q149" s="144" cm="1">
        <f t="array" ref="Q149">IF(OR(A149="",E149="",F149=""),0,SUMPRODUCT((tlNo=A149)*(Timeline!$H$18:$BG$18+6&gt;=E149)*(Timeline!$H$18:$BG$18&lt;=F149)*Timeline!$H$20:$BG$378))</f>
        <v>0</v>
      </c>
      <c r="R149" s="144">
        <f t="shared" si="99"/>
        <v>0</v>
      </c>
      <c r="S149" s="144">
        <f>SUMIF($I$3:$O$3,Assumptions!$A$15,$I149:$O149)*N($G149)</f>
        <v>0</v>
      </c>
      <c r="T149" s="144">
        <f>SUMIF($I$3:$O$3,Assumptions!$A$16,$I149:$O149)*N($G149)</f>
        <v>0</v>
      </c>
      <c r="U149" s="144">
        <f>SUMIF($I$3:$O$3,Assumptions!$A$17,$I149:$O149)*N($G149)</f>
        <v>0</v>
      </c>
      <c r="V149" s="144">
        <f>SUMIF($I$3:$O$3,Assumptions!$A$18,$I149:$O149)*N($G149)</f>
        <v>0</v>
      </c>
      <c r="W149" s="144">
        <f>SUMIF($I$3:$O$3,Assumptions!$A$19,$I149:$O149)*N($G149)</f>
        <v>0</v>
      </c>
      <c r="X149" s="145">
        <f>S149*Assumptions!$B$15+T149*Assumptions!$B$16+U149*Assumptions!$B$17+V149*Assumptions!$B$18+W149*Assumptions!$B$19</f>
        <v>0</v>
      </c>
      <c r="Y149" s="145">
        <f t="shared" si="112"/>
        <v>26000</v>
      </c>
      <c r="Z149" s="146">
        <f t="shared" si="113"/>
        <v>0</v>
      </c>
      <c r="AA149" s="146">
        <f>IF(D149="Active",1,IF(D149="Prospective",IF(Assumptions!$B$6="Active only",0,Assumptions!$B$7),0))</f>
        <v>1</v>
      </c>
      <c r="AB149" s="147" t="str">
        <f t="shared" si="114"/>
        <v>Enter dates</v>
      </c>
      <c r="AC149" s="152" t="s">
        <v>103</v>
      </c>
      <c r="AD149" s="156">
        <f t="shared" si="100"/>
        <v>0</v>
      </c>
    </row>
    <row r="150" spans="1:30" outlineLevel="1" x14ac:dyDescent="0.25">
      <c r="A150" s="51">
        <f>IF(A146="","",A146)</f>
        <v>2584</v>
      </c>
      <c r="B150" s="41" t="str">
        <f>IF(B146="","",B146)</f>
        <v>Hollis Campus Plan</v>
      </c>
      <c r="C150" s="42" t="s">
        <v>107</v>
      </c>
      <c r="D150" s="43" t="str">
        <f>IF(COUNTA(C150,E150,H150,I150:O150)=0,"",IF(D146="","",D146))</f>
        <v>Active</v>
      </c>
      <c r="E150" s="44"/>
      <c r="F150" s="139" t="str">
        <f>IF(_xlfn.ISFORMULA(G150),"",IF(AND(E150&lt;&gt;"",N(G150)&gt;0),E150+7*G150-1,""))</f>
        <v/>
      </c>
      <c r="G150" s="136" t="str">
        <f t="shared" si="110"/>
        <v/>
      </c>
      <c r="H150" s="127">
        <v>29500</v>
      </c>
      <c r="I150" s="148"/>
      <c r="J150" s="148"/>
      <c r="K150" s="148"/>
      <c r="L150" s="148"/>
      <c r="M150" s="148"/>
      <c r="N150" s="148"/>
      <c r="O150" s="148"/>
      <c r="P150" s="144">
        <f t="shared" si="111"/>
        <v>0</v>
      </c>
      <c r="Q150" s="144" cm="1">
        <f t="array" ref="Q150">IF(OR(A150="",E150="",F150=""),0,SUMPRODUCT((tlNo=A150)*(Timeline!$H$18:$BG$18+6&gt;=E150)*(Timeline!$H$18:$BG$18&lt;=F150)*Timeline!$H$20:$BG$378))</f>
        <v>0</v>
      </c>
      <c r="R150" s="144">
        <f t="shared" si="99"/>
        <v>0</v>
      </c>
      <c r="S150" s="144">
        <f>SUMIF($I$3:$O$3,Assumptions!$A$15,$I150:$O150)*N($G150)</f>
        <v>0</v>
      </c>
      <c r="T150" s="144">
        <f>SUMIF($I$3:$O$3,Assumptions!$A$16,$I150:$O150)*N($G150)</f>
        <v>0</v>
      </c>
      <c r="U150" s="144">
        <f>SUMIF($I$3:$O$3,Assumptions!$A$17,$I150:$O150)*N($G150)</f>
        <v>0</v>
      </c>
      <c r="V150" s="144">
        <f>SUMIF($I$3:$O$3,Assumptions!$A$18,$I150:$O150)*N($G150)</f>
        <v>0</v>
      </c>
      <c r="W150" s="144">
        <f>SUMIF($I$3:$O$3,Assumptions!$A$19,$I150:$O150)*N($G150)</f>
        <v>0</v>
      </c>
      <c r="X150" s="145">
        <f>S150*Assumptions!$B$15+T150*Assumptions!$B$16+U150*Assumptions!$B$17+V150*Assumptions!$B$18+W150*Assumptions!$B$19</f>
        <v>0</v>
      </c>
      <c r="Y150" s="145">
        <f t="shared" si="112"/>
        <v>29500</v>
      </c>
      <c r="Z150" s="146">
        <f t="shared" si="113"/>
        <v>0</v>
      </c>
      <c r="AA150" s="146">
        <f>IF(D150="Active",1,IF(D150="Prospective",IF(Assumptions!$B$6="Active only",0,Assumptions!$B$7),0))</f>
        <v>1</v>
      </c>
      <c r="AB150" s="147" t="str">
        <f t="shared" si="114"/>
        <v>Enter dates</v>
      </c>
      <c r="AC150" s="152" t="s">
        <v>103</v>
      </c>
      <c r="AD150" s="156">
        <f t="shared" si="100"/>
        <v>0</v>
      </c>
    </row>
    <row r="151" spans="1:30" outlineLevel="1" x14ac:dyDescent="0.25">
      <c r="A151" s="51">
        <f>IF(A146="","",A146)</f>
        <v>2584</v>
      </c>
      <c r="B151" s="41" t="str">
        <f>IF(B146="","",B146)</f>
        <v>Hollis Campus Plan</v>
      </c>
      <c r="C151" s="42" t="s">
        <v>108</v>
      </c>
      <c r="D151" s="43" t="str">
        <f>IF(COUNTA(C151,E151,H151,I151:O151)=0,"",IF(D146="","",D146))</f>
        <v>Active</v>
      </c>
      <c r="E151" s="44"/>
      <c r="F151" s="139" t="str">
        <f>IF(_xlfn.ISFORMULA(G151),"",IF(AND(E151&lt;&gt;"",N(G151)&gt;0),E151+7*G151-1,""))</f>
        <v/>
      </c>
      <c r="G151" s="136" t="str">
        <f t="shared" si="110"/>
        <v/>
      </c>
      <c r="H151" s="127">
        <v>3500</v>
      </c>
      <c r="I151" s="148"/>
      <c r="J151" s="148"/>
      <c r="K151" s="148"/>
      <c r="L151" s="148"/>
      <c r="M151" s="148"/>
      <c r="N151" s="148"/>
      <c r="O151" s="148"/>
      <c r="P151" s="144">
        <f t="shared" si="111"/>
        <v>0</v>
      </c>
      <c r="Q151" s="144" cm="1">
        <f t="array" ref="Q151">IF(OR(A151="",E151="",F151=""),0,SUMPRODUCT((tlNo=A151)*(Timeline!$H$18:$BG$18+6&gt;=E151)*(Timeline!$H$18:$BG$18&lt;=F151)*Timeline!$H$20:$BG$378))</f>
        <v>0</v>
      </c>
      <c r="R151" s="144">
        <f t="shared" si="99"/>
        <v>0</v>
      </c>
      <c r="S151" s="144">
        <f>SUMIF($I$3:$O$3,Assumptions!$A$15,$I151:$O151)*N($G151)</f>
        <v>0</v>
      </c>
      <c r="T151" s="144">
        <f>SUMIF($I$3:$O$3,Assumptions!$A$16,$I151:$O151)*N($G151)</f>
        <v>0</v>
      </c>
      <c r="U151" s="144">
        <f>SUMIF($I$3:$O$3,Assumptions!$A$17,$I151:$O151)*N($G151)</f>
        <v>0</v>
      </c>
      <c r="V151" s="144">
        <f>SUMIF($I$3:$O$3,Assumptions!$A$18,$I151:$O151)*N($G151)</f>
        <v>0</v>
      </c>
      <c r="W151" s="144">
        <f>SUMIF($I$3:$O$3,Assumptions!$A$19,$I151:$O151)*N($G151)</f>
        <v>0</v>
      </c>
      <c r="X151" s="145">
        <f>S151*Assumptions!$B$15+T151*Assumptions!$B$16+U151*Assumptions!$B$17+V151*Assumptions!$B$18+W151*Assumptions!$B$19</f>
        <v>0</v>
      </c>
      <c r="Y151" s="145">
        <f t="shared" si="112"/>
        <v>3500</v>
      </c>
      <c r="Z151" s="146">
        <f t="shared" si="113"/>
        <v>0</v>
      </c>
      <c r="AA151" s="146">
        <f>IF(D151="Active",1,IF(D151="Prospective",IF(Assumptions!$B$6="Active only",0,Assumptions!$B$7),0))</f>
        <v>1</v>
      </c>
      <c r="AB151" s="147" t="str">
        <f t="shared" si="114"/>
        <v>Enter dates</v>
      </c>
      <c r="AC151" s="152" t="s">
        <v>103</v>
      </c>
      <c r="AD151" s="156">
        <f t="shared" si="100"/>
        <v>0</v>
      </c>
    </row>
    <row r="152" spans="1:30" outlineLevel="1" x14ac:dyDescent="0.25">
      <c r="A152" s="51">
        <f>IF(A146="","",A146)</f>
        <v>2584</v>
      </c>
      <c r="B152" s="41" t="str">
        <f>IF(B146="","",B146)</f>
        <v>Hollis Campus Plan</v>
      </c>
      <c r="C152" s="42" t="s">
        <v>110</v>
      </c>
      <c r="D152" s="43" t="str">
        <f>IF(COUNTA(C152,E152,H152,I152:O152)=0,"",IF(D146="","",D146))</f>
        <v>Active</v>
      </c>
      <c r="E152" s="44"/>
      <c r="F152" s="139" t="str">
        <f>IF(_xlfn.ISFORMULA(G152),"",IF(AND(E152&lt;&gt;"",N(G152)&gt;0),E152+7*G152-1,""))</f>
        <v/>
      </c>
      <c r="G152" s="136" t="str">
        <f t="shared" si="110"/>
        <v/>
      </c>
      <c r="H152" s="127">
        <v>15000</v>
      </c>
      <c r="I152" s="148"/>
      <c r="J152" s="148"/>
      <c r="K152" s="148"/>
      <c r="L152" s="148"/>
      <c r="M152" s="148"/>
      <c r="N152" s="148"/>
      <c r="O152" s="148"/>
      <c r="P152" s="144">
        <f t="shared" si="111"/>
        <v>0</v>
      </c>
      <c r="Q152" s="144" cm="1">
        <f t="array" ref="Q152">IF(OR(A152="",E152="",F152=""),0,SUMPRODUCT((tlNo=A152)*(Timeline!$H$18:$BG$18+6&gt;=E152)*(Timeline!$H$18:$BG$18&lt;=F152)*Timeline!$H$20:$BG$378))</f>
        <v>0</v>
      </c>
      <c r="R152" s="144">
        <f t="shared" si="99"/>
        <v>0</v>
      </c>
      <c r="S152" s="144">
        <f>SUMIF($I$3:$O$3,Assumptions!$A$15,$I152:$O152)*N($G152)</f>
        <v>0</v>
      </c>
      <c r="T152" s="144">
        <f>SUMIF($I$3:$O$3,Assumptions!$A$16,$I152:$O152)*N($G152)</f>
        <v>0</v>
      </c>
      <c r="U152" s="144">
        <f>SUMIF($I$3:$O$3,Assumptions!$A$17,$I152:$O152)*N($G152)</f>
        <v>0</v>
      </c>
      <c r="V152" s="144">
        <f>SUMIF($I$3:$O$3,Assumptions!$A$18,$I152:$O152)*N($G152)</f>
        <v>0</v>
      </c>
      <c r="W152" s="144">
        <f>SUMIF($I$3:$O$3,Assumptions!$A$19,$I152:$O152)*N($G152)</f>
        <v>0</v>
      </c>
      <c r="X152" s="145">
        <f>S152*Assumptions!$B$15+T152*Assumptions!$B$16+U152*Assumptions!$B$17+V152*Assumptions!$B$18+W152*Assumptions!$B$19</f>
        <v>0</v>
      </c>
      <c r="Y152" s="145">
        <f t="shared" si="112"/>
        <v>15000</v>
      </c>
      <c r="Z152" s="146">
        <f t="shared" si="113"/>
        <v>0</v>
      </c>
      <c r="AA152" s="146">
        <f>IF(D152="Active",1,IF(D152="Prospective",IF(Assumptions!$B$6="Active only",0,Assumptions!$B$7),0))</f>
        <v>1</v>
      </c>
      <c r="AB152" s="147" t="str">
        <f t="shared" si="114"/>
        <v>Enter dates</v>
      </c>
      <c r="AC152" s="152" t="s">
        <v>103</v>
      </c>
      <c r="AD152" s="156">
        <f t="shared" si="100"/>
        <v>0</v>
      </c>
    </row>
    <row r="153" spans="1:30" x14ac:dyDescent="0.25">
      <c r="A153" s="59">
        <v>2622</v>
      </c>
      <c r="B153" s="207" t="s">
        <v>210</v>
      </c>
      <c r="C153" s="61" t="s">
        <v>129</v>
      </c>
      <c r="D153" s="62" t="s">
        <v>33</v>
      </c>
      <c r="E153" s="63">
        <f>IF(COUNT(E154:E156)=0,"",MIN(E154:E156))</f>
        <v>46300</v>
      </c>
      <c r="F153" s="63">
        <f>IF(COUNT(F154:F156)=0,"",MAX(F154:F156))</f>
        <v>46691</v>
      </c>
      <c r="G153" s="134"/>
      <c r="H153" s="125">
        <f>SUM(H154:H156)</f>
        <v>247500</v>
      </c>
      <c r="I153" s="141"/>
      <c r="J153" s="141"/>
      <c r="K153" s="141"/>
      <c r="L153" s="141"/>
      <c r="M153" s="141"/>
      <c r="N153" s="141"/>
      <c r="O153" s="141"/>
      <c r="P153" s="141">
        <f>SUM(P154:P156)</f>
        <v>970</v>
      </c>
      <c r="Q153" s="141">
        <f>SUM(Q154:Q156)</f>
        <v>885</v>
      </c>
      <c r="R153" s="141">
        <f t="shared" si="99"/>
        <v>85</v>
      </c>
      <c r="S153" s="141">
        <f t="shared" ref="S153:X153" si="115">SUM(S154:S156)</f>
        <v>210</v>
      </c>
      <c r="T153" s="141">
        <f t="shared" si="115"/>
        <v>288</v>
      </c>
      <c r="U153" s="141">
        <f t="shared" si="115"/>
        <v>0</v>
      </c>
      <c r="V153" s="141">
        <f t="shared" si="115"/>
        <v>328</v>
      </c>
      <c r="W153" s="141">
        <f t="shared" si="115"/>
        <v>144</v>
      </c>
      <c r="X153" s="142">
        <f t="shared" si="115"/>
        <v>209740</v>
      </c>
      <c r="Y153" s="142">
        <f>H153-X153</f>
        <v>37760</v>
      </c>
      <c r="Z153" s="143">
        <f>IF(H153=0,"",X153/H153)</f>
        <v>0.84743434343434343</v>
      </c>
      <c r="AA153" s="143"/>
      <c r="AB153" s="40" t="str">
        <f>IF(COUNTIF(AB154:AB156,"?*")=0,"No phases yet",IF(COUNTIF(AB154:AB156,"OK")=COUNTIF(AB154:AB156,"?*"),"All OK",(COUNTIF(AB154:AB156,"?*")-COUNTIF(AB154:AB156,"OK"))&amp;" to fix"))</f>
        <v>2 to fix</v>
      </c>
      <c r="AC153" s="52" t="s">
        <v>130</v>
      </c>
      <c r="AD153" s="156">
        <f t="shared" si="100"/>
        <v>0</v>
      </c>
    </row>
    <row r="154" spans="1:30" outlineLevel="2" x14ac:dyDescent="0.25">
      <c r="A154" s="54">
        <f>IF(A153="","",A153)</f>
        <v>2622</v>
      </c>
      <c r="B154" s="55" t="str">
        <f>IF(B153="","",B153)</f>
        <v>Hawthorne Glen Senior Housing</v>
      </c>
      <c r="C154" s="56" t="s">
        <v>106</v>
      </c>
      <c r="D154" s="57" t="str">
        <f>IF(COUNTA(C154,E154,H154,I154:O154)=0,"",IF(D153="","",D153))</f>
        <v>Active</v>
      </c>
      <c r="E154" s="58">
        <v>46300</v>
      </c>
      <c r="F154" s="58">
        <v>46328</v>
      </c>
      <c r="G154" s="135">
        <f>IF(OR(E154="",F154=""),"",IF(F154&lt;E154,"",ROUNDUP((F154-E154+1)/7,0)))</f>
        <v>5</v>
      </c>
      <c r="H154" s="126">
        <v>58500</v>
      </c>
      <c r="I154" s="148">
        <v>8</v>
      </c>
      <c r="J154" s="148">
        <v>8</v>
      </c>
      <c r="K154" s="148">
        <v>16</v>
      </c>
      <c r="L154" s="148"/>
      <c r="M154" s="148"/>
      <c r="N154" s="148">
        <v>24</v>
      </c>
      <c r="O154" s="148">
        <v>8</v>
      </c>
      <c r="P154" s="144">
        <f>SUM(I154:O154)*N(G154)</f>
        <v>320</v>
      </c>
      <c r="Q154" s="144" cm="1">
        <f t="array" ref="Q154">IF(OR(A154="",E154="",F154=""),0,SUMPRODUCT((tlNo=A154)*(Timeline!$H$18:$BG$18+6&gt;=E154)*(Timeline!$H$18:$BG$18&lt;=F154)*Timeline!$H$20:$BG$378))</f>
        <v>320</v>
      </c>
      <c r="R154" s="144">
        <f t="shared" si="99"/>
        <v>0</v>
      </c>
      <c r="S154" s="144">
        <f>SUMIF($I$3:$O$3,Assumptions!$A$15,$I154:$O154)*N($G154)</f>
        <v>80</v>
      </c>
      <c r="T154" s="144">
        <f>SUMIF($I$3:$O$3,Assumptions!$A$16,$I154:$O154)*N($G154)</f>
        <v>80</v>
      </c>
      <c r="U154" s="144">
        <f>SUMIF($I$3:$O$3,Assumptions!$A$17,$I154:$O154)*N($G154)</f>
        <v>0</v>
      </c>
      <c r="V154" s="144">
        <f>SUMIF($I$3:$O$3,Assumptions!$A$18,$I154:$O154)*N($G154)</f>
        <v>120</v>
      </c>
      <c r="W154" s="144">
        <f>SUMIF($I$3:$O$3,Assumptions!$A$19,$I154:$O154)*N($G154)</f>
        <v>40</v>
      </c>
      <c r="X154" s="145">
        <f>S154*Assumptions!$B$15+T154*Assumptions!$B$16+U154*Assumptions!$B$17+V154*Assumptions!$B$18+W154*Assumptions!$B$19</f>
        <v>69600</v>
      </c>
      <c r="Y154" s="145">
        <f>IF(D154="","",H154-X154)</f>
        <v>-11100</v>
      </c>
      <c r="Z154" s="146">
        <f>IF(OR(D154="",H154=0),"",X154/H154)</f>
        <v>1.1897435897435897</v>
      </c>
      <c r="AA154" s="146">
        <f>IF(D154="Active",1,IF(D154="Prospective",IF(Assumptions!$B$6="Active only",0,Assumptions!$B$7),0))</f>
        <v>1</v>
      </c>
      <c r="AB154" s="147" t="str">
        <f>IF(COUNTA(C154,E154,H154,I154:O154)=0,"",IF(C154="","Select phase",IF(OR(E154="",F154=""),"Enter dates",IF(F154&lt;E154,"End before start",IF(H154="","Enter phase fee",IF(P154=0,"Enter staff hours",IF(R154&lt;0,"Over-mapped on Timeline",IF(R154&gt;0,"Map hours on Timeline","OK"))))))))</f>
        <v>OK</v>
      </c>
      <c r="AC154" s="152" t="s">
        <v>103</v>
      </c>
      <c r="AD154" s="156">
        <f t="shared" si="100"/>
        <v>5</v>
      </c>
    </row>
    <row r="155" spans="1:30" outlineLevel="2" x14ac:dyDescent="0.25">
      <c r="A155" s="51">
        <f>IF(A153="","",A153)</f>
        <v>2622</v>
      </c>
      <c r="B155" s="41" t="str">
        <f>IF(B153="","",B153)</f>
        <v>Hawthorne Glen Senior Housing</v>
      </c>
      <c r="C155" s="42" t="s">
        <v>107</v>
      </c>
      <c r="D155" s="43" t="str">
        <f>IF(COUNTA(C155,E155,H155,I155:O155)=0,"",IF(D153="","",D153))</f>
        <v>Active</v>
      </c>
      <c r="E155" s="44">
        <v>46328</v>
      </c>
      <c r="F155" s="139">
        <f>IF(_xlfn.ISFORMULA(G155),"",IF(AND(E155&lt;&gt;"",N(G155)&gt;0),E155+7*G155-1,""))</f>
        <v>46691</v>
      </c>
      <c r="G155" s="136">
        <v>52</v>
      </c>
      <c r="H155" s="127">
        <v>111500</v>
      </c>
      <c r="I155" s="148">
        <v>1</v>
      </c>
      <c r="J155" s="148">
        <v>1.5</v>
      </c>
      <c r="K155" s="148">
        <v>4</v>
      </c>
      <c r="L155" s="148"/>
      <c r="M155" s="148"/>
      <c r="N155" s="148">
        <v>4</v>
      </c>
      <c r="O155" s="148">
        <v>2</v>
      </c>
      <c r="P155" s="144">
        <f>SUM(I155:O155)*N(G155)</f>
        <v>650</v>
      </c>
      <c r="Q155" s="144" cm="1">
        <f t="array" ref="Q155">IF(OR(A155="",E155="",F155=""),0,SUMPRODUCT((tlNo=A155)*(Timeline!$H$18:$BG$18+6&gt;=E155)*(Timeline!$H$18:$BG$18&lt;=F155)*Timeline!$H$20:$BG$378))</f>
        <v>565</v>
      </c>
      <c r="R155" s="144">
        <f t="shared" si="99"/>
        <v>85</v>
      </c>
      <c r="S155" s="144">
        <f>SUMIF($I$3:$O$3,Assumptions!$A$15,$I155:$O155)*N($G155)</f>
        <v>130</v>
      </c>
      <c r="T155" s="144">
        <f>SUMIF($I$3:$O$3,Assumptions!$A$16,$I155:$O155)*N($G155)</f>
        <v>208</v>
      </c>
      <c r="U155" s="144">
        <f>SUMIF($I$3:$O$3,Assumptions!$A$17,$I155:$O155)*N($G155)</f>
        <v>0</v>
      </c>
      <c r="V155" s="144">
        <f>SUMIF($I$3:$O$3,Assumptions!$A$18,$I155:$O155)*N($G155)</f>
        <v>208</v>
      </c>
      <c r="W155" s="144">
        <f>SUMIF($I$3:$O$3,Assumptions!$A$19,$I155:$O155)*N($G155)</f>
        <v>104</v>
      </c>
      <c r="X155" s="145">
        <f>S155*Assumptions!$B$15+T155*Assumptions!$B$16+U155*Assumptions!$B$17+V155*Assumptions!$B$18+W155*Assumptions!$B$19</f>
        <v>140140</v>
      </c>
      <c r="Y155" s="145">
        <f>IF(D155="","",H155-X155)</f>
        <v>-28640</v>
      </c>
      <c r="Z155" s="146">
        <f>IF(OR(D155="",H155=0),"",X155/H155)</f>
        <v>1.2568609865470852</v>
      </c>
      <c r="AA155" s="146">
        <f>IF(D155="Active",1,IF(D155="Prospective",IF(Assumptions!$B$6="Active only",0,Assumptions!$B$7),0))</f>
        <v>1</v>
      </c>
      <c r="AB155" s="147" t="str">
        <f>IF(COUNTA(C155,E155,H155,I155:O155)=0,"",IF(C155="","Select phase",IF(OR(E155="",F155=""),"Enter dates",IF(F155&lt;E155,"End before start",IF(H155="","Enter phase fee",IF(P155=0,"Enter staff hours",IF(R155&lt;0,"Over-mapped on Timeline",IF(R155&gt;0,"Map hours on Timeline","OK"))))))))</f>
        <v>Map hours on Timeline</v>
      </c>
      <c r="AC155" s="152" t="s">
        <v>103</v>
      </c>
      <c r="AD155" s="156">
        <f t="shared" si="100"/>
        <v>52</v>
      </c>
    </row>
    <row r="156" spans="1:30" outlineLevel="2" x14ac:dyDescent="0.25">
      <c r="A156" s="51">
        <f>IF(A153="","",A153)</f>
        <v>2622</v>
      </c>
      <c r="B156" s="41" t="str">
        <f>IF(B153="","",B153)</f>
        <v>Hawthorne Glen Senior Housing</v>
      </c>
      <c r="C156" s="42" t="s">
        <v>110</v>
      </c>
      <c r="D156" s="43" t="str">
        <f>IF(COUNTA(C156,E156,H156,I156:O156)=0,"",IF(D153="","",D153))</f>
        <v>Active</v>
      </c>
      <c r="E156" s="44"/>
      <c r="F156" s="139" t="str">
        <f>IF(_xlfn.ISFORMULA(G156),"",IF(AND(E156&lt;&gt;"",N(G156)&gt;0),E156+7*G156-1,""))</f>
        <v/>
      </c>
      <c r="G156" s="136" t="str">
        <f>IF(OR(E156="",F156=""),"",IF(F156&lt;E156,"",ROUNDUP((F156-E156+1)/7,0)))</f>
        <v/>
      </c>
      <c r="H156" s="127">
        <v>77500</v>
      </c>
      <c r="I156" s="148"/>
      <c r="J156" s="148"/>
      <c r="K156" s="148"/>
      <c r="L156" s="148"/>
      <c r="M156" s="148"/>
      <c r="N156" s="148"/>
      <c r="O156" s="148"/>
      <c r="P156" s="144">
        <f>SUM(I156:O156)*N(G156)</f>
        <v>0</v>
      </c>
      <c r="Q156" s="144" cm="1">
        <f t="array" ref="Q156">IF(OR(A156="",E156="",F156=""),0,SUMPRODUCT((tlNo=A156)*(Timeline!$H$18:$BG$18+6&gt;=E156)*(Timeline!$H$18:$BG$18&lt;=F156)*Timeline!$H$20:$BG$378))</f>
        <v>0</v>
      </c>
      <c r="R156" s="144">
        <f t="shared" si="99"/>
        <v>0</v>
      </c>
      <c r="S156" s="144">
        <f>SUMIF($I$3:$O$3,Assumptions!$A$15,$I156:$O156)*N($G156)</f>
        <v>0</v>
      </c>
      <c r="T156" s="144">
        <f>SUMIF($I$3:$O$3,Assumptions!$A$16,$I156:$O156)*N($G156)</f>
        <v>0</v>
      </c>
      <c r="U156" s="144">
        <f>SUMIF($I$3:$O$3,Assumptions!$A$17,$I156:$O156)*N($G156)</f>
        <v>0</v>
      </c>
      <c r="V156" s="144">
        <f>SUMIF($I$3:$O$3,Assumptions!$A$18,$I156:$O156)*N($G156)</f>
        <v>0</v>
      </c>
      <c r="W156" s="144">
        <f>SUMIF($I$3:$O$3,Assumptions!$A$19,$I156:$O156)*N($G156)</f>
        <v>0</v>
      </c>
      <c r="X156" s="145">
        <f>S156*Assumptions!$B$15+T156*Assumptions!$B$16+U156*Assumptions!$B$17+V156*Assumptions!$B$18+W156*Assumptions!$B$19</f>
        <v>0</v>
      </c>
      <c r="Y156" s="145">
        <f>IF(D156="","",H156-X156)</f>
        <v>77500</v>
      </c>
      <c r="Z156" s="146">
        <f>IF(OR(D156="",H156=0),"",X156/H156)</f>
        <v>0</v>
      </c>
      <c r="AA156" s="146">
        <f>IF(D156="Active",1,IF(D156="Prospective",IF(Assumptions!$B$6="Active only",0,Assumptions!$B$7),0))</f>
        <v>1</v>
      </c>
      <c r="AB156" s="147" t="str">
        <f>IF(COUNTA(C156,E156,H156,I156:O156)=0,"",IF(C156="","Select phase",IF(OR(E156="",F156=""),"Enter dates",IF(F156&lt;E156,"End before start",IF(H156="","Enter phase fee",IF(P156=0,"Enter staff hours",IF(R156&lt;0,"Over-mapped on Timeline",IF(R156&gt;0,"Map hours on Timeline","OK"))))))))</f>
        <v>Enter dates</v>
      </c>
      <c r="AC156" s="152" t="s">
        <v>103</v>
      </c>
      <c r="AD156" s="156">
        <f t="shared" si="100"/>
        <v>0</v>
      </c>
    </row>
    <row r="157" spans="1:30" x14ac:dyDescent="0.25">
      <c r="A157" s="59">
        <v>2626</v>
      </c>
      <c r="B157" s="207" t="s">
        <v>211</v>
      </c>
      <c r="C157" s="61" t="s">
        <v>129</v>
      </c>
      <c r="D157" s="62" t="s">
        <v>33</v>
      </c>
      <c r="E157" s="63" t="str">
        <f>IF(COUNT(E158:E165)=0,"",MIN(E158:E165))</f>
        <v/>
      </c>
      <c r="F157" s="63" t="str">
        <f>IF(COUNT(F158:F165)=0,"",MAX(F158:F165))</f>
        <v/>
      </c>
      <c r="G157" s="134"/>
      <c r="H157" s="125">
        <f>SUM(H158:H165)</f>
        <v>0</v>
      </c>
      <c r="I157" s="141"/>
      <c r="J157" s="141"/>
      <c r="K157" s="141"/>
      <c r="L157" s="141"/>
      <c r="M157" s="141"/>
      <c r="N157" s="141"/>
      <c r="O157" s="141"/>
      <c r="P157" s="141">
        <f>SUM(P158:P165)</f>
        <v>0</v>
      </c>
      <c r="Q157" s="141">
        <f>SUM(Q158:Q165)</f>
        <v>0</v>
      </c>
      <c r="R157" s="141">
        <f t="shared" si="99"/>
        <v>0</v>
      </c>
      <c r="S157" s="141">
        <f t="shared" ref="S157:X157" si="116">SUM(S158:S165)</f>
        <v>0</v>
      </c>
      <c r="T157" s="141">
        <f t="shared" si="116"/>
        <v>0</v>
      </c>
      <c r="U157" s="141">
        <f t="shared" si="116"/>
        <v>0</v>
      </c>
      <c r="V157" s="141">
        <f t="shared" si="116"/>
        <v>0</v>
      </c>
      <c r="W157" s="141">
        <f t="shared" si="116"/>
        <v>0</v>
      </c>
      <c r="X157" s="142">
        <f t="shared" si="116"/>
        <v>0</v>
      </c>
      <c r="Y157" s="142">
        <f>H157-X157</f>
        <v>0</v>
      </c>
      <c r="Z157" s="143" t="str">
        <f>IF(H157=0,"",X157/H157)</f>
        <v/>
      </c>
      <c r="AA157" s="143"/>
      <c r="AB157" s="40" t="str">
        <f>IF(COUNTIF(AB158:AB165,"?*")=0,"No phases yet",IF(COUNTIF(AB158:AB165,"OK")=COUNTIF(AB158:AB165,"?*"),"All OK",(COUNTIF(AB158:AB165,"?*")-COUNTIF(AB158:AB165,"OK"))&amp;" to fix"))</f>
        <v>No phases yet</v>
      </c>
      <c r="AC157" s="52" t="s">
        <v>130</v>
      </c>
      <c r="AD157" s="156">
        <f t="shared" si="100"/>
        <v>0</v>
      </c>
    </row>
    <row r="158" spans="1:30" hidden="1" outlineLevel="1" x14ac:dyDescent="0.25">
      <c r="A158" s="54">
        <f>IF(A157="","",A157)</f>
        <v>2626</v>
      </c>
      <c r="B158" s="55" t="str">
        <f>IF(B157="","",B157)</f>
        <v>Northgate Courtyard</v>
      </c>
      <c r="C158" s="56"/>
      <c r="D158" s="57" t="str">
        <f>IF(COUNTA(C158,E158,H158,I158:O158)=0,"",IF(D157="","",D157))</f>
        <v/>
      </c>
      <c r="E158" s="58"/>
      <c r="F158" s="138" t="str">
        <f t="shared" ref="F158:F165" si="117">IF(_xlfn.ISFORMULA(G158),"",IF(AND(E158&lt;&gt;"",N(G158)&gt;0),E158+7*G158-1,""))</f>
        <v/>
      </c>
      <c r="G158" s="135" t="str">
        <f t="shared" ref="G158:G165" si="118">IF(OR(E158="",F158=""),"",IF(F158&lt;E158,"",ROUNDUP((F158-E158+1)/7,0)))</f>
        <v/>
      </c>
      <c r="H158" s="126"/>
      <c r="I158" s="148"/>
      <c r="J158" s="148"/>
      <c r="K158" s="148"/>
      <c r="L158" s="148"/>
      <c r="M158" s="148"/>
      <c r="N158" s="148"/>
      <c r="O158" s="148"/>
      <c r="P158" s="144">
        <f t="shared" ref="P158:P165" si="119">SUM(I158:O158)*N(G158)</f>
        <v>0</v>
      </c>
      <c r="Q158" s="144" cm="1">
        <f t="array" ref="Q158">IF(OR(A158="",E158="",F158=""),0,SUMPRODUCT((tlNo=A158)*(Timeline!$H$18:$BG$18+6&gt;=E158)*(Timeline!$H$18:$BG$18&lt;=F158)*Timeline!$H$20:$BG$378))</f>
        <v>0</v>
      </c>
      <c r="R158" s="144">
        <f t="shared" si="99"/>
        <v>0</v>
      </c>
      <c r="S158" s="144">
        <f>SUMIF($I$3:$O$3,Assumptions!$A$15,$I158:$O158)*N($G158)</f>
        <v>0</v>
      </c>
      <c r="T158" s="144">
        <f>SUMIF($I$3:$O$3,Assumptions!$A$16,$I158:$O158)*N($G158)</f>
        <v>0</v>
      </c>
      <c r="U158" s="144">
        <f>SUMIF($I$3:$O$3,Assumptions!$A$17,$I158:$O158)*N($G158)</f>
        <v>0</v>
      </c>
      <c r="V158" s="144">
        <f>SUMIF($I$3:$O$3,Assumptions!$A$18,$I158:$O158)*N($G158)</f>
        <v>0</v>
      </c>
      <c r="W158" s="144">
        <f>SUMIF($I$3:$O$3,Assumptions!$A$19,$I158:$O158)*N($G158)</f>
        <v>0</v>
      </c>
      <c r="X158" s="145">
        <f>S158*Assumptions!$B$15+T158*Assumptions!$B$16+U158*Assumptions!$B$17+V158*Assumptions!$B$18+W158*Assumptions!$B$19</f>
        <v>0</v>
      </c>
      <c r="Y158" s="145" t="str">
        <f t="shared" ref="Y158:Y165" si="120">IF(D158="","",H158-X158)</f>
        <v/>
      </c>
      <c r="Z158" s="146" t="str">
        <f t="shared" ref="Z158:Z165" si="121">IF(OR(D158="",H158=0),"",X158/H158)</f>
        <v/>
      </c>
      <c r="AA158" s="146">
        <f>IF(D158="Active",1,IF(D158="Prospective",IF(Assumptions!$B$6="Active only",0,Assumptions!$B$7),0))</f>
        <v>0</v>
      </c>
      <c r="AB158" s="147" t="str">
        <f t="shared" ref="AB158:AB165" si="122">IF(COUNTA(C158,E158,H158,I158:O158)=0,"",IF(C158="","Select phase",IF(OR(E158="",F158=""),"Enter dates",IF(F158&lt;E158,"End before start",IF(H158="","Enter phase fee",IF(P158=0,"Enter staff hours",IF(R158&lt;0,"Over-mapped on Timeline",IF(R158&gt;0,"Map hours on Timeline","OK"))))))))</f>
        <v/>
      </c>
      <c r="AC158" s="152" t="s">
        <v>103</v>
      </c>
      <c r="AD158" s="156">
        <f t="shared" si="100"/>
        <v>0</v>
      </c>
    </row>
    <row r="159" spans="1:30" hidden="1" outlineLevel="1" x14ac:dyDescent="0.25">
      <c r="A159" s="51">
        <f>IF(A157="","",A157)</f>
        <v>2626</v>
      </c>
      <c r="B159" s="41" t="str">
        <f>IF(B157="","",B157)</f>
        <v>Northgate Courtyard</v>
      </c>
      <c r="C159" s="42"/>
      <c r="D159" s="43" t="str">
        <f>IF(COUNTA(C159,E159,H159,I159:O159)=0,"",IF(D157="","",D157))</f>
        <v/>
      </c>
      <c r="E159" s="44"/>
      <c r="F159" s="139" t="str">
        <f t="shared" si="117"/>
        <v/>
      </c>
      <c r="G159" s="136" t="str">
        <f t="shared" si="118"/>
        <v/>
      </c>
      <c r="H159" s="127"/>
      <c r="I159" s="148"/>
      <c r="J159" s="148"/>
      <c r="K159" s="148"/>
      <c r="L159" s="148"/>
      <c r="M159" s="148"/>
      <c r="N159" s="148"/>
      <c r="O159" s="148"/>
      <c r="P159" s="144">
        <f t="shared" si="119"/>
        <v>0</v>
      </c>
      <c r="Q159" s="144" cm="1">
        <f t="array" ref="Q159">IF(OR(A159="",E159="",F159=""),0,SUMPRODUCT((tlNo=A159)*(Timeline!$H$18:$BG$18+6&gt;=E159)*(Timeline!$H$18:$BG$18&lt;=F159)*Timeline!$H$20:$BG$378))</f>
        <v>0</v>
      </c>
      <c r="R159" s="144">
        <f t="shared" si="99"/>
        <v>0</v>
      </c>
      <c r="S159" s="144">
        <f>SUMIF($I$3:$O$3,Assumptions!$A$15,$I159:$O159)*N($G159)</f>
        <v>0</v>
      </c>
      <c r="T159" s="144">
        <f>SUMIF($I$3:$O$3,Assumptions!$A$16,$I159:$O159)*N($G159)</f>
        <v>0</v>
      </c>
      <c r="U159" s="144">
        <f>SUMIF($I$3:$O$3,Assumptions!$A$17,$I159:$O159)*N($G159)</f>
        <v>0</v>
      </c>
      <c r="V159" s="144">
        <f>SUMIF($I$3:$O$3,Assumptions!$A$18,$I159:$O159)*N($G159)</f>
        <v>0</v>
      </c>
      <c r="W159" s="144">
        <f>SUMIF($I$3:$O$3,Assumptions!$A$19,$I159:$O159)*N($G159)</f>
        <v>0</v>
      </c>
      <c r="X159" s="145">
        <f>S159*Assumptions!$B$15+T159*Assumptions!$B$16+U159*Assumptions!$B$17+V159*Assumptions!$B$18+W159*Assumptions!$B$19</f>
        <v>0</v>
      </c>
      <c r="Y159" s="145" t="str">
        <f t="shared" si="120"/>
        <v/>
      </c>
      <c r="Z159" s="146" t="str">
        <f t="shared" si="121"/>
        <v/>
      </c>
      <c r="AA159" s="146">
        <f>IF(D159="Active",1,IF(D159="Prospective",IF(Assumptions!$B$6="Active only",0,Assumptions!$B$7),0))</f>
        <v>0</v>
      </c>
      <c r="AB159" s="147" t="str">
        <f t="shared" si="122"/>
        <v/>
      </c>
      <c r="AC159" s="152" t="s">
        <v>103</v>
      </c>
      <c r="AD159" s="156">
        <f t="shared" si="100"/>
        <v>0</v>
      </c>
    </row>
    <row r="160" spans="1:30" hidden="1" outlineLevel="1" x14ac:dyDescent="0.25">
      <c r="A160" s="51">
        <f>IF(A157="","",A157)</f>
        <v>2626</v>
      </c>
      <c r="B160" s="41" t="str">
        <f>IF(B157="","",B157)</f>
        <v>Northgate Courtyard</v>
      </c>
      <c r="C160" s="42"/>
      <c r="D160" s="43" t="str">
        <f>IF(COUNTA(C160,E160,H160,I160:O160)=0,"",IF(D157="","",D157))</f>
        <v/>
      </c>
      <c r="E160" s="44"/>
      <c r="F160" s="139" t="str">
        <f t="shared" si="117"/>
        <v/>
      </c>
      <c r="G160" s="136" t="str">
        <f t="shared" si="118"/>
        <v/>
      </c>
      <c r="H160" s="127"/>
      <c r="I160" s="148"/>
      <c r="J160" s="148"/>
      <c r="K160" s="148"/>
      <c r="L160" s="148"/>
      <c r="M160" s="148"/>
      <c r="N160" s="148"/>
      <c r="O160" s="148"/>
      <c r="P160" s="144">
        <f t="shared" si="119"/>
        <v>0</v>
      </c>
      <c r="Q160" s="144" cm="1">
        <f t="array" ref="Q160">IF(OR(A160="",E160="",F160=""),0,SUMPRODUCT((tlNo=A160)*(Timeline!$H$18:$BG$18+6&gt;=E160)*(Timeline!$H$18:$BG$18&lt;=F160)*Timeline!$H$20:$BG$378))</f>
        <v>0</v>
      </c>
      <c r="R160" s="144">
        <f t="shared" si="99"/>
        <v>0</v>
      </c>
      <c r="S160" s="144">
        <f>SUMIF($I$3:$O$3,Assumptions!$A$15,$I160:$O160)*N($G160)</f>
        <v>0</v>
      </c>
      <c r="T160" s="144">
        <f>SUMIF($I$3:$O$3,Assumptions!$A$16,$I160:$O160)*N($G160)</f>
        <v>0</v>
      </c>
      <c r="U160" s="144">
        <f>SUMIF($I$3:$O$3,Assumptions!$A$17,$I160:$O160)*N($G160)</f>
        <v>0</v>
      </c>
      <c r="V160" s="144">
        <f>SUMIF($I$3:$O$3,Assumptions!$A$18,$I160:$O160)*N($G160)</f>
        <v>0</v>
      </c>
      <c r="W160" s="144">
        <f>SUMIF($I$3:$O$3,Assumptions!$A$19,$I160:$O160)*N($G160)</f>
        <v>0</v>
      </c>
      <c r="X160" s="145">
        <f>S160*Assumptions!$B$15+T160*Assumptions!$B$16+U160*Assumptions!$B$17+V160*Assumptions!$B$18+W160*Assumptions!$B$19</f>
        <v>0</v>
      </c>
      <c r="Y160" s="145" t="str">
        <f t="shared" si="120"/>
        <v/>
      </c>
      <c r="Z160" s="146" t="str">
        <f t="shared" si="121"/>
        <v/>
      </c>
      <c r="AA160" s="146">
        <f>IF(D160="Active",1,IF(D160="Prospective",IF(Assumptions!$B$6="Active only",0,Assumptions!$B$7),0))</f>
        <v>0</v>
      </c>
      <c r="AB160" s="147" t="str">
        <f t="shared" si="122"/>
        <v/>
      </c>
      <c r="AC160" s="152" t="s">
        <v>103</v>
      </c>
      <c r="AD160" s="156">
        <f t="shared" si="100"/>
        <v>0</v>
      </c>
    </row>
    <row r="161" spans="1:30" hidden="1" outlineLevel="1" x14ac:dyDescent="0.25">
      <c r="A161" s="51">
        <f>IF(A157="","",A157)</f>
        <v>2626</v>
      </c>
      <c r="B161" s="41" t="str">
        <f>IF(B157="","",B157)</f>
        <v>Northgate Courtyard</v>
      </c>
      <c r="C161" s="42"/>
      <c r="D161" s="43" t="str">
        <f>IF(COUNTA(C161,E161,H161,I161:O161)=0,"",IF(D157="","",D157))</f>
        <v/>
      </c>
      <c r="E161" s="44"/>
      <c r="F161" s="139" t="str">
        <f t="shared" si="117"/>
        <v/>
      </c>
      <c r="G161" s="136" t="str">
        <f t="shared" si="118"/>
        <v/>
      </c>
      <c r="H161" s="127"/>
      <c r="I161" s="148"/>
      <c r="J161" s="148"/>
      <c r="K161" s="148"/>
      <c r="L161" s="148"/>
      <c r="M161" s="148"/>
      <c r="N161" s="148"/>
      <c r="O161" s="148"/>
      <c r="P161" s="144">
        <f t="shared" si="119"/>
        <v>0</v>
      </c>
      <c r="Q161" s="144" cm="1">
        <f t="array" ref="Q161">IF(OR(A161="",E161="",F161=""),0,SUMPRODUCT((tlNo=A161)*(Timeline!$H$18:$BG$18+6&gt;=E161)*(Timeline!$H$18:$BG$18&lt;=F161)*Timeline!$H$20:$BG$378))</f>
        <v>0</v>
      </c>
      <c r="R161" s="144">
        <f t="shared" si="99"/>
        <v>0</v>
      </c>
      <c r="S161" s="144">
        <f>SUMIF($I$3:$O$3,Assumptions!$A$15,$I161:$O161)*N($G161)</f>
        <v>0</v>
      </c>
      <c r="T161" s="144">
        <f>SUMIF($I$3:$O$3,Assumptions!$A$16,$I161:$O161)*N($G161)</f>
        <v>0</v>
      </c>
      <c r="U161" s="144">
        <f>SUMIF($I$3:$O$3,Assumptions!$A$17,$I161:$O161)*N($G161)</f>
        <v>0</v>
      </c>
      <c r="V161" s="144">
        <f>SUMIF($I$3:$O$3,Assumptions!$A$18,$I161:$O161)*N($G161)</f>
        <v>0</v>
      </c>
      <c r="W161" s="144">
        <f>SUMIF($I$3:$O$3,Assumptions!$A$19,$I161:$O161)*N($G161)</f>
        <v>0</v>
      </c>
      <c r="X161" s="145">
        <f>S161*Assumptions!$B$15+T161*Assumptions!$B$16+U161*Assumptions!$B$17+V161*Assumptions!$B$18+W161*Assumptions!$B$19</f>
        <v>0</v>
      </c>
      <c r="Y161" s="145" t="str">
        <f t="shared" si="120"/>
        <v/>
      </c>
      <c r="Z161" s="146" t="str">
        <f t="shared" si="121"/>
        <v/>
      </c>
      <c r="AA161" s="146">
        <f>IF(D161="Active",1,IF(D161="Prospective",IF(Assumptions!$B$6="Active only",0,Assumptions!$B$7),0))</f>
        <v>0</v>
      </c>
      <c r="AB161" s="147" t="str">
        <f t="shared" si="122"/>
        <v/>
      </c>
      <c r="AC161" s="152" t="s">
        <v>103</v>
      </c>
      <c r="AD161" s="156">
        <f t="shared" si="100"/>
        <v>0</v>
      </c>
    </row>
    <row r="162" spans="1:30" hidden="1" outlineLevel="1" x14ac:dyDescent="0.25">
      <c r="A162" s="51">
        <f>IF(A157="","",A157)</f>
        <v>2626</v>
      </c>
      <c r="B162" s="41" t="str">
        <f>IF(B157="","",B157)</f>
        <v>Northgate Courtyard</v>
      </c>
      <c r="C162" s="42"/>
      <c r="D162" s="43" t="str">
        <f>IF(COUNTA(C162,E162,H162,I162:O162)=0,"",IF(D157="","",D157))</f>
        <v/>
      </c>
      <c r="E162" s="44"/>
      <c r="F162" s="139" t="str">
        <f t="shared" si="117"/>
        <v/>
      </c>
      <c r="G162" s="136" t="str">
        <f t="shared" si="118"/>
        <v/>
      </c>
      <c r="H162" s="127"/>
      <c r="I162" s="148"/>
      <c r="J162" s="148"/>
      <c r="K162" s="148"/>
      <c r="L162" s="148"/>
      <c r="M162" s="148"/>
      <c r="N162" s="148"/>
      <c r="O162" s="148"/>
      <c r="P162" s="144">
        <f t="shared" si="119"/>
        <v>0</v>
      </c>
      <c r="Q162" s="144" cm="1">
        <f t="array" ref="Q162">IF(OR(A162="",E162="",F162=""),0,SUMPRODUCT((tlNo=A162)*(Timeline!$H$18:$BG$18+6&gt;=E162)*(Timeline!$H$18:$BG$18&lt;=F162)*Timeline!$H$20:$BG$378))</f>
        <v>0</v>
      </c>
      <c r="R162" s="144">
        <f t="shared" si="99"/>
        <v>0</v>
      </c>
      <c r="S162" s="144">
        <f>SUMIF($I$3:$O$3,Assumptions!$A$15,$I162:$O162)*N($G162)</f>
        <v>0</v>
      </c>
      <c r="T162" s="144">
        <f>SUMIF($I$3:$O$3,Assumptions!$A$16,$I162:$O162)*N($G162)</f>
        <v>0</v>
      </c>
      <c r="U162" s="144">
        <f>SUMIF($I$3:$O$3,Assumptions!$A$17,$I162:$O162)*N($G162)</f>
        <v>0</v>
      </c>
      <c r="V162" s="144">
        <f>SUMIF($I$3:$O$3,Assumptions!$A$18,$I162:$O162)*N($G162)</f>
        <v>0</v>
      </c>
      <c r="W162" s="144">
        <f>SUMIF($I$3:$O$3,Assumptions!$A$19,$I162:$O162)*N($G162)</f>
        <v>0</v>
      </c>
      <c r="X162" s="145">
        <f>S162*Assumptions!$B$15+T162*Assumptions!$B$16+U162*Assumptions!$B$17+V162*Assumptions!$B$18+W162*Assumptions!$B$19</f>
        <v>0</v>
      </c>
      <c r="Y162" s="145" t="str">
        <f t="shared" si="120"/>
        <v/>
      </c>
      <c r="Z162" s="146" t="str">
        <f t="shared" si="121"/>
        <v/>
      </c>
      <c r="AA162" s="146">
        <f>IF(D162="Active",1,IF(D162="Prospective",IF(Assumptions!$B$6="Active only",0,Assumptions!$B$7),0))</f>
        <v>0</v>
      </c>
      <c r="AB162" s="147" t="str">
        <f t="shared" si="122"/>
        <v/>
      </c>
      <c r="AC162" s="152" t="s">
        <v>103</v>
      </c>
      <c r="AD162" s="156">
        <f t="shared" si="100"/>
        <v>0</v>
      </c>
    </row>
    <row r="163" spans="1:30" hidden="1" outlineLevel="1" x14ac:dyDescent="0.25">
      <c r="A163" s="51">
        <f>IF(A157="","",A157)</f>
        <v>2626</v>
      </c>
      <c r="B163" s="41" t="str">
        <f>IF(B157="","",B157)</f>
        <v>Northgate Courtyard</v>
      </c>
      <c r="C163" s="42"/>
      <c r="D163" s="43" t="str">
        <f>IF(COUNTA(C163,E163,H163,I163:O163)=0,"",IF(D157="","",D157))</f>
        <v/>
      </c>
      <c r="E163" s="44"/>
      <c r="F163" s="139" t="str">
        <f t="shared" si="117"/>
        <v/>
      </c>
      <c r="G163" s="136" t="str">
        <f t="shared" si="118"/>
        <v/>
      </c>
      <c r="H163" s="127"/>
      <c r="I163" s="148"/>
      <c r="J163" s="148"/>
      <c r="K163" s="148"/>
      <c r="L163" s="148"/>
      <c r="M163" s="148"/>
      <c r="N163" s="148"/>
      <c r="O163" s="148"/>
      <c r="P163" s="144">
        <f t="shared" si="119"/>
        <v>0</v>
      </c>
      <c r="Q163" s="144" cm="1">
        <f t="array" ref="Q163">IF(OR(A163="",E163="",F163=""),0,SUMPRODUCT((tlNo=A163)*(Timeline!$H$18:$BG$18+6&gt;=E163)*(Timeline!$H$18:$BG$18&lt;=F163)*Timeline!$H$20:$BG$378))</f>
        <v>0</v>
      </c>
      <c r="R163" s="144">
        <f t="shared" si="99"/>
        <v>0</v>
      </c>
      <c r="S163" s="144">
        <f>SUMIF($I$3:$O$3,Assumptions!$A$15,$I163:$O163)*N($G163)</f>
        <v>0</v>
      </c>
      <c r="T163" s="144">
        <f>SUMIF($I$3:$O$3,Assumptions!$A$16,$I163:$O163)*N($G163)</f>
        <v>0</v>
      </c>
      <c r="U163" s="144">
        <f>SUMIF($I$3:$O$3,Assumptions!$A$17,$I163:$O163)*N($G163)</f>
        <v>0</v>
      </c>
      <c r="V163" s="144">
        <f>SUMIF($I$3:$O$3,Assumptions!$A$18,$I163:$O163)*N($G163)</f>
        <v>0</v>
      </c>
      <c r="W163" s="144">
        <f>SUMIF($I$3:$O$3,Assumptions!$A$19,$I163:$O163)*N($G163)</f>
        <v>0</v>
      </c>
      <c r="X163" s="145">
        <f>S163*Assumptions!$B$15+T163*Assumptions!$B$16+U163*Assumptions!$B$17+V163*Assumptions!$B$18+W163*Assumptions!$B$19</f>
        <v>0</v>
      </c>
      <c r="Y163" s="145" t="str">
        <f t="shared" si="120"/>
        <v/>
      </c>
      <c r="Z163" s="146" t="str">
        <f t="shared" si="121"/>
        <v/>
      </c>
      <c r="AA163" s="146">
        <f>IF(D163="Active",1,IF(D163="Prospective",IF(Assumptions!$B$6="Active only",0,Assumptions!$B$7),0))</f>
        <v>0</v>
      </c>
      <c r="AB163" s="147" t="str">
        <f t="shared" si="122"/>
        <v/>
      </c>
      <c r="AC163" s="152" t="s">
        <v>103</v>
      </c>
      <c r="AD163" s="156">
        <f t="shared" si="100"/>
        <v>0</v>
      </c>
    </row>
    <row r="164" spans="1:30" hidden="1" outlineLevel="1" x14ac:dyDescent="0.25">
      <c r="A164" s="51">
        <f>IF(A157="","",A157)</f>
        <v>2626</v>
      </c>
      <c r="B164" s="41" t="str">
        <f>IF(B157="","",B157)</f>
        <v>Northgate Courtyard</v>
      </c>
      <c r="C164" s="42"/>
      <c r="D164" s="43" t="str">
        <f>IF(COUNTA(C164,E164,H164,I164:O164)=0,"",IF(D157="","",D157))</f>
        <v/>
      </c>
      <c r="E164" s="44"/>
      <c r="F164" s="139" t="str">
        <f t="shared" si="117"/>
        <v/>
      </c>
      <c r="G164" s="136" t="str">
        <f t="shared" si="118"/>
        <v/>
      </c>
      <c r="H164" s="127"/>
      <c r="I164" s="148"/>
      <c r="J164" s="148"/>
      <c r="K164" s="148"/>
      <c r="L164" s="148"/>
      <c r="M164" s="148"/>
      <c r="N164" s="148"/>
      <c r="O164" s="148"/>
      <c r="P164" s="144">
        <f t="shared" si="119"/>
        <v>0</v>
      </c>
      <c r="Q164" s="144" cm="1">
        <f t="array" ref="Q164">IF(OR(A164="",E164="",F164=""),0,SUMPRODUCT((tlNo=A164)*(Timeline!$H$18:$BG$18+6&gt;=E164)*(Timeline!$H$18:$BG$18&lt;=F164)*Timeline!$H$20:$BG$378))</f>
        <v>0</v>
      </c>
      <c r="R164" s="144">
        <f t="shared" si="99"/>
        <v>0</v>
      </c>
      <c r="S164" s="144">
        <f>SUMIF($I$3:$O$3,Assumptions!$A$15,$I164:$O164)*N($G164)</f>
        <v>0</v>
      </c>
      <c r="T164" s="144">
        <f>SUMIF($I$3:$O$3,Assumptions!$A$16,$I164:$O164)*N($G164)</f>
        <v>0</v>
      </c>
      <c r="U164" s="144">
        <f>SUMIF($I$3:$O$3,Assumptions!$A$17,$I164:$O164)*N($G164)</f>
        <v>0</v>
      </c>
      <c r="V164" s="144">
        <f>SUMIF($I$3:$O$3,Assumptions!$A$18,$I164:$O164)*N($G164)</f>
        <v>0</v>
      </c>
      <c r="W164" s="144">
        <f>SUMIF($I$3:$O$3,Assumptions!$A$19,$I164:$O164)*N($G164)</f>
        <v>0</v>
      </c>
      <c r="X164" s="145">
        <f>S164*Assumptions!$B$15+T164*Assumptions!$B$16+U164*Assumptions!$B$17+V164*Assumptions!$B$18+W164*Assumptions!$B$19</f>
        <v>0</v>
      </c>
      <c r="Y164" s="145" t="str">
        <f t="shared" si="120"/>
        <v/>
      </c>
      <c r="Z164" s="146" t="str">
        <f t="shared" si="121"/>
        <v/>
      </c>
      <c r="AA164" s="146">
        <f>IF(D164="Active",1,IF(D164="Prospective",IF(Assumptions!$B$6="Active only",0,Assumptions!$B$7),0))</f>
        <v>0</v>
      </c>
      <c r="AB164" s="147" t="str">
        <f t="shared" si="122"/>
        <v/>
      </c>
      <c r="AC164" s="152" t="s">
        <v>103</v>
      </c>
      <c r="AD164" s="156">
        <f t="shared" si="100"/>
        <v>0</v>
      </c>
    </row>
    <row r="165" spans="1:30" hidden="1" outlineLevel="1" x14ac:dyDescent="0.25">
      <c r="A165" s="64">
        <f>IF(A157="","",A157)</f>
        <v>2626</v>
      </c>
      <c r="B165" s="45" t="str">
        <f>IF(B157="","",B157)</f>
        <v>Northgate Courtyard</v>
      </c>
      <c r="C165" s="46"/>
      <c r="D165" s="47" t="str">
        <f>IF(COUNTA(C165,E165,H165,I165:O165)=0,"",IF(D157="","",D157))</f>
        <v/>
      </c>
      <c r="E165" s="48"/>
      <c r="F165" s="140" t="str">
        <f t="shared" si="117"/>
        <v/>
      </c>
      <c r="G165" s="137" t="str">
        <f t="shared" si="118"/>
        <v/>
      </c>
      <c r="H165" s="128"/>
      <c r="I165" s="148"/>
      <c r="J165" s="148"/>
      <c r="K165" s="148"/>
      <c r="L165" s="148"/>
      <c r="M165" s="148"/>
      <c r="N165" s="148"/>
      <c r="O165" s="148"/>
      <c r="P165" s="144">
        <f t="shared" si="119"/>
        <v>0</v>
      </c>
      <c r="Q165" s="144" cm="1">
        <f t="array" ref="Q165">IF(OR(A165="",E165="",F165=""),0,SUMPRODUCT((tlNo=A165)*(Timeline!$H$18:$BG$18+6&gt;=E165)*(Timeline!$H$18:$BG$18&lt;=F165)*Timeline!$H$20:$BG$378))</f>
        <v>0</v>
      </c>
      <c r="R165" s="144">
        <f t="shared" si="99"/>
        <v>0</v>
      </c>
      <c r="S165" s="144">
        <f>SUMIF($I$3:$O$3,Assumptions!$A$15,$I165:$O165)*N($G165)</f>
        <v>0</v>
      </c>
      <c r="T165" s="144">
        <f>SUMIF($I$3:$O$3,Assumptions!$A$16,$I165:$O165)*N($G165)</f>
        <v>0</v>
      </c>
      <c r="U165" s="144">
        <f>SUMIF($I$3:$O$3,Assumptions!$A$17,$I165:$O165)*N($G165)</f>
        <v>0</v>
      </c>
      <c r="V165" s="144">
        <f>SUMIF($I$3:$O$3,Assumptions!$A$18,$I165:$O165)*N($G165)</f>
        <v>0</v>
      </c>
      <c r="W165" s="144">
        <f>SUMIF($I$3:$O$3,Assumptions!$A$19,$I165:$O165)*N($G165)</f>
        <v>0</v>
      </c>
      <c r="X165" s="145">
        <f>S165*Assumptions!$B$15+T165*Assumptions!$B$16+U165*Assumptions!$B$17+V165*Assumptions!$B$18+W165*Assumptions!$B$19</f>
        <v>0</v>
      </c>
      <c r="Y165" s="145" t="str">
        <f t="shared" si="120"/>
        <v/>
      </c>
      <c r="Z165" s="146" t="str">
        <f t="shared" si="121"/>
        <v/>
      </c>
      <c r="AA165" s="146">
        <f>IF(D165="Active",1,IF(D165="Prospective",IF(Assumptions!$B$6="Active only",0,Assumptions!$B$7),0))</f>
        <v>0</v>
      </c>
      <c r="AB165" s="147" t="str">
        <f t="shared" si="122"/>
        <v/>
      </c>
      <c r="AC165" s="152" t="s">
        <v>103</v>
      </c>
      <c r="AD165" s="156">
        <f t="shared" si="100"/>
        <v>0</v>
      </c>
    </row>
    <row r="166" spans="1:30" collapsed="1" x14ac:dyDescent="0.25">
      <c r="A166" s="59">
        <v>2627</v>
      </c>
      <c r="B166" s="207" t="s">
        <v>212</v>
      </c>
      <c r="C166" s="61" t="s">
        <v>129</v>
      </c>
      <c r="D166" s="62" t="s">
        <v>33</v>
      </c>
      <c r="E166" s="63">
        <f>IF(COUNT(E167:E170)=0,"",MIN(E167:E170))</f>
        <v>46300</v>
      </c>
      <c r="F166" s="63">
        <f>IF(COUNT(F167:F170)=0,"",MAX(F167:F170))</f>
        <v>46401</v>
      </c>
      <c r="G166" s="134"/>
      <c r="H166" s="125">
        <f>SUM(H167:H170)</f>
        <v>98500</v>
      </c>
      <c r="I166" s="141"/>
      <c r="J166" s="141"/>
      <c r="K166" s="141"/>
      <c r="L166" s="141"/>
      <c r="M166" s="141"/>
      <c r="N166" s="141"/>
      <c r="O166" s="141"/>
      <c r="P166" s="141">
        <f>SUM(P167:P170)</f>
        <v>127.5</v>
      </c>
      <c r="Q166" s="141">
        <f>SUM(Q167:Q170)</f>
        <v>118</v>
      </c>
      <c r="R166" s="141">
        <f t="shared" si="99"/>
        <v>9.5</v>
      </c>
      <c r="S166" s="141">
        <f t="shared" ref="S166:X166" si="123">SUM(S167:S170)</f>
        <v>52.5</v>
      </c>
      <c r="T166" s="141">
        <f t="shared" si="123"/>
        <v>30</v>
      </c>
      <c r="U166" s="141">
        <f t="shared" si="123"/>
        <v>0</v>
      </c>
      <c r="V166" s="141">
        <f t="shared" si="123"/>
        <v>0</v>
      </c>
      <c r="W166" s="141">
        <f t="shared" si="123"/>
        <v>45</v>
      </c>
      <c r="X166" s="142">
        <f t="shared" si="123"/>
        <v>28800</v>
      </c>
      <c r="Y166" s="142">
        <f>H166-X166</f>
        <v>69700</v>
      </c>
      <c r="Z166" s="143">
        <f>IF(H166=0,"",X166/H166)</f>
        <v>0.29238578680203048</v>
      </c>
      <c r="AA166" s="143"/>
      <c r="AB166" s="40" t="str">
        <f>IF(COUNTIF(AB167:AB170,"?*")=0,"No phases yet",IF(COUNTIF(AB167:AB170,"OK")=COUNTIF(AB167:AB170,"?*"),"All OK",(COUNTIF(AB167:AB170,"?*")-COUNTIF(AB167:AB170,"OK"))&amp;" to fix"))</f>
        <v>4 to fix</v>
      </c>
      <c r="AC166" s="52" t="s">
        <v>130</v>
      </c>
      <c r="AD166" s="156">
        <f t="shared" si="100"/>
        <v>0</v>
      </c>
    </row>
    <row r="167" spans="1:30" outlineLevel="1" x14ac:dyDescent="0.25">
      <c r="A167" s="54">
        <f>IF(A166="","",A166)</f>
        <v>2627</v>
      </c>
      <c r="B167" s="55" t="str">
        <f>IF(B166="","",B166)</f>
        <v>Ridgeview Lofts</v>
      </c>
      <c r="C167" s="56" t="s">
        <v>106</v>
      </c>
      <c r="D167" s="57" t="str">
        <f>IF(COUNTA(C167,E167,H167,I167:O167)=0,"",IF(D166="","",D166))</f>
        <v>Active</v>
      </c>
      <c r="E167" s="58">
        <v>46300</v>
      </c>
      <c r="F167" s="138">
        <v>46401</v>
      </c>
      <c r="G167" s="136">
        <f>IF(OR(E167="",F167=""),"",IF(F167&lt;E167,"",ROUNDUP((F167-E167+1)/7,0)))</f>
        <v>15</v>
      </c>
      <c r="H167" s="126">
        <v>30000</v>
      </c>
      <c r="I167" s="148">
        <v>1.5</v>
      </c>
      <c r="J167" s="148">
        <v>2</v>
      </c>
      <c r="K167" s="148">
        <v>2</v>
      </c>
      <c r="L167" s="148"/>
      <c r="M167" s="148"/>
      <c r="N167" s="148"/>
      <c r="O167" s="148">
        <v>3</v>
      </c>
      <c r="P167" s="144">
        <f>SUM(I167:O167)*N(G167)</f>
        <v>127.5</v>
      </c>
      <c r="Q167" s="144" cm="1">
        <f t="array" ref="Q167">IF(OR(A167="",E167="",F167=""),0,SUMPRODUCT((tlNo=A167)*(Timeline!$H$18:$BG$18+6&gt;=E167)*(Timeline!$H$18:$BG$18&lt;=F167)*Timeline!$H$20:$BG$378))</f>
        <v>118</v>
      </c>
      <c r="R167" s="144">
        <f t="shared" si="99"/>
        <v>9.5</v>
      </c>
      <c r="S167" s="144">
        <f>SUMIF($I$3:$O$3,Assumptions!$A$15,$I167:$O167)*N($G167)</f>
        <v>52.5</v>
      </c>
      <c r="T167" s="144">
        <f>SUMIF($I$3:$O$3,Assumptions!$A$16,$I167:$O167)*N($G167)</f>
        <v>30</v>
      </c>
      <c r="U167" s="144">
        <f>SUMIF($I$3:$O$3,Assumptions!$A$17,$I167:$O167)*N($G167)</f>
        <v>0</v>
      </c>
      <c r="V167" s="144">
        <f>SUMIF($I$3:$O$3,Assumptions!$A$18,$I167:$O167)*N($G167)</f>
        <v>0</v>
      </c>
      <c r="W167" s="144">
        <f>SUMIF($I$3:$O$3,Assumptions!$A$19,$I167:$O167)*N($G167)</f>
        <v>45</v>
      </c>
      <c r="X167" s="145">
        <f>S167*Assumptions!$B$15+T167*Assumptions!$B$16+U167*Assumptions!$B$17+V167*Assumptions!$B$18+W167*Assumptions!$B$19</f>
        <v>28800</v>
      </c>
      <c r="Y167" s="145">
        <f>IF(D167="","",H167-X167)</f>
        <v>1200</v>
      </c>
      <c r="Z167" s="146">
        <f>IF(OR(D167="",H167=0),"",X167/H167)</f>
        <v>0.96</v>
      </c>
      <c r="AA167" s="146">
        <f>IF(D167="Active",1,IF(D167="Prospective",IF(Assumptions!$B$6="Active only",0,Assumptions!$B$7),0))</f>
        <v>1</v>
      </c>
      <c r="AB167" s="147" t="str">
        <f>IF(COUNTA(C167,E167,H167,I167:O167)=0,"",IF(C167="","Select phase",IF(OR(E167="",F167=""),"Enter dates",IF(F167&lt;E167,"End before start",IF(H167="","Enter phase fee",IF(P167=0,"Enter staff hours",IF(R167&lt;0,"Over-mapped on Timeline",IF(R167&gt;0,"Map hours on Timeline","OK"))))))))</f>
        <v>Map hours on Timeline</v>
      </c>
      <c r="AC167" s="152" t="s">
        <v>103</v>
      </c>
      <c r="AD167" s="156">
        <f t="shared" si="100"/>
        <v>15</v>
      </c>
    </row>
    <row r="168" spans="1:30" outlineLevel="1" x14ac:dyDescent="0.25">
      <c r="A168" s="51">
        <f>IF(A166="","",A166)</f>
        <v>2627</v>
      </c>
      <c r="B168" s="41" t="str">
        <f>IF(B166="","",B166)</f>
        <v>Ridgeview Lofts</v>
      </c>
      <c r="C168" s="42" t="s">
        <v>107</v>
      </c>
      <c r="D168" s="43" t="str">
        <f>IF(COUNTA(C168,E168,H168,I168:O168)=0,"",IF(D166="","",D166))</f>
        <v>Active</v>
      </c>
      <c r="E168" s="44"/>
      <c r="F168" s="139" t="str">
        <f>IF(_xlfn.ISFORMULA(G168),"",IF(AND(E168&lt;&gt;"",N(G168)&gt;0),E168+7*G168-1,""))</f>
        <v/>
      </c>
      <c r="G168" s="136" t="str">
        <f>IF(OR(E168="",F168=""),"",IF(F168&lt;E168,"",ROUNDUP((F168-E168+1)/7,0)))</f>
        <v/>
      </c>
      <c r="H168" s="127">
        <v>43500</v>
      </c>
      <c r="I168" s="148"/>
      <c r="J168" s="148"/>
      <c r="K168" s="148"/>
      <c r="L168" s="148"/>
      <c r="M168" s="148"/>
      <c r="N168" s="148"/>
      <c r="O168" s="148"/>
      <c r="P168" s="144">
        <f>SUM(I168:O168)*N(G168)</f>
        <v>0</v>
      </c>
      <c r="Q168" s="144" cm="1">
        <f t="array" ref="Q168">IF(OR(A168="",E168="",F168=""),0,SUMPRODUCT((tlNo=A168)*(Timeline!$H$18:$BG$18+6&gt;=E168)*(Timeline!$H$18:$BG$18&lt;=F168)*Timeline!$H$20:$BG$378))</f>
        <v>0</v>
      </c>
      <c r="R168" s="144">
        <f t="shared" si="99"/>
        <v>0</v>
      </c>
      <c r="S168" s="144">
        <f>SUMIF($I$3:$O$3,Assumptions!$A$15,$I168:$O168)*N($G168)</f>
        <v>0</v>
      </c>
      <c r="T168" s="144">
        <f>SUMIF($I$3:$O$3,Assumptions!$A$16,$I168:$O168)*N($G168)</f>
        <v>0</v>
      </c>
      <c r="U168" s="144">
        <f>SUMIF($I$3:$O$3,Assumptions!$A$17,$I168:$O168)*N($G168)</f>
        <v>0</v>
      </c>
      <c r="V168" s="144">
        <f>SUMIF($I$3:$O$3,Assumptions!$A$18,$I168:$O168)*N($G168)</f>
        <v>0</v>
      </c>
      <c r="W168" s="144">
        <f>SUMIF($I$3:$O$3,Assumptions!$A$19,$I168:$O168)*N($G168)</f>
        <v>0</v>
      </c>
      <c r="X168" s="145">
        <f>S168*Assumptions!$B$15+T168*Assumptions!$B$16+U168*Assumptions!$B$17+V168*Assumptions!$B$18+W168*Assumptions!$B$19</f>
        <v>0</v>
      </c>
      <c r="Y168" s="145">
        <f>IF(D168="","",H168-X168)</f>
        <v>43500</v>
      </c>
      <c r="Z168" s="146">
        <f>IF(OR(D168="",H168=0),"",X168/H168)</f>
        <v>0</v>
      </c>
      <c r="AA168" s="146">
        <f>IF(D168="Active",1,IF(D168="Prospective",IF(Assumptions!$B$6="Active only",0,Assumptions!$B$7),0))</f>
        <v>1</v>
      </c>
      <c r="AB168" s="147" t="str">
        <f>IF(COUNTA(C168,E168,H168,I168:O168)=0,"",IF(C168="","Select phase",IF(OR(E168="",F168=""),"Enter dates",IF(F168&lt;E168,"End before start",IF(H168="","Enter phase fee",IF(P168=0,"Enter staff hours",IF(R168&lt;0,"Over-mapped on Timeline",IF(R168&gt;0,"Map hours on Timeline","OK"))))))))</f>
        <v>Enter dates</v>
      </c>
      <c r="AC168" s="152" t="s">
        <v>103</v>
      </c>
      <c r="AD168" s="156">
        <f t="shared" si="100"/>
        <v>0</v>
      </c>
    </row>
    <row r="169" spans="1:30" outlineLevel="1" x14ac:dyDescent="0.25">
      <c r="A169" s="51">
        <f>IF(A166="","",A166)</f>
        <v>2627</v>
      </c>
      <c r="B169" s="41" t="str">
        <f>IF(B166="","",B166)</f>
        <v>Ridgeview Lofts</v>
      </c>
      <c r="C169" s="42" t="s">
        <v>108</v>
      </c>
      <c r="D169" s="43" t="str">
        <f>IF(COUNTA(C169,E169,H169,I169:O169)=0,"",IF(D166="","",D166))</f>
        <v>Active</v>
      </c>
      <c r="E169" s="44"/>
      <c r="F169" s="139" t="str">
        <f>IF(_xlfn.ISFORMULA(G169),"",IF(AND(E169&lt;&gt;"",N(G169)&gt;0),E169+7*G169-1,""))</f>
        <v/>
      </c>
      <c r="G169" s="136" t="str">
        <f>IF(OR(E169="",F169=""),"",IF(F169&lt;E169,"",ROUNDUP((F169-E169+1)/7,0)))</f>
        <v/>
      </c>
      <c r="H169" s="127">
        <v>5500</v>
      </c>
      <c r="I169" s="148"/>
      <c r="J169" s="148"/>
      <c r="K169" s="148"/>
      <c r="L169" s="148"/>
      <c r="M169" s="148"/>
      <c r="N169" s="148"/>
      <c r="O169" s="148"/>
      <c r="P169" s="144">
        <f>SUM(I169:O169)*N(G169)</f>
        <v>0</v>
      </c>
      <c r="Q169" s="144" cm="1">
        <f t="array" ref="Q169">IF(OR(A169="",E169="",F169=""),0,SUMPRODUCT((tlNo=A169)*(Timeline!$H$18:$BG$18+6&gt;=E169)*(Timeline!$H$18:$BG$18&lt;=F169)*Timeline!$H$20:$BG$378))</f>
        <v>0</v>
      </c>
      <c r="R169" s="144">
        <f t="shared" si="99"/>
        <v>0</v>
      </c>
      <c r="S169" s="144">
        <f>SUMIF($I$3:$O$3,Assumptions!$A$15,$I169:$O169)*N($G169)</f>
        <v>0</v>
      </c>
      <c r="T169" s="144">
        <f>SUMIF($I$3:$O$3,Assumptions!$A$16,$I169:$O169)*N($G169)</f>
        <v>0</v>
      </c>
      <c r="U169" s="144">
        <f>SUMIF($I$3:$O$3,Assumptions!$A$17,$I169:$O169)*N($G169)</f>
        <v>0</v>
      </c>
      <c r="V169" s="144">
        <f>SUMIF($I$3:$O$3,Assumptions!$A$18,$I169:$O169)*N($G169)</f>
        <v>0</v>
      </c>
      <c r="W169" s="144">
        <f>SUMIF($I$3:$O$3,Assumptions!$A$19,$I169:$O169)*N($G169)</f>
        <v>0</v>
      </c>
      <c r="X169" s="145">
        <f>S169*Assumptions!$B$15+T169*Assumptions!$B$16+U169*Assumptions!$B$17+V169*Assumptions!$B$18+W169*Assumptions!$B$19</f>
        <v>0</v>
      </c>
      <c r="Y169" s="145">
        <f>IF(D169="","",H169-X169)</f>
        <v>5500</v>
      </c>
      <c r="Z169" s="146">
        <f>IF(OR(D169="",H169=0),"",X169/H169)</f>
        <v>0</v>
      </c>
      <c r="AA169" s="146">
        <f>IF(D169="Active",1,IF(D169="Prospective",IF(Assumptions!$B$6="Active only",0,Assumptions!$B$7),0))</f>
        <v>1</v>
      </c>
      <c r="AB169" s="147" t="str">
        <f>IF(COUNTA(C169,E169,H169,I169:O169)=0,"",IF(C169="","Select phase",IF(OR(E169="",F169=""),"Enter dates",IF(F169&lt;E169,"End before start",IF(H169="","Enter phase fee",IF(P169=0,"Enter staff hours",IF(R169&lt;0,"Over-mapped on Timeline",IF(R169&gt;0,"Map hours on Timeline","OK"))))))))</f>
        <v>Enter dates</v>
      </c>
      <c r="AC169" s="152" t="s">
        <v>103</v>
      </c>
      <c r="AD169" s="156">
        <f t="shared" si="100"/>
        <v>0</v>
      </c>
    </row>
    <row r="170" spans="1:30" outlineLevel="1" x14ac:dyDescent="0.25">
      <c r="A170" s="51">
        <f>IF(A166="","",A166)</f>
        <v>2627</v>
      </c>
      <c r="B170" s="41" t="str">
        <f>IF(B166="","",B166)</f>
        <v>Ridgeview Lofts</v>
      </c>
      <c r="C170" s="42" t="s">
        <v>110</v>
      </c>
      <c r="D170" s="43" t="str">
        <f>IF(COUNTA(C170,E170,H170,I170:O170)=0,"",IF(D166="","",D166))</f>
        <v>Active</v>
      </c>
      <c r="E170" s="44"/>
      <c r="F170" s="139" t="str">
        <f>IF(_xlfn.ISFORMULA(G170),"",IF(AND(E170&lt;&gt;"",N(G170)&gt;0),E170+7*G170-1,""))</f>
        <v/>
      </c>
      <c r="G170" s="136" t="str">
        <f>IF(OR(E170="",F170=""),"",IF(F170&lt;E170,"",ROUNDUP((F170-E170+1)/7,0)))</f>
        <v/>
      </c>
      <c r="H170" s="127">
        <v>19500</v>
      </c>
      <c r="I170" s="148"/>
      <c r="J170" s="148"/>
      <c r="K170" s="148"/>
      <c r="L170" s="148"/>
      <c r="M170" s="148"/>
      <c r="N170" s="148"/>
      <c r="O170" s="148"/>
      <c r="P170" s="144">
        <f>SUM(I170:O170)*N(G170)</f>
        <v>0</v>
      </c>
      <c r="Q170" s="144" cm="1">
        <f t="array" ref="Q170">IF(OR(A170="",E170="",F170=""),0,SUMPRODUCT((tlNo=A170)*(Timeline!$H$18:$BG$18+6&gt;=E170)*(Timeline!$H$18:$BG$18&lt;=F170)*Timeline!$H$20:$BG$378))</f>
        <v>0</v>
      </c>
      <c r="R170" s="144">
        <f t="shared" si="99"/>
        <v>0</v>
      </c>
      <c r="S170" s="144">
        <f>SUMIF($I$3:$O$3,Assumptions!$A$15,$I170:$O170)*N($G170)</f>
        <v>0</v>
      </c>
      <c r="T170" s="144">
        <f>SUMIF($I$3:$O$3,Assumptions!$A$16,$I170:$O170)*N($G170)</f>
        <v>0</v>
      </c>
      <c r="U170" s="144">
        <f>SUMIF($I$3:$O$3,Assumptions!$A$17,$I170:$O170)*N($G170)</f>
        <v>0</v>
      </c>
      <c r="V170" s="144">
        <f>SUMIF($I$3:$O$3,Assumptions!$A$18,$I170:$O170)*N($G170)</f>
        <v>0</v>
      </c>
      <c r="W170" s="144">
        <f>SUMIF($I$3:$O$3,Assumptions!$A$19,$I170:$O170)*N($G170)</f>
        <v>0</v>
      </c>
      <c r="X170" s="145">
        <f>S170*Assumptions!$B$15+T170*Assumptions!$B$16+U170*Assumptions!$B$17+V170*Assumptions!$B$18+W170*Assumptions!$B$19</f>
        <v>0</v>
      </c>
      <c r="Y170" s="145">
        <f>IF(D170="","",H170-X170)</f>
        <v>19500</v>
      </c>
      <c r="Z170" s="146">
        <f>IF(OR(D170="",H170=0),"",X170/H170)</f>
        <v>0</v>
      </c>
      <c r="AA170" s="146">
        <f>IF(D170="Active",1,IF(D170="Prospective",IF(Assumptions!$B$6="Active only",0,Assumptions!$B$7),0))</f>
        <v>1</v>
      </c>
      <c r="AB170" s="147" t="str">
        <f>IF(COUNTA(C170,E170,H170,I170:O170)=0,"",IF(C170="","Select phase",IF(OR(E170="",F170=""),"Enter dates",IF(F170&lt;E170,"End before start",IF(H170="","Enter phase fee",IF(P170=0,"Enter staff hours",IF(R170&lt;0,"Over-mapped on Timeline",IF(R170&gt;0,"Map hours on Timeline","OK"))))))))</f>
        <v>Enter dates</v>
      </c>
      <c r="AC170" s="152" t="s">
        <v>103</v>
      </c>
      <c r="AD170" s="156">
        <f t="shared" si="100"/>
        <v>0</v>
      </c>
    </row>
    <row r="171" spans="1:30" x14ac:dyDescent="0.25">
      <c r="A171" s="59">
        <v>2630</v>
      </c>
      <c r="B171" s="207" t="s">
        <v>213</v>
      </c>
      <c r="C171" s="61" t="s">
        <v>129</v>
      </c>
      <c r="D171" s="62" t="s">
        <v>173</v>
      </c>
      <c r="E171" s="63" t="str">
        <f>IF(COUNT(E172:E176)=0,"",MIN(E172:E176))</f>
        <v/>
      </c>
      <c r="F171" s="63" t="str">
        <f>IF(COUNT(F172:F176)=0,"",MAX(F172:F176))</f>
        <v/>
      </c>
      <c r="G171" s="134"/>
      <c r="H171" s="125">
        <f>SUM(H172:H176)</f>
        <v>127500</v>
      </c>
      <c r="I171" s="141"/>
      <c r="J171" s="141"/>
      <c r="K171" s="141"/>
      <c r="L171" s="141"/>
      <c r="M171" s="141"/>
      <c r="N171" s="141"/>
      <c r="O171" s="141"/>
      <c r="P171" s="141">
        <f>SUM(P172:P176)</f>
        <v>0</v>
      </c>
      <c r="Q171" s="141">
        <f>SUM(Q172:Q176)</f>
        <v>0</v>
      </c>
      <c r="R171" s="141">
        <f t="shared" si="99"/>
        <v>0</v>
      </c>
      <c r="S171" s="141">
        <f t="shared" ref="S171:X171" si="124">SUM(S172:S176)</f>
        <v>0</v>
      </c>
      <c r="T171" s="141">
        <f t="shared" si="124"/>
        <v>0</v>
      </c>
      <c r="U171" s="141">
        <f t="shared" si="124"/>
        <v>0</v>
      </c>
      <c r="V171" s="141">
        <f t="shared" si="124"/>
        <v>0</v>
      </c>
      <c r="W171" s="141">
        <f t="shared" si="124"/>
        <v>0</v>
      </c>
      <c r="X171" s="142">
        <f t="shared" si="124"/>
        <v>0</v>
      </c>
      <c r="Y171" s="142">
        <f>H171-X171</f>
        <v>127500</v>
      </c>
      <c r="Z171" s="143">
        <f>IF(H171=0,"",X171/H171)</f>
        <v>0</v>
      </c>
      <c r="AA171" s="143"/>
      <c r="AB171" s="40" t="str">
        <f>IF(COUNTIF(AB172:AB176,"?*")=0,"No phases yet",IF(COUNTIF(AB172:AB176,"OK")=COUNTIF(AB172:AB176,"?*"),"All OK",(COUNTIF(AB172:AB176,"?*")-COUNTIF(AB172:AB176,"OK"))&amp;" to fix"))</f>
        <v>5 to fix</v>
      </c>
      <c r="AC171" s="52" t="s">
        <v>130</v>
      </c>
      <c r="AD171" s="156">
        <f t="shared" si="100"/>
        <v>0</v>
      </c>
    </row>
    <row r="172" spans="1:30" hidden="1" outlineLevel="1" x14ac:dyDescent="0.25">
      <c r="A172" s="54">
        <f>IF(A171="","",A171)</f>
        <v>2630</v>
      </c>
      <c r="B172" s="55" t="str">
        <f>IF(B171="","",B171)</f>
        <v>Birch Roof Deck</v>
      </c>
      <c r="C172" s="56" t="s">
        <v>104</v>
      </c>
      <c r="D172" s="57" t="str">
        <f>IF(COUNTA(C172,E172,H172,I172:O172)=0,"",IF(D171="","",D171))</f>
        <v>Inactive</v>
      </c>
      <c r="E172" s="58"/>
      <c r="F172" s="138" t="str">
        <f>IF(_xlfn.ISFORMULA(G172),"",IF(AND(E172&lt;&gt;"",N(G172)&gt;0),E172+7*G172-1,""))</f>
        <v/>
      </c>
      <c r="G172" s="135" t="str">
        <f>IF(OR(E172="",F172=""),"",IF(F172&lt;E172,"",ROUNDUP((F172-E172+1)/7,0)))</f>
        <v/>
      </c>
      <c r="H172" s="126">
        <v>22000</v>
      </c>
      <c r="I172" s="148"/>
      <c r="J172" s="148"/>
      <c r="K172" s="148"/>
      <c r="L172" s="148"/>
      <c r="M172" s="148"/>
      <c r="N172" s="148"/>
      <c r="O172" s="148"/>
      <c r="P172" s="144">
        <f>SUM(I172:O172)*N(G172)</f>
        <v>0</v>
      </c>
      <c r="Q172" s="144" cm="1">
        <f t="array" ref="Q172">IF(OR(A172="",E172="",F172=""),0,SUMPRODUCT((tlNo=A172)*(Timeline!$H$18:$BG$18+6&gt;=E172)*(Timeline!$H$18:$BG$18&lt;=F172)*Timeline!$H$20:$BG$378))</f>
        <v>0</v>
      </c>
      <c r="R172" s="144">
        <f t="shared" si="99"/>
        <v>0</v>
      </c>
      <c r="S172" s="144">
        <f>SUMIF($I$3:$O$3,Assumptions!$A$15,$I172:$O172)*N($G172)</f>
        <v>0</v>
      </c>
      <c r="T172" s="144">
        <f>SUMIF($I$3:$O$3,Assumptions!$A$16,$I172:$O172)*N($G172)</f>
        <v>0</v>
      </c>
      <c r="U172" s="144">
        <f>SUMIF($I$3:$O$3,Assumptions!$A$17,$I172:$O172)*N($G172)</f>
        <v>0</v>
      </c>
      <c r="V172" s="144">
        <f>SUMIF($I$3:$O$3,Assumptions!$A$18,$I172:$O172)*N($G172)</f>
        <v>0</v>
      </c>
      <c r="W172" s="144">
        <f>SUMIF($I$3:$O$3,Assumptions!$A$19,$I172:$O172)*N($G172)</f>
        <v>0</v>
      </c>
      <c r="X172" s="145">
        <f>S172*Assumptions!$B$15+T172*Assumptions!$B$16+U172*Assumptions!$B$17+V172*Assumptions!$B$18+W172*Assumptions!$B$19</f>
        <v>0</v>
      </c>
      <c r="Y172" s="145">
        <f>IF(D172="","",H172-X172)</f>
        <v>22000</v>
      </c>
      <c r="Z172" s="146">
        <f>IF(OR(D172="",H172=0),"",X172/H172)</f>
        <v>0</v>
      </c>
      <c r="AA172" s="146">
        <f>IF(D172="Active",1,IF(D172="Prospective",IF(Assumptions!$B$6="Active only",0,Assumptions!$B$7),0))</f>
        <v>0</v>
      </c>
      <c r="AB172" s="147" t="str">
        <f>IF(COUNTA(C172,E172,H172,I172:O172)=0,"",IF(C172="","Select phase",IF(OR(E172="",F172=""),"Enter dates",IF(F172&lt;E172,"End before start",IF(H172="","Enter phase fee",IF(P172=0,"Enter staff hours",IF(R172&lt;0,"Over-mapped on Timeline",IF(R172&gt;0,"Map hours on Timeline","OK"))))))))</f>
        <v>Enter dates</v>
      </c>
      <c r="AC172" s="152" t="s">
        <v>103</v>
      </c>
      <c r="AD172" s="156">
        <f t="shared" si="100"/>
        <v>0</v>
      </c>
    </row>
    <row r="173" spans="1:30" hidden="1" outlineLevel="1" x14ac:dyDescent="0.25">
      <c r="A173" s="51">
        <f>IF(A171="","",A171)</f>
        <v>2630</v>
      </c>
      <c r="B173" s="41" t="str">
        <f>IF(B171="","",B171)</f>
        <v>Birch Roof Deck</v>
      </c>
      <c r="C173" s="42" t="s">
        <v>105</v>
      </c>
      <c r="D173" s="43" t="str">
        <f>IF(COUNTA(C173,E173,H173,I173:O173)=0,"",IF(D171="","",D171))</f>
        <v>Inactive</v>
      </c>
      <c r="E173" s="44"/>
      <c r="F173" s="139" t="str">
        <f>IF(_xlfn.ISFORMULA(G173),"",IF(AND(E173&lt;&gt;"",N(G173)&gt;0),E173+7*G173-1,""))</f>
        <v/>
      </c>
      <c r="G173" s="136" t="str">
        <f>IF(OR(E173="",F173=""),"",IF(F173&lt;E173,"",ROUNDUP((F173-E173+1)/7,0)))</f>
        <v/>
      </c>
      <c r="H173" s="127">
        <v>26500</v>
      </c>
      <c r="I173" s="148"/>
      <c r="J173" s="148"/>
      <c r="K173" s="148"/>
      <c r="L173" s="148"/>
      <c r="M173" s="148"/>
      <c r="N173" s="148"/>
      <c r="O173" s="148"/>
      <c r="P173" s="144">
        <f>SUM(I173:O173)*N(G173)</f>
        <v>0</v>
      </c>
      <c r="Q173" s="144" cm="1">
        <f t="array" ref="Q173">IF(OR(A173="",E173="",F173=""),0,SUMPRODUCT((tlNo=A173)*(Timeline!$H$18:$BG$18+6&gt;=E173)*(Timeline!$H$18:$BG$18&lt;=F173)*Timeline!$H$20:$BG$378))</f>
        <v>0</v>
      </c>
      <c r="R173" s="144">
        <f t="shared" si="99"/>
        <v>0</v>
      </c>
      <c r="S173" s="144">
        <f>SUMIF($I$3:$O$3,Assumptions!$A$15,$I173:$O173)*N($G173)</f>
        <v>0</v>
      </c>
      <c r="T173" s="144">
        <f>SUMIF($I$3:$O$3,Assumptions!$A$16,$I173:$O173)*N($G173)</f>
        <v>0</v>
      </c>
      <c r="U173" s="144">
        <f>SUMIF($I$3:$O$3,Assumptions!$A$17,$I173:$O173)*N($G173)</f>
        <v>0</v>
      </c>
      <c r="V173" s="144">
        <f>SUMIF($I$3:$O$3,Assumptions!$A$18,$I173:$O173)*N($G173)</f>
        <v>0</v>
      </c>
      <c r="W173" s="144">
        <f>SUMIF($I$3:$O$3,Assumptions!$A$19,$I173:$O173)*N($G173)</f>
        <v>0</v>
      </c>
      <c r="X173" s="145">
        <f>S173*Assumptions!$B$15+T173*Assumptions!$B$16+U173*Assumptions!$B$17+V173*Assumptions!$B$18+W173*Assumptions!$B$19</f>
        <v>0</v>
      </c>
      <c r="Y173" s="145">
        <f>IF(D173="","",H173-X173)</f>
        <v>26500</v>
      </c>
      <c r="Z173" s="146">
        <f>IF(OR(D173="",H173=0),"",X173/H173)</f>
        <v>0</v>
      </c>
      <c r="AA173" s="146">
        <f>IF(D173="Active",1,IF(D173="Prospective",IF(Assumptions!$B$6="Active only",0,Assumptions!$B$7),0))</f>
        <v>0</v>
      </c>
      <c r="AB173" s="147" t="str">
        <f>IF(COUNTA(C173,E173,H173,I173:O173)=0,"",IF(C173="","Select phase",IF(OR(E173="",F173=""),"Enter dates",IF(F173&lt;E173,"End before start",IF(H173="","Enter phase fee",IF(P173=0,"Enter staff hours",IF(R173&lt;0,"Over-mapped on Timeline",IF(R173&gt;0,"Map hours on Timeline","OK"))))))))</f>
        <v>Enter dates</v>
      </c>
      <c r="AC173" s="152" t="s">
        <v>103</v>
      </c>
      <c r="AD173" s="156">
        <f t="shared" si="100"/>
        <v>0</v>
      </c>
    </row>
    <row r="174" spans="1:30" hidden="1" outlineLevel="1" x14ac:dyDescent="0.25">
      <c r="A174" s="51">
        <f>IF(A171="","",A171)</f>
        <v>2630</v>
      </c>
      <c r="B174" s="41" t="str">
        <f>IF(B171="","",B171)</f>
        <v>Birch Roof Deck</v>
      </c>
      <c r="C174" s="42" t="s">
        <v>106</v>
      </c>
      <c r="D174" s="43" t="str">
        <f>IF(COUNTA(C174,E174,H174,I174:O174)=0,"",IF(D171="","",D171))</f>
        <v>Inactive</v>
      </c>
      <c r="E174" s="44"/>
      <c r="F174" s="139" t="str">
        <f>IF(_xlfn.ISFORMULA(G174),"",IF(AND(E174&lt;&gt;"",N(G174)&gt;0),E174+7*G174-1,""))</f>
        <v/>
      </c>
      <c r="G174" s="136" t="str">
        <f>IF(OR(E174="",F174=""),"",IF(F174&lt;E174,"",ROUNDUP((F174-E174+1)/7,0)))</f>
        <v/>
      </c>
      <c r="H174" s="127">
        <v>30500</v>
      </c>
      <c r="I174" s="148"/>
      <c r="J174" s="148"/>
      <c r="K174" s="148"/>
      <c r="L174" s="148"/>
      <c r="M174" s="148"/>
      <c r="N174" s="148"/>
      <c r="O174" s="148"/>
      <c r="P174" s="144">
        <f>SUM(I174:O174)*N(G174)</f>
        <v>0</v>
      </c>
      <c r="Q174" s="144" cm="1">
        <f t="array" ref="Q174">IF(OR(A174="",E174="",F174=""),0,SUMPRODUCT((tlNo=A174)*(Timeline!$H$18:$BG$18+6&gt;=E174)*(Timeline!$H$18:$BG$18&lt;=F174)*Timeline!$H$20:$BG$378))</f>
        <v>0</v>
      </c>
      <c r="R174" s="144">
        <f t="shared" si="99"/>
        <v>0</v>
      </c>
      <c r="S174" s="144">
        <f>SUMIF($I$3:$O$3,Assumptions!$A$15,$I174:$O174)*N($G174)</f>
        <v>0</v>
      </c>
      <c r="T174" s="144">
        <f>SUMIF($I$3:$O$3,Assumptions!$A$16,$I174:$O174)*N($G174)</f>
        <v>0</v>
      </c>
      <c r="U174" s="144">
        <f>SUMIF($I$3:$O$3,Assumptions!$A$17,$I174:$O174)*N($G174)</f>
        <v>0</v>
      </c>
      <c r="V174" s="144">
        <f>SUMIF($I$3:$O$3,Assumptions!$A$18,$I174:$O174)*N($G174)</f>
        <v>0</v>
      </c>
      <c r="W174" s="144">
        <f>SUMIF($I$3:$O$3,Assumptions!$A$19,$I174:$O174)*N($G174)</f>
        <v>0</v>
      </c>
      <c r="X174" s="145">
        <f>S174*Assumptions!$B$15+T174*Assumptions!$B$16+U174*Assumptions!$B$17+V174*Assumptions!$B$18+W174*Assumptions!$B$19</f>
        <v>0</v>
      </c>
      <c r="Y174" s="145">
        <f>IF(D174="","",H174-X174)</f>
        <v>30500</v>
      </c>
      <c r="Z174" s="146">
        <f>IF(OR(D174="",H174=0),"",X174/H174)</f>
        <v>0</v>
      </c>
      <c r="AA174" s="146">
        <f>IF(D174="Active",1,IF(D174="Prospective",IF(Assumptions!$B$6="Active only",0,Assumptions!$B$7),0))</f>
        <v>0</v>
      </c>
      <c r="AB174" s="147" t="str">
        <f>IF(COUNTA(C174,E174,H174,I174:O174)=0,"",IF(C174="","Select phase",IF(OR(E174="",F174=""),"Enter dates",IF(F174&lt;E174,"End before start",IF(H174="","Enter phase fee",IF(P174=0,"Enter staff hours",IF(R174&lt;0,"Over-mapped on Timeline",IF(R174&gt;0,"Map hours on Timeline","OK"))))))))</f>
        <v>Enter dates</v>
      </c>
      <c r="AC174" s="152" t="s">
        <v>103</v>
      </c>
      <c r="AD174" s="156">
        <f t="shared" si="100"/>
        <v>0</v>
      </c>
    </row>
    <row r="175" spans="1:30" hidden="1" outlineLevel="1" x14ac:dyDescent="0.25">
      <c r="A175" s="51">
        <f>IF(A171="","",A171)</f>
        <v>2630</v>
      </c>
      <c r="B175" s="41" t="str">
        <f>IF(B171="","",B171)</f>
        <v>Birch Roof Deck</v>
      </c>
      <c r="C175" s="42" t="s">
        <v>107</v>
      </c>
      <c r="D175" s="43" t="str">
        <f>IF(COUNTA(C175,E175,H175,I175:O175)=0,"",IF(D171="","",D171))</f>
        <v>Inactive</v>
      </c>
      <c r="E175" s="44"/>
      <c r="F175" s="139" t="str">
        <f>IF(_xlfn.ISFORMULA(G175),"",IF(AND(E175&lt;&gt;"",N(G175)&gt;0),E175+7*G175-1,""))</f>
        <v/>
      </c>
      <c r="G175" s="136" t="str">
        <f>IF(OR(E175="",F175=""),"",IF(F175&lt;E175,"",ROUNDUP((F175-E175+1)/7,0)))</f>
        <v/>
      </c>
      <c r="H175" s="127">
        <v>44000</v>
      </c>
      <c r="I175" s="148"/>
      <c r="J175" s="148"/>
      <c r="K175" s="148"/>
      <c r="L175" s="148"/>
      <c r="M175" s="148"/>
      <c r="N175" s="148"/>
      <c r="O175" s="148"/>
      <c r="P175" s="144">
        <f>SUM(I175:O175)*N(G175)</f>
        <v>0</v>
      </c>
      <c r="Q175" s="144" cm="1">
        <f t="array" ref="Q175">IF(OR(A175="",E175="",F175=""),0,SUMPRODUCT((tlNo=A175)*(Timeline!$H$18:$BG$18+6&gt;=E175)*(Timeline!$H$18:$BG$18&lt;=F175)*Timeline!$H$20:$BG$378))</f>
        <v>0</v>
      </c>
      <c r="R175" s="144">
        <f t="shared" si="99"/>
        <v>0</v>
      </c>
      <c r="S175" s="144">
        <f>SUMIF($I$3:$O$3,Assumptions!$A$15,$I175:$O175)*N($G175)</f>
        <v>0</v>
      </c>
      <c r="T175" s="144">
        <f>SUMIF($I$3:$O$3,Assumptions!$A$16,$I175:$O175)*N($G175)</f>
        <v>0</v>
      </c>
      <c r="U175" s="144">
        <f>SUMIF($I$3:$O$3,Assumptions!$A$17,$I175:$O175)*N($G175)</f>
        <v>0</v>
      </c>
      <c r="V175" s="144">
        <f>SUMIF($I$3:$O$3,Assumptions!$A$18,$I175:$O175)*N($G175)</f>
        <v>0</v>
      </c>
      <c r="W175" s="144">
        <f>SUMIF($I$3:$O$3,Assumptions!$A$19,$I175:$O175)*N($G175)</f>
        <v>0</v>
      </c>
      <c r="X175" s="145">
        <f>S175*Assumptions!$B$15+T175*Assumptions!$B$16+U175*Assumptions!$B$17+V175*Assumptions!$B$18+W175*Assumptions!$B$19</f>
        <v>0</v>
      </c>
      <c r="Y175" s="145">
        <f>IF(D175="","",H175-X175)</f>
        <v>44000</v>
      </c>
      <c r="Z175" s="146">
        <f>IF(OR(D175="",H175=0),"",X175/H175)</f>
        <v>0</v>
      </c>
      <c r="AA175" s="146">
        <f>IF(D175="Active",1,IF(D175="Prospective",IF(Assumptions!$B$6="Active only",0,Assumptions!$B$7),0))</f>
        <v>0</v>
      </c>
      <c r="AB175" s="147" t="str">
        <f>IF(COUNTA(C175,E175,H175,I175:O175)=0,"",IF(C175="","Select phase",IF(OR(E175="",F175=""),"Enter dates",IF(F175&lt;E175,"End before start",IF(H175="","Enter phase fee",IF(P175=0,"Enter staff hours",IF(R175&lt;0,"Over-mapped on Timeline",IF(R175&gt;0,"Map hours on Timeline","OK"))))))))</f>
        <v>Enter dates</v>
      </c>
      <c r="AC175" s="152" t="s">
        <v>103</v>
      </c>
      <c r="AD175" s="156">
        <f t="shared" si="100"/>
        <v>0</v>
      </c>
    </row>
    <row r="176" spans="1:30" hidden="1" outlineLevel="1" x14ac:dyDescent="0.25">
      <c r="A176" s="51">
        <f>IF(A171="","",A171)</f>
        <v>2630</v>
      </c>
      <c r="B176" s="41" t="str">
        <f>IF(B171="","",B171)</f>
        <v>Birch Roof Deck</v>
      </c>
      <c r="C176" s="42" t="s">
        <v>110</v>
      </c>
      <c r="D176" s="43" t="str">
        <f>IF(COUNTA(C176,E176,H176,I176:O176)=0,"",IF(D171="","",D171))</f>
        <v>Inactive</v>
      </c>
      <c r="E176" s="44"/>
      <c r="F176" s="139" t="str">
        <f>IF(_xlfn.ISFORMULA(G176),"",IF(AND(E176&lt;&gt;"",N(G176)&gt;0),E176+7*G176-1,""))</f>
        <v/>
      </c>
      <c r="G176" s="136" t="str">
        <f>IF(OR(E176="",F176=""),"",IF(F176&lt;E176,"",ROUNDUP((F176-E176+1)/7,0)))</f>
        <v/>
      </c>
      <c r="H176" s="127">
        <v>4500</v>
      </c>
      <c r="I176" s="148"/>
      <c r="J176" s="148"/>
      <c r="K176" s="148"/>
      <c r="L176" s="148"/>
      <c r="M176" s="148"/>
      <c r="N176" s="148"/>
      <c r="O176" s="148"/>
      <c r="P176" s="144">
        <f>SUM(I176:O176)*N(G176)</f>
        <v>0</v>
      </c>
      <c r="Q176" s="144" cm="1">
        <f t="array" ref="Q176">IF(OR(A176="",E176="",F176=""),0,SUMPRODUCT((tlNo=A176)*(Timeline!$H$18:$BG$18+6&gt;=E176)*(Timeline!$H$18:$BG$18&lt;=F176)*Timeline!$H$20:$BG$378))</f>
        <v>0</v>
      </c>
      <c r="R176" s="144">
        <f t="shared" si="99"/>
        <v>0</v>
      </c>
      <c r="S176" s="144">
        <f>SUMIF($I$3:$O$3,Assumptions!$A$15,$I176:$O176)*N($G176)</f>
        <v>0</v>
      </c>
      <c r="T176" s="144">
        <f>SUMIF($I$3:$O$3,Assumptions!$A$16,$I176:$O176)*N($G176)</f>
        <v>0</v>
      </c>
      <c r="U176" s="144">
        <f>SUMIF($I$3:$O$3,Assumptions!$A$17,$I176:$O176)*N($G176)</f>
        <v>0</v>
      </c>
      <c r="V176" s="144">
        <f>SUMIF($I$3:$O$3,Assumptions!$A$18,$I176:$O176)*N($G176)</f>
        <v>0</v>
      </c>
      <c r="W176" s="144">
        <f>SUMIF($I$3:$O$3,Assumptions!$A$19,$I176:$O176)*N($G176)</f>
        <v>0</v>
      </c>
      <c r="X176" s="145">
        <f>S176*Assumptions!$B$15+T176*Assumptions!$B$16+U176*Assumptions!$B$17+V176*Assumptions!$B$18+W176*Assumptions!$B$19</f>
        <v>0</v>
      </c>
      <c r="Y176" s="145">
        <f>IF(D176="","",H176-X176)</f>
        <v>4500</v>
      </c>
      <c r="Z176" s="146">
        <f>IF(OR(D176="",H176=0),"",X176/H176)</f>
        <v>0</v>
      </c>
      <c r="AA176" s="146">
        <f>IF(D176="Active",1,IF(D176="Prospective",IF(Assumptions!$B$6="Active only",0,Assumptions!$B$7),0))</f>
        <v>0</v>
      </c>
      <c r="AB176" s="147" t="str">
        <f>IF(COUNTA(C176,E176,H176,I176:O176)=0,"",IF(C176="","Select phase",IF(OR(E176="",F176=""),"Enter dates",IF(F176&lt;E176,"End before start",IF(H176="","Enter phase fee",IF(P176=0,"Enter staff hours",IF(R176&lt;0,"Over-mapped on Timeline",IF(R176&gt;0,"Map hours on Timeline","OK"))))))))</f>
        <v>Enter dates</v>
      </c>
      <c r="AC176" s="152" t="s">
        <v>103</v>
      </c>
      <c r="AD176" s="156">
        <f t="shared" si="100"/>
        <v>0</v>
      </c>
    </row>
    <row r="177" spans="1:30" collapsed="1" x14ac:dyDescent="0.25">
      <c r="A177" s="59">
        <v>2636</v>
      </c>
      <c r="B177" s="207" t="s">
        <v>214</v>
      </c>
      <c r="C177" s="61" t="s">
        <v>129</v>
      </c>
      <c r="D177" s="62" t="s">
        <v>33</v>
      </c>
      <c r="E177" s="63">
        <f>IF(COUNT(E178:E179)=0,"",MIN(E178:E179))</f>
        <v>46300</v>
      </c>
      <c r="F177" s="63">
        <f>IF(COUNT(F178:F179)=0,"",MAX(F178:F179))</f>
        <v>46349</v>
      </c>
      <c r="G177" s="134"/>
      <c r="H177" s="125">
        <f>SUM(H178:H179)</f>
        <v>127500</v>
      </c>
      <c r="I177" s="141"/>
      <c r="J177" s="141"/>
      <c r="K177" s="141"/>
      <c r="L177" s="141"/>
      <c r="M177" s="141"/>
      <c r="N177" s="141"/>
      <c r="O177" s="141"/>
      <c r="P177" s="141">
        <f>SUM(P178:P179)</f>
        <v>317</v>
      </c>
      <c r="Q177" s="141">
        <f>SUM(Q178:Q179)</f>
        <v>40</v>
      </c>
      <c r="R177" s="141">
        <f t="shared" si="99"/>
        <v>277</v>
      </c>
      <c r="S177" s="141">
        <f t="shared" ref="S177:X177" si="125">SUM(S178:S179)</f>
        <v>52</v>
      </c>
      <c r="T177" s="141">
        <f t="shared" si="125"/>
        <v>36</v>
      </c>
      <c r="U177" s="141">
        <f t="shared" si="125"/>
        <v>36</v>
      </c>
      <c r="V177" s="141">
        <f t="shared" si="125"/>
        <v>193</v>
      </c>
      <c r="W177" s="141">
        <f t="shared" si="125"/>
        <v>0</v>
      </c>
      <c r="X177" s="142">
        <f t="shared" si="125"/>
        <v>65055</v>
      </c>
      <c r="Y177" s="142">
        <f>H177-X177</f>
        <v>62445</v>
      </c>
      <c r="Z177" s="143">
        <f>IF(H177=0,"",X177/H177)</f>
        <v>0.51023529411764701</v>
      </c>
      <c r="AA177" s="143"/>
      <c r="AB177" s="40" t="str">
        <f>IF(COUNTIF(AB178:AB179,"?*")=0,"No phases yet",IF(COUNTIF(AB178:AB179,"OK")=COUNTIF(AB178:AB179,"?*"),"All OK",(COUNTIF(AB178:AB179,"?*")-COUNTIF(AB178:AB179,"OK"))&amp;" to fix"))</f>
        <v>2 to fix</v>
      </c>
      <c r="AC177" s="52" t="s">
        <v>130</v>
      </c>
      <c r="AD177" s="156">
        <f t="shared" si="100"/>
        <v>0</v>
      </c>
    </row>
    <row r="178" spans="1:30" hidden="1" outlineLevel="2" x14ac:dyDescent="0.25">
      <c r="A178" s="54">
        <f>IF(A177="","",A177)</f>
        <v>2636</v>
      </c>
      <c r="B178" s="55" t="str">
        <f>IF(B177="","",B177)</f>
        <v>Stonebridge Streetscape</v>
      </c>
      <c r="C178" s="56" t="s">
        <v>106</v>
      </c>
      <c r="D178" s="57" t="str">
        <f>IF(COUNTA(C178,E178,H178,I178:O178)=0,"",IF(D177="","",D177))</f>
        <v>Active</v>
      </c>
      <c r="E178" s="58">
        <v>46300</v>
      </c>
      <c r="F178" s="58">
        <v>46321</v>
      </c>
      <c r="G178" s="135">
        <f>IF(OR(E178="",F178=""),"",IF(F178&lt;E178,"",ROUNDUP((F178-E178+1)/7,0)))</f>
        <v>4</v>
      </c>
      <c r="H178" s="126">
        <v>56000</v>
      </c>
      <c r="I178" s="148">
        <v>8</v>
      </c>
      <c r="J178" s="148"/>
      <c r="K178" s="148">
        <v>4</v>
      </c>
      <c r="L178" s="148">
        <v>4</v>
      </c>
      <c r="M178" s="148">
        <v>1</v>
      </c>
      <c r="N178" s="148">
        <v>16</v>
      </c>
      <c r="O178" s="148"/>
      <c r="P178" s="144">
        <f>SUM(I178:O178)*N(G178)</f>
        <v>132</v>
      </c>
      <c r="Q178" s="144" cm="1">
        <f t="array" ref="Q178">IF(OR(A178="",E178="",F178=""),0,SUMPRODUCT((tlNo=A178)*(Timeline!$H$18:$BG$18+6&gt;=E178)*(Timeline!$H$18:$BG$18&lt;=F178)*Timeline!$H$20:$BG$378))</f>
        <v>32</v>
      </c>
      <c r="R178" s="144">
        <f t="shared" si="99"/>
        <v>100</v>
      </c>
      <c r="S178" s="144">
        <f>SUMIF($I$3:$O$3,Assumptions!$A$15,$I178:$O178)*N($G178)</f>
        <v>32</v>
      </c>
      <c r="T178" s="144">
        <f>SUMIF($I$3:$O$3,Assumptions!$A$16,$I178:$O178)*N($G178)</f>
        <v>16</v>
      </c>
      <c r="U178" s="144">
        <f>SUMIF($I$3:$O$3,Assumptions!$A$17,$I178:$O178)*N($G178)</f>
        <v>16</v>
      </c>
      <c r="V178" s="144">
        <f>SUMIF($I$3:$O$3,Assumptions!$A$18,$I178:$O178)*N($G178)</f>
        <v>68</v>
      </c>
      <c r="W178" s="144">
        <f>SUMIF($I$3:$O$3,Assumptions!$A$19,$I178:$O178)*N($G178)</f>
        <v>0</v>
      </c>
      <c r="X178" s="145">
        <f>S178*Assumptions!$B$15+T178*Assumptions!$B$16+U178*Assumptions!$B$17+V178*Assumptions!$B$18+W178*Assumptions!$B$19</f>
        <v>28380</v>
      </c>
      <c r="Y178" s="145">
        <f>IF(D178="","",H178-X178)</f>
        <v>27620</v>
      </c>
      <c r="Z178" s="146">
        <f>IF(OR(D178="",H178=0),"",X178/H178)</f>
        <v>0.50678571428571428</v>
      </c>
      <c r="AA178" s="146">
        <f>IF(D178="Active",1,IF(D178="Prospective",IF(Assumptions!$B$6="Active only",0,Assumptions!$B$7),0))</f>
        <v>1</v>
      </c>
      <c r="AB178" s="147" t="str">
        <f>IF(COUNTA(C178,E178,H178,I178:O178)=0,"",IF(C178="","Select phase",IF(OR(E178="",F178=""),"Enter dates",IF(F178&lt;E178,"End before start",IF(H178="","Enter phase fee",IF(P178=0,"Enter staff hours",IF(R178&lt;0,"Over-mapped on Timeline",IF(R178&gt;0,"Map hours on Timeline","OK"))))))))</f>
        <v>Map hours on Timeline</v>
      </c>
      <c r="AC178" s="152" t="s">
        <v>103</v>
      </c>
      <c r="AD178" s="156">
        <f t="shared" si="100"/>
        <v>4</v>
      </c>
    </row>
    <row r="179" spans="1:30" hidden="1" outlineLevel="2" x14ac:dyDescent="0.25">
      <c r="A179" s="51">
        <f>IF(A177="","",A177)</f>
        <v>2636</v>
      </c>
      <c r="B179" s="41" t="str">
        <f>IF(B177="","",B177)</f>
        <v>Stonebridge Streetscape</v>
      </c>
      <c r="C179" s="42" t="s">
        <v>107</v>
      </c>
      <c r="D179" s="43" t="str">
        <f>IF(COUNTA(C179,E179,H179,I179:O179)=0,"",IF(D177="","",D177))</f>
        <v>Active</v>
      </c>
      <c r="E179" s="44">
        <v>46321</v>
      </c>
      <c r="F179" s="44">
        <v>46349</v>
      </c>
      <c r="G179" s="136">
        <f>IF(OR(E179="",F179=""),"",IF(F179&lt;E179,"",ROUNDUP((F179-E179+1)/7,0)))</f>
        <v>5</v>
      </c>
      <c r="H179" s="127">
        <v>71500</v>
      </c>
      <c r="I179" s="148">
        <v>4</v>
      </c>
      <c r="J179" s="148"/>
      <c r="K179" s="148">
        <v>4</v>
      </c>
      <c r="L179" s="148">
        <v>4</v>
      </c>
      <c r="M179" s="148">
        <v>1</v>
      </c>
      <c r="N179" s="148">
        <v>24</v>
      </c>
      <c r="O179" s="148"/>
      <c r="P179" s="144">
        <f>SUM(I179:O179)*N(G179)</f>
        <v>185</v>
      </c>
      <c r="Q179" s="144" cm="1">
        <f t="array" ref="Q179">IF(OR(A179="",E179="",F179=""),0,SUMPRODUCT((tlNo=A179)*(Timeline!$H$18:$BG$18+6&gt;=E179)*(Timeline!$H$18:$BG$18&lt;=F179)*Timeline!$H$20:$BG$378))</f>
        <v>8</v>
      </c>
      <c r="R179" s="144">
        <f t="shared" si="99"/>
        <v>177</v>
      </c>
      <c r="S179" s="144">
        <f>SUMIF($I$3:$O$3,Assumptions!$A$15,$I179:$O179)*N($G179)</f>
        <v>20</v>
      </c>
      <c r="T179" s="144">
        <f>SUMIF($I$3:$O$3,Assumptions!$A$16,$I179:$O179)*N($G179)</f>
        <v>20</v>
      </c>
      <c r="U179" s="144">
        <f>SUMIF($I$3:$O$3,Assumptions!$A$17,$I179:$O179)*N($G179)</f>
        <v>20</v>
      </c>
      <c r="V179" s="144">
        <f>SUMIF($I$3:$O$3,Assumptions!$A$18,$I179:$O179)*N($G179)</f>
        <v>125</v>
      </c>
      <c r="W179" s="144">
        <f>SUMIF($I$3:$O$3,Assumptions!$A$19,$I179:$O179)*N($G179)</f>
        <v>0</v>
      </c>
      <c r="X179" s="145">
        <f>S179*Assumptions!$B$15+T179*Assumptions!$B$16+U179*Assumptions!$B$17+V179*Assumptions!$B$18+W179*Assumptions!$B$19</f>
        <v>36675</v>
      </c>
      <c r="Y179" s="145">
        <f>IF(D179="","",H179-X179)</f>
        <v>34825</v>
      </c>
      <c r="Z179" s="146">
        <f>IF(OR(D179="",H179=0),"",X179/H179)</f>
        <v>0.51293706293706298</v>
      </c>
      <c r="AA179" s="146">
        <f>IF(D179="Active",1,IF(D179="Prospective",IF(Assumptions!$B$6="Active only",0,Assumptions!$B$7),0))</f>
        <v>1</v>
      </c>
      <c r="AB179" s="147" t="str">
        <f>IF(COUNTA(C179,E179,H179,I179:O179)=0,"",IF(C179="","Select phase",IF(OR(E179="",F179=""),"Enter dates",IF(F179&lt;E179,"End before start",IF(H179="","Enter phase fee",IF(P179=0,"Enter staff hours",IF(R179&lt;0,"Over-mapped on Timeline",IF(R179&gt;0,"Map hours on Timeline","OK"))))))))</f>
        <v>Map hours on Timeline</v>
      </c>
      <c r="AC179" s="152" t="s">
        <v>103</v>
      </c>
      <c r="AD179" s="156">
        <f t="shared" si="100"/>
        <v>5</v>
      </c>
    </row>
    <row r="180" spans="1:30" collapsed="1" x14ac:dyDescent="0.25">
      <c r="A180" s="59">
        <v>2642</v>
      </c>
      <c r="B180" s="207" t="s">
        <v>215</v>
      </c>
      <c r="C180" s="61" t="s">
        <v>129</v>
      </c>
      <c r="D180" s="62" t="s">
        <v>33</v>
      </c>
      <c r="E180" s="63" t="str">
        <f>IF(COUNT(E181:E187)=0,"",MIN(E181:E187))</f>
        <v/>
      </c>
      <c r="F180" s="63" t="str">
        <f>IF(COUNT(F181:F187)=0,"",MAX(F181:F187))</f>
        <v/>
      </c>
      <c r="G180" s="134"/>
      <c r="H180" s="125">
        <f>SUM(H181:H187)</f>
        <v>404500</v>
      </c>
      <c r="I180" s="141"/>
      <c r="J180" s="141"/>
      <c r="K180" s="141"/>
      <c r="L180" s="141"/>
      <c r="M180" s="141"/>
      <c r="N180" s="141"/>
      <c r="O180" s="141"/>
      <c r="P180" s="141">
        <f>SUM(P181:P187)</f>
        <v>0</v>
      </c>
      <c r="Q180" s="141">
        <f>SUM(Q181:Q187)</f>
        <v>0</v>
      </c>
      <c r="R180" s="141">
        <f t="shared" si="99"/>
        <v>0</v>
      </c>
      <c r="S180" s="141">
        <f t="shared" ref="S180:X180" si="126">SUM(S181:S187)</f>
        <v>0</v>
      </c>
      <c r="T180" s="141">
        <f t="shared" si="126"/>
        <v>0</v>
      </c>
      <c r="U180" s="141">
        <f t="shared" si="126"/>
        <v>0</v>
      </c>
      <c r="V180" s="141">
        <f t="shared" si="126"/>
        <v>0</v>
      </c>
      <c r="W180" s="141">
        <f t="shared" si="126"/>
        <v>0</v>
      </c>
      <c r="X180" s="142">
        <f t="shared" si="126"/>
        <v>0</v>
      </c>
      <c r="Y180" s="142">
        <f>H180-X180</f>
        <v>404500</v>
      </c>
      <c r="Z180" s="143">
        <f>IF(H180=0,"",X180/H180)</f>
        <v>0</v>
      </c>
      <c r="AA180" s="143"/>
      <c r="AB180" s="40" t="str">
        <f>IF(COUNTIF(AB181:AB187,"?*")=0,"No phases yet",IF(COUNTIF(AB181:AB187,"OK")=COUNTIF(AB181:AB187,"?*"),"All OK",(COUNTIF(AB181:AB187,"?*")-COUNTIF(AB181:AB187,"OK"))&amp;" to fix"))</f>
        <v>7 to fix</v>
      </c>
      <c r="AC180" s="52" t="s">
        <v>130</v>
      </c>
      <c r="AD180" s="156">
        <f t="shared" si="100"/>
        <v>0</v>
      </c>
    </row>
    <row r="181" spans="1:30" outlineLevel="1" x14ac:dyDescent="0.25">
      <c r="A181" s="54">
        <f>IF(A180="","",A180)</f>
        <v>2642</v>
      </c>
      <c r="B181" s="55" t="str">
        <f>IF(B180="","",B180)</f>
        <v>Saltmarsh Terrace</v>
      </c>
      <c r="C181" s="56" t="s">
        <v>77</v>
      </c>
      <c r="D181" s="57" t="str">
        <f>IF(COUNTA(C181,E181,H181,I181:O181)=0,"",IF(D180="","",D180))</f>
        <v>Active</v>
      </c>
      <c r="E181" s="58"/>
      <c r="F181" s="138" t="str">
        <f t="shared" ref="F181:F187" si="127">IF(_xlfn.ISFORMULA(G181),"",IF(AND(E181&lt;&gt;"",N(G181)&gt;0),E181+7*G181-1,""))</f>
        <v/>
      </c>
      <c r="G181" s="135" t="str">
        <f t="shared" ref="G181:G187" si="128">IF(OR(E181="",F181=""),"",IF(F181&lt;E181,"",ROUNDUP((F181-E181+1)/7,0)))</f>
        <v/>
      </c>
      <c r="H181" s="126">
        <v>30500</v>
      </c>
      <c r="I181" s="148"/>
      <c r="J181" s="148"/>
      <c r="K181" s="148"/>
      <c r="L181" s="148"/>
      <c r="M181" s="148"/>
      <c r="N181" s="148"/>
      <c r="O181" s="148"/>
      <c r="P181" s="144">
        <f t="shared" ref="P181:P187" si="129">SUM(I181:O181)*N(G181)</f>
        <v>0</v>
      </c>
      <c r="Q181" s="144" cm="1">
        <f t="array" ref="Q181">IF(OR(A181="",E181="",F181=""),0,SUMPRODUCT((tlNo=A181)*(Timeline!$H$18:$BG$18+6&gt;=E181)*(Timeline!$H$18:$BG$18&lt;=F181)*Timeline!$H$20:$BG$378))</f>
        <v>0</v>
      </c>
      <c r="R181" s="144">
        <f t="shared" si="99"/>
        <v>0</v>
      </c>
      <c r="S181" s="144">
        <f>SUMIF($I$3:$O$3,Assumptions!$A$15,$I181:$O181)*N($G181)</f>
        <v>0</v>
      </c>
      <c r="T181" s="144">
        <f>SUMIF($I$3:$O$3,Assumptions!$A$16,$I181:$O181)*N($G181)</f>
        <v>0</v>
      </c>
      <c r="U181" s="144">
        <f>SUMIF($I$3:$O$3,Assumptions!$A$17,$I181:$O181)*N($G181)</f>
        <v>0</v>
      </c>
      <c r="V181" s="144">
        <f>SUMIF($I$3:$O$3,Assumptions!$A$18,$I181:$O181)*N($G181)</f>
        <v>0</v>
      </c>
      <c r="W181" s="144">
        <f>SUMIF($I$3:$O$3,Assumptions!$A$19,$I181:$O181)*N($G181)</f>
        <v>0</v>
      </c>
      <c r="X181" s="145">
        <f>S181*Assumptions!$B$15+T181*Assumptions!$B$16+U181*Assumptions!$B$17+V181*Assumptions!$B$18+W181*Assumptions!$B$19</f>
        <v>0</v>
      </c>
      <c r="Y181" s="145">
        <f t="shared" ref="Y181:Y187" si="130">IF(D181="","",H181-X181)</f>
        <v>30500</v>
      </c>
      <c r="Z181" s="146">
        <f t="shared" ref="Z181:Z187" si="131">IF(OR(D181="",H181=0),"",X181/H181)</f>
        <v>0</v>
      </c>
      <c r="AA181" s="146">
        <f>IF(D181="Active",1,IF(D181="Prospective",IF(Assumptions!$B$6="Active only",0,Assumptions!$B$7),0))</f>
        <v>1</v>
      </c>
      <c r="AB181" s="147" t="str">
        <f t="shared" ref="AB181:AB187" si="132">IF(COUNTA(C181,E181,H181,I181:O181)=0,"",IF(C181="","Select phase",IF(OR(E181="",F181=""),"Enter dates",IF(F181&lt;E181,"End before start",IF(H181="","Enter phase fee",IF(P181=0,"Enter staff hours",IF(R181&lt;0,"Over-mapped on Timeline",IF(R181&gt;0,"Map hours on Timeline","OK"))))))))</f>
        <v>Enter dates</v>
      </c>
      <c r="AC181" s="152" t="s">
        <v>103</v>
      </c>
      <c r="AD181" s="156">
        <f t="shared" si="100"/>
        <v>0</v>
      </c>
    </row>
    <row r="182" spans="1:30" outlineLevel="1" x14ac:dyDescent="0.25">
      <c r="A182" s="51">
        <f>IF(A180="","",A180)</f>
        <v>2642</v>
      </c>
      <c r="B182" s="41" t="str">
        <f>IF(B180="","",B180)</f>
        <v>Saltmarsh Terrace</v>
      </c>
      <c r="C182" s="42" t="s">
        <v>104</v>
      </c>
      <c r="D182" s="43" t="str">
        <f>IF(COUNTA(C182,E182,H182,I182:O182)=0,"",IF(D180="","",D180))</f>
        <v>Active</v>
      </c>
      <c r="E182" s="44"/>
      <c r="F182" s="139" t="str">
        <f t="shared" si="127"/>
        <v/>
      </c>
      <c r="G182" s="136" t="str">
        <f t="shared" si="128"/>
        <v/>
      </c>
      <c r="H182" s="127">
        <v>46000</v>
      </c>
      <c r="I182" s="148"/>
      <c r="J182" s="148"/>
      <c r="K182" s="148"/>
      <c r="L182" s="148"/>
      <c r="M182" s="148"/>
      <c r="N182" s="148"/>
      <c r="O182" s="148"/>
      <c r="P182" s="144">
        <f t="shared" si="129"/>
        <v>0</v>
      </c>
      <c r="Q182" s="144" cm="1">
        <f t="array" ref="Q182">IF(OR(A182="",E182="",F182=""),0,SUMPRODUCT((tlNo=A182)*(Timeline!$H$18:$BG$18+6&gt;=E182)*(Timeline!$H$18:$BG$18&lt;=F182)*Timeline!$H$20:$BG$378))</f>
        <v>0</v>
      </c>
      <c r="R182" s="144">
        <f t="shared" si="99"/>
        <v>0</v>
      </c>
      <c r="S182" s="144">
        <f>SUMIF($I$3:$O$3,Assumptions!$A$15,$I182:$O182)*N($G182)</f>
        <v>0</v>
      </c>
      <c r="T182" s="144">
        <f>SUMIF($I$3:$O$3,Assumptions!$A$16,$I182:$O182)*N($G182)</f>
        <v>0</v>
      </c>
      <c r="U182" s="144">
        <f>SUMIF($I$3:$O$3,Assumptions!$A$17,$I182:$O182)*N($G182)</f>
        <v>0</v>
      </c>
      <c r="V182" s="144">
        <f>SUMIF($I$3:$O$3,Assumptions!$A$18,$I182:$O182)*N($G182)</f>
        <v>0</v>
      </c>
      <c r="W182" s="144">
        <f>SUMIF($I$3:$O$3,Assumptions!$A$19,$I182:$O182)*N($G182)</f>
        <v>0</v>
      </c>
      <c r="X182" s="145">
        <f>S182*Assumptions!$B$15+T182*Assumptions!$B$16+U182*Assumptions!$B$17+V182*Assumptions!$B$18+W182*Assumptions!$B$19</f>
        <v>0</v>
      </c>
      <c r="Y182" s="145">
        <f t="shared" si="130"/>
        <v>46000</v>
      </c>
      <c r="Z182" s="146">
        <f t="shared" si="131"/>
        <v>0</v>
      </c>
      <c r="AA182" s="146">
        <f>IF(D182="Active",1,IF(D182="Prospective",IF(Assumptions!$B$6="Active only",0,Assumptions!$B$7),0))</f>
        <v>1</v>
      </c>
      <c r="AB182" s="147" t="str">
        <f t="shared" si="132"/>
        <v>Enter dates</v>
      </c>
      <c r="AC182" s="152" t="s">
        <v>103</v>
      </c>
      <c r="AD182" s="156">
        <f t="shared" si="100"/>
        <v>0</v>
      </c>
    </row>
    <row r="183" spans="1:30" outlineLevel="1" x14ac:dyDescent="0.25">
      <c r="A183" s="51">
        <f>IF(A180="","",A180)</f>
        <v>2642</v>
      </c>
      <c r="B183" s="41" t="str">
        <f>IF(B180="","",B180)</f>
        <v>Saltmarsh Terrace</v>
      </c>
      <c r="C183" s="42" t="s">
        <v>105</v>
      </c>
      <c r="D183" s="43" t="str">
        <f>IF(COUNTA(C183,E183,H183,I183:O183)=0,"",IF(D180="","",D180))</f>
        <v>Active</v>
      </c>
      <c r="E183" s="44"/>
      <c r="F183" s="139" t="str">
        <f t="shared" si="127"/>
        <v/>
      </c>
      <c r="G183" s="136" t="str">
        <f t="shared" si="128"/>
        <v/>
      </c>
      <c r="H183" s="127">
        <v>68500</v>
      </c>
      <c r="I183" s="148"/>
      <c r="J183" s="148"/>
      <c r="K183" s="148"/>
      <c r="L183" s="148"/>
      <c r="M183" s="148"/>
      <c r="N183" s="148"/>
      <c r="O183" s="148"/>
      <c r="P183" s="144">
        <f t="shared" si="129"/>
        <v>0</v>
      </c>
      <c r="Q183" s="144" cm="1">
        <f t="array" ref="Q183">IF(OR(A183="",E183="",F183=""),0,SUMPRODUCT((tlNo=A183)*(Timeline!$H$18:$BG$18+6&gt;=E183)*(Timeline!$H$18:$BG$18&lt;=F183)*Timeline!$H$20:$BG$378))</f>
        <v>0</v>
      </c>
      <c r="R183" s="144">
        <f t="shared" si="99"/>
        <v>0</v>
      </c>
      <c r="S183" s="144">
        <f>SUMIF($I$3:$O$3,Assumptions!$A$15,$I183:$O183)*N($G183)</f>
        <v>0</v>
      </c>
      <c r="T183" s="144">
        <f>SUMIF($I$3:$O$3,Assumptions!$A$16,$I183:$O183)*N($G183)</f>
        <v>0</v>
      </c>
      <c r="U183" s="144">
        <f>SUMIF($I$3:$O$3,Assumptions!$A$17,$I183:$O183)*N($G183)</f>
        <v>0</v>
      </c>
      <c r="V183" s="144">
        <f>SUMIF($I$3:$O$3,Assumptions!$A$18,$I183:$O183)*N($G183)</f>
        <v>0</v>
      </c>
      <c r="W183" s="144">
        <f>SUMIF($I$3:$O$3,Assumptions!$A$19,$I183:$O183)*N($G183)</f>
        <v>0</v>
      </c>
      <c r="X183" s="145">
        <f>S183*Assumptions!$B$15+T183*Assumptions!$B$16+U183*Assumptions!$B$17+V183*Assumptions!$B$18+W183*Assumptions!$B$19</f>
        <v>0</v>
      </c>
      <c r="Y183" s="145">
        <f t="shared" si="130"/>
        <v>68500</v>
      </c>
      <c r="Z183" s="146">
        <f t="shared" si="131"/>
        <v>0</v>
      </c>
      <c r="AA183" s="146">
        <f>IF(D183="Active",1,IF(D183="Prospective",IF(Assumptions!$B$6="Active only",0,Assumptions!$B$7),0))</f>
        <v>1</v>
      </c>
      <c r="AB183" s="147" t="str">
        <f t="shared" si="132"/>
        <v>Enter dates</v>
      </c>
      <c r="AC183" s="152" t="s">
        <v>103</v>
      </c>
      <c r="AD183" s="156">
        <f t="shared" si="100"/>
        <v>0</v>
      </c>
    </row>
    <row r="184" spans="1:30" outlineLevel="1" x14ac:dyDescent="0.25">
      <c r="A184" s="51">
        <f>IF(A180="","",A180)</f>
        <v>2642</v>
      </c>
      <c r="B184" s="41" t="str">
        <f>IF(B180="","",B180)</f>
        <v>Saltmarsh Terrace</v>
      </c>
      <c r="C184" s="42" t="s">
        <v>106</v>
      </c>
      <c r="D184" s="43" t="str">
        <f>IF(COUNTA(C184,E184,H184,I184:O184)=0,"",IF(D180="","",D180))</f>
        <v>Active</v>
      </c>
      <c r="E184" s="44"/>
      <c r="F184" s="139" t="str">
        <f t="shared" si="127"/>
        <v/>
      </c>
      <c r="G184" s="136" t="str">
        <f t="shared" si="128"/>
        <v/>
      </c>
      <c r="H184" s="127">
        <v>84000</v>
      </c>
      <c r="I184" s="148"/>
      <c r="J184" s="148"/>
      <c r="K184" s="148"/>
      <c r="L184" s="148"/>
      <c r="M184" s="148"/>
      <c r="N184" s="148"/>
      <c r="O184" s="148"/>
      <c r="P184" s="144">
        <f t="shared" si="129"/>
        <v>0</v>
      </c>
      <c r="Q184" s="144" cm="1">
        <f t="array" ref="Q184">IF(OR(A184="",E184="",F184=""),0,SUMPRODUCT((tlNo=A184)*(Timeline!$H$18:$BG$18+6&gt;=E184)*(Timeline!$H$18:$BG$18&lt;=F184)*Timeline!$H$20:$BG$378))</f>
        <v>0</v>
      </c>
      <c r="R184" s="144">
        <f t="shared" si="99"/>
        <v>0</v>
      </c>
      <c r="S184" s="144">
        <f>SUMIF($I$3:$O$3,Assumptions!$A$15,$I184:$O184)*N($G184)</f>
        <v>0</v>
      </c>
      <c r="T184" s="144">
        <f>SUMIF($I$3:$O$3,Assumptions!$A$16,$I184:$O184)*N($G184)</f>
        <v>0</v>
      </c>
      <c r="U184" s="144">
        <f>SUMIF($I$3:$O$3,Assumptions!$A$17,$I184:$O184)*N($G184)</f>
        <v>0</v>
      </c>
      <c r="V184" s="144">
        <f>SUMIF($I$3:$O$3,Assumptions!$A$18,$I184:$O184)*N($G184)</f>
        <v>0</v>
      </c>
      <c r="W184" s="144">
        <f>SUMIF($I$3:$O$3,Assumptions!$A$19,$I184:$O184)*N($G184)</f>
        <v>0</v>
      </c>
      <c r="X184" s="145">
        <f>S184*Assumptions!$B$15+T184*Assumptions!$B$16+U184*Assumptions!$B$17+V184*Assumptions!$B$18+W184*Assumptions!$B$19</f>
        <v>0</v>
      </c>
      <c r="Y184" s="145">
        <f t="shared" si="130"/>
        <v>84000</v>
      </c>
      <c r="Z184" s="146">
        <f t="shared" si="131"/>
        <v>0</v>
      </c>
      <c r="AA184" s="146">
        <f>IF(D184="Active",1,IF(D184="Prospective",IF(Assumptions!$B$6="Active only",0,Assumptions!$B$7),0))</f>
        <v>1</v>
      </c>
      <c r="AB184" s="147" t="str">
        <f t="shared" si="132"/>
        <v>Enter dates</v>
      </c>
      <c r="AC184" s="152" t="s">
        <v>103</v>
      </c>
      <c r="AD184" s="156">
        <f t="shared" si="100"/>
        <v>0</v>
      </c>
    </row>
    <row r="185" spans="1:30" outlineLevel="1" x14ac:dyDescent="0.25">
      <c r="A185" s="51">
        <f>IF(A180="","",A180)</f>
        <v>2642</v>
      </c>
      <c r="B185" s="41" t="str">
        <f>IF(B180="","",B180)</f>
        <v>Saltmarsh Terrace</v>
      </c>
      <c r="C185" s="42" t="s">
        <v>107</v>
      </c>
      <c r="D185" s="43" t="str">
        <f>IF(COUNTA(C185,E185,H185,I185:O185)=0,"",IF(D180="","",D180))</f>
        <v>Active</v>
      </c>
      <c r="E185" s="44"/>
      <c r="F185" s="139" t="str">
        <f t="shared" si="127"/>
        <v/>
      </c>
      <c r="G185" s="136" t="str">
        <f t="shared" si="128"/>
        <v/>
      </c>
      <c r="H185" s="127">
        <v>99000</v>
      </c>
      <c r="I185" s="148"/>
      <c r="J185" s="148"/>
      <c r="K185" s="148"/>
      <c r="L185" s="148"/>
      <c r="M185" s="148"/>
      <c r="N185" s="148"/>
      <c r="O185" s="148"/>
      <c r="P185" s="144">
        <f t="shared" si="129"/>
        <v>0</v>
      </c>
      <c r="Q185" s="144" cm="1">
        <f t="array" ref="Q185">IF(OR(A185="",E185="",F185=""),0,SUMPRODUCT((tlNo=A185)*(Timeline!$H$18:$BG$18+6&gt;=E185)*(Timeline!$H$18:$BG$18&lt;=F185)*Timeline!$H$20:$BG$378))</f>
        <v>0</v>
      </c>
      <c r="R185" s="144">
        <f t="shared" si="99"/>
        <v>0</v>
      </c>
      <c r="S185" s="144">
        <f>SUMIF($I$3:$O$3,Assumptions!$A$15,$I185:$O185)*N($G185)</f>
        <v>0</v>
      </c>
      <c r="T185" s="144">
        <f>SUMIF($I$3:$O$3,Assumptions!$A$16,$I185:$O185)*N($G185)</f>
        <v>0</v>
      </c>
      <c r="U185" s="144">
        <f>SUMIF($I$3:$O$3,Assumptions!$A$17,$I185:$O185)*N($G185)</f>
        <v>0</v>
      </c>
      <c r="V185" s="144">
        <f>SUMIF($I$3:$O$3,Assumptions!$A$18,$I185:$O185)*N($G185)</f>
        <v>0</v>
      </c>
      <c r="W185" s="144">
        <f>SUMIF($I$3:$O$3,Assumptions!$A$19,$I185:$O185)*N($G185)</f>
        <v>0</v>
      </c>
      <c r="X185" s="145">
        <f>S185*Assumptions!$B$15+T185*Assumptions!$B$16+U185*Assumptions!$B$17+V185*Assumptions!$B$18+W185*Assumptions!$B$19</f>
        <v>0</v>
      </c>
      <c r="Y185" s="145">
        <f t="shared" si="130"/>
        <v>99000</v>
      </c>
      <c r="Z185" s="146">
        <f t="shared" si="131"/>
        <v>0</v>
      </c>
      <c r="AA185" s="146">
        <f>IF(D185="Active",1,IF(D185="Prospective",IF(Assumptions!$B$6="Active only",0,Assumptions!$B$7),0))</f>
        <v>1</v>
      </c>
      <c r="AB185" s="147" t="str">
        <f t="shared" si="132"/>
        <v>Enter dates</v>
      </c>
      <c r="AC185" s="152" t="s">
        <v>103</v>
      </c>
      <c r="AD185" s="156">
        <f t="shared" si="100"/>
        <v>0</v>
      </c>
    </row>
    <row r="186" spans="1:30" outlineLevel="1" x14ac:dyDescent="0.25">
      <c r="A186" s="51">
        <f>IF(A180="","",A180)</f>
        <v>2642</v>
      </c>
      <c r="B186" s="41" t="str">
        <f>IF(B180="","",B180)</f>
        <v>Saltmarsh Terrace</v>
      </c>
      <c r="C186" s="42" t="s">
        <v>109</v>
      </c>
      <c r="D186" s="43" t="str">
        <f>IF(COUNTA(C186,E186,H186,I186:O186)=0,"",IF(D180="","",D180))</f>
        <v>Active</v>
      </c>
      <c r="E186" s="44"/>
      <c r="F186" s="139" t="str">
        <f t="shared" si="127"/>
        <v/>
      </c>
      <c r="G186" s="136" t="str">
        <f t="shared" si="128"/>
        <v/>
      </c>
      <c r="H186" s="127">
        <v>21500</v>
      </c>
      <c r="I186" s="148"/>
      <c r="J186" s="148"/>
      <c r="K186" s="148"/>
      <c r="L186" s="148"/>
      <c r="M186" s="148"/>
      <c r="N186" s="148"/>
      <c r="O186" s="148"/>
      <c r="P186" s="144">
        <f t="shared" si="129"/>
        <v>0</v>
      </c>
      <c r="Q186" s="144" cm="1">
        <f t="array" ref="Q186">IF(OR(A186="",E186="",F186=""),0,SUMPRODUCT((tlNo=A186)*(Timeline!$H$18:$BG$18+6&gt;=E186)*(Timeline!$H$18:$BG$18&lt;=F186)*Timeline!$H$20:$BG$378))</f>
        <v>0</v>
      </c>
      <c r="R186" s="144">
        <f t="shared" si="99"/>
        <v>0</v>
      </c>
      <c r="S186" s="144">
        <f>SUMIF($I$3:$O$3,Assumptions!$A$15,$I186:$O186)*N($G186)</f>
        <v>0</v>
      </c>
      <c r="T186" s="144">
        <f>SUMIF($I$3:$O$3,Assumptions!$A$16,$I186:$O186)*N($G186)</f>
        <v>0</v>
      </c>
      <c r="U186" s="144">
        <f>SUMIF($I$3:$O$3,Assumptions!$A$17,$I186:$O186)*N($G186)</f>
        <v>0</v>
      </c>
      <c r="V186" s="144">
        <f>SUMIF($I$3:$O$3,Assumptions!$A$18,$I186:$O186)*N($G186)</f>
        <v>0</v>
      </c>
      <c r="W186" s="144">
        <f>SUMIF($I$3:$O$3,Assumptions!$A$19,$I186:$O186)*N($G186)</f>
        <v>0</v>
      </c>
      <c r="X186" s="145">
        <f>S186*Assumptions!$B$15+T186*Assumptions!$B$16+U186*Assumptions!$B$17+V186*Assumptions!$B$18+W186*Assumptions!$B$19</f>
        <v>0</v>
      </c>
      <c r="Y186" s="145">
        <f t="shared" si="130"/>
        <v>21500</v>
      </c>
      <c r="Z186" s="146">
        <f t="shared" si="131"/>
        <v>0</v>
      </c>
      <c r="AA186" s="146">
        <f>IF(D186="Active",1,IF(D186="Prospective",IF(Assumptions!$B$6="Active only",0,Assumptions!$B$7),0))</f>
        <v>1</v>
      </c>
      <c r="AB186" s="147" t="str">
        <f t="shared" si="132"/>
        <v>Enter dates</v>
      </c>
      <c r="AC186" s="152" t="s">
        <v>103</v>
      </c>
      <c r="AD186" s="156">
        <f t="shared" si="100"/>
        <v>0</v>
      </c>
    </row>
    <row r="187" spans="1:30" outlineLevel="1" x14ac:dyDescent="0.25">
      <c r="A187" s="51">
        <f>IF(A180="","",A180)</f>
        <v>2642</v>
      </c>
      <c r="B187" s="41" t="str">
        <f>IF(B180="","",B180)</f>
        <v>Saltmarsh Terrace</v>
      </c>
      <c r="C187" s="42" t="s">
        <v>110</v>
      </c>
      <c r="D187" s="43" t="str">
        <f>IF(COUNTA(C187,E187,H187,I187:O187)=0,"",IF(D180="","",D180))</f>
        <v>Active</v>
      </c>
      <c r="E187" s="44"/>
      <c r="F187" s="139" t="str">
        <f t="shared" si="127"/>
        <v/>
      </c>
      <c r="G187" s="136" t="str">
        <f t="shared" si="128"/>
        <v/>
      </c>
      <c r="H187" s="127">
        <v>55000</v>
      </c>
      <c r="I187" s="148"/>
      <c r="J187" s="148"/>
      <c r="K187" s="148"/>
      <c r="L187" s="148"/>
      <c r="M187" s="148"/>
      <c r="N187" s="148"/>
      <c r="O187" s="148"/>
      <c r="P187" s="144">
        <f t="shared" si="129"/>
        <v>0</v>
      </c>
      <c r="Q187" s="144" cm="1">
        <f t="array" ref="Q187">IF(OR(A187="",E187="",F187=""),0,SUMPRODUCT((tlNo=A187)*(Timeline!$H$18:$BG$18+6&gt;=E187)*(Timeline!$H$18:$BG$18&lt;=F187)*Timeline!$H$20:$BG$378))</f>
        <v>0</v>
      </c>
      <c r="R187" s="144">
        <f t="shared" si="99"/>
        <v>0</v>
      </c>
      <c r="S187" s="144">
        <f>SUMIF($I$3:$O$3,Assumptions!$A$15,$I187:$O187)*N($G187)</f>
        <v>0</v>
      </c>
      <c r="T187" s="144">
        <f>SUMIF($I$3:$O$3,Assumptions!$A$16,$I187:$O187)*N($G187)</f>
        <v>0</v>
      </c>
      <c r="U187" s="144">
        <f>SUMIF($I$3:$O$3,Assumptions!$A$17,$I187:$O187)*N($G187)</f>
        <v>0</v>
      </c>
      <c r="V187" s="144">
        <f>SUMIF($I$3:$O$3,Assumptions!$A$18,$I187:$O187)*N($G187)</f>
        <v>0</v>
      </c>
      <c r="W187" s="144">
        <f>SUMIF($I$3:$O$3,Assumptions!$A$19,$I187:$O187)*N($G187)</f>
        <v>0</v>
      </c>
      <c r="X187" s="145">
        <f>S187*Assumptions!$B$15+T187*Assumptions!$B$16+U187*Assumptions!$B$17+V187*Assumptions!$B$18+W187*Assumptions!$B$19</f>
        <v>0</v>
      </c>
      <c r="Y187" s="145">
        <f t="shared" si="130"/>
        <v>55000</v>
      </c>
      <c r="Z187" s="146">
        <f t="shared" si="131"/>
        <v>0</v>
      </c>
      <c r="AA187" s="146">
        <f>IF(D187="Active",1,IF(D187="Prospective",IF(Assumptions!$B$6="Active only",0,Assumptions!$B$7),0))</f>
        <v>1</v>
      </c>
      <c r="AB187" s="147" t="str">
        <f t="shared" si="132"/>
        <v>Enter dates</v>
      </c>
      <c r="AC187" s="152" t="s">
        <v>103</v>
      </c>
      <c r="AD187" s="156">
        <f t="shared" si="100"/>
        <v>0</v>
      </c>
    </row>
    <row r="188" spans="1:30" x14ac:dyDescent="0.25">
      <c r="A188" s="59">
        <v>2672</v>
      </c>
      <c r="B188" s="207" t="s">
        <v>216</v>
      </c>
      <c r="C188" s="61" t="s">
        <v>129</v>
      </c>
      <c r="D188" s="62" t="s">
        <v>33</v>
      </c>
      <c r="E188" s="63">
        <f>IF(COUNT(E189:E192)=0,"",MIN(E189:E192))</f>
        <v>46300</v>
      </c>
      <c r="F188" s="63">
        <f>IF(COUNT(F189:F192)=0,"",MAX(F189:F192))</f>
        <v>47484</v>
      </c>
      <c r="G188" s="134"/>
      <c r="H188" s="125">
        <f>SUM(H189:H192)</f>
        <v>1117500</v>
      </c>
      <c r="I188" s="141"/>
      <c r="J188" s="141"/>
      <c r="K188" s="141"/>
      <c r="L188" s="141"/>
      <c r="M188" s="141"/>
      <c r="N188" s="141"/>
      <c r="O188" s="141"/>
      <c r="P188" s="141">
        <f>SUM(P189:P192)</f>
        <v>1483</v>
      </c>
      <c r="Q188" s="141">
        <f>SUM(Q189:Q192)</f>
        <v>1544</v>
      </c>
      <c r="R188" s="141">
        <f t="shared" si="99"/>
        <v>-61</v>
      </c>
      <c r="S188" s="141">
        <f t="shared" ref="S188:X188" si="133">SUM(S189:S192)</f>
        <v>420</v>
      </c>
      <c r="T188" s="141">
        <f t="shared" si="133"/>
        <v>120</v>
      </c>
      <c r="U188" s="141">
        <f t="shared" si="133"/>
        <v>333</v>
      </c>
      <c r="V188" s="141">
        <f t="shared" si="133"/>
        <v>0</v>
      </c>
      <c r="W188" s="141">
        <f t="shared" si="133"/>
        <v>610</v>
      </c>
      <c r="X188" s="142">
        <f t="shared" si="133"/>
        <v>300750</v>
      </c>
      <c r="Y188" s="142">
        <f>H188-X188</f>
        <v>816750</v>
      </c>
      <c r="Z188" s="143">
        <f>IF(H188=0,"",X188/H188)</f>
        <v>0.26912751677852348</v>
      </c>
      <c r="AA188" s="143"/>
      <c r="AB188" s="40" t="str">
        <f>IF(COUNTIF(AB189:AB192,"?*")=0,"No phases yet",IF(COUNTIF(AB189:AB192,"OK")=COUNTIF(AB189:AB192,"?*"),"All OK",(COUNTIF(AB189:AB192,"?*")-COUNTIF(AB189:AB192,"OK"))&amp;" to fix"))</f>
        <v>4 to fix</v>
      </c>
      <c r="AC188" s="52" t="s">
        <v>130</v>
      </c>
      <c r="AD188" s="156">
        <f t="shared" si="100"/>
        <v>0</v>
      </c>
    </row>
    <row r="189" spans="1:30" outlineLevel="1" x14ac:dyDescent="0.25">
      <c r="A189" s="54">
        <f>IF(A188="","",A188)</f>
        <v>2672</v>
      </c>
      <c r="B189" s="208" t="s">
        <v>216</v>
      </c>
      <c r="C189" s="56" t="s">
        <v>105</v>
      </c>
      <c r="D189" s="57" t="str">
        <f>IF(COUNTA(C189,E189,H189,I189:O189)=0,"",IF(D188="","",D188))</f>
        <v>Active</v>
      </c>
      <c r="E189" s="58">
        <v>46300</v>
      </c>
      <c r="F189" s="138">
        <f>IF(_xlfn.ISFORMULA(G189),"",IF(AND(E189&lt;&gt;"",N(G189)&gt;0),E189+7*G189-1,""))</f>
        <v>46348</v>
      </c>
      <c r="G189" s="135">
        <v>7</v>
      </c>
      <c r="H189" s="126">
        <v>130000</v>
      </c>
      <c r="I189" s="148">
        <v>10</v>
      </c>
      <c r="J189" s="148">
        <v>10</v>
      </c>
      <c r="K189" s="148"/>
      <c r="L189" s="148">
        <v>19</v>
      </c>
      <c r="M189" s="148"/>
      <c r="N189" s="148"/>
      <c r="O189" s="148">
        <v>30</v>
      </c>
      <c r="P189" s="144">
        <f>SUM(I189:O189)*N(G189)</f>
        <v>483</v>
      </c>
      <c r="Q189" s="144" cm="1">
        <f t="array" ref="Q189">IF(OR(A189="",E189="",F189=""),0,SUMPRODUCT((tlNo=A189)*(Timeline!$H$18:$BG$18+6&gt;=E189)*(Timeline!$H$18:$BG$18&lt;=F189)*Timeline!$H$20:$BG$378))</f>
        <v>602</v>
      </c>
      <c r="R189" s="144">
        <f t="shared" si="99"/>
        <v>-119</v>
      </c>
      <c r="S189" s="144">
        <f>SUMIF($I$3:$O$3,Assumptions!$A$15,$I189:$O189)*N($G189)</f>
        <v>140</v>
      </c>
      <c r="T189" s="144">
        <f>SUMIF($I$3:$O$3,Assumptions!$A$16,$I189:$O189)*N($G189)</f>
        <v>0</v>
      </c>
      <c r="U189" s="144">
        <f>SUMIF($I$3:$O$3,Assumptions!$A$17,$I189:$O189)*N($G189)</f>
        <v>133</v>
      </c>
      <c r="V189" s="144">
        <f>SUMIF($I$3:$O$3,Assumptions!$A$18,$I189:$O189)*N($G189)</f>
        <v>0</v>
      </c>
      <c r="W189" s="144">
        <f>SUMIF($I$3:$O$3,Assumptions!$A$19,$I189:$O189)*N($G189)</f>
        <v>210</v>
      </c>
      <c r="X189" s="145">
        <f>S189*Assumptions!$B$15+T189*Assumptions!$B$16+U189*Assumptions!$B$17+V189*Assumptions!$B$18+W189*Assumptions!$B$19</f>
        <v>95550</v>
      </c>
      <c r="Y189" s="145">
        <f>IF(D189="","",H189-X189)</f>
        <v>34450</v>
      </c>
      <c r="Z189" s="146">
        <f>IF(OR(D189="",H189=0),"",X189/H189)</f>
        <v>0.73499999999999999</v>
      </c>
      <c r="AA189" s="146">
        <f>IF(D189="Active",1,IF(D189="Prospective",IF(Assumptions!$B$6="Active only",0,Assumptions!$B$7),0))</f>
        <v>1</v>
      </c>
      <c r="AB189" s="147" t="str">
        <f>IF(COUNTA(C189,E189,H189,I189:O189)=0,"",IF(C189="","Select phase",IF(OR(E189="",F189=""),"Enter dates",IF(F189&lt;E189,"End before start",IF(H189="","Enter phase fee",IF(P189=0,"Enter staff hours",IF(R189&lt;0,"Over-mapped on Timeline",IF(R189&gt;0,"Map hours on Timeline","OK"))))))))</f>
        <v>Over-mapped on Timeline</v>
      </c>
      <c r="AC189" s="152" t="s">
        <v>103</v>
      </c>
      <c r="AD189" s="156">
        <f t="shared" si="100"/>
        <v>7</v>
      </c>
    </row>
    <row r="190" spans="1:30" outlineLevel="1" x14ac:dyDescent="0.25">
      <c r="A190" s="51">
        <f>IF(A188="","",A188)</f>
        <v>2672</v>
      </c>
      <c r="B190" s="209" t="s">
        <v>216</v>
      </c>
      <c r="C190" s="42" t="s">
        <v>106</v>
      </c>
      <c r="D190" s="43" t="str">
        <f>IF(COUNTA(C190,E190,H190,I190:O190)=0,"",IF(D188="","",D188))</f>
        <v>Active</v>
      </c>
      <c r="E190" s="44">
        <v>46348</v>
      </c>
      <c r="F190" s="139">
        <f>IF(_xlfn.ISFORMULA(G190),"",IF(AND(E190&lt;&gt;"",N(G190)&gt;0),E190+7*G190-1,""))</f>
        <v>46417</v>
      </c>
      <c r="G190" s="136">
        <v>10</v>
      </c>
      <c r="H190" s="127">
        <v>275500</v>
      </c>
      <c r="I190" s="148">
        <v>8</v>
      </c>
      <c r="J190" s="148">
        <v>20</v>
      </c>
      <c r="K190" s="148">
        <v>12</v>
      </c>
      <c r="L190" s="148">
        <v>20</v>
      </c>
      <c r="M190" s="148"/>
      <c r="N190" s="148"/>
      <c r="O190" s="148">
        <v>40</v>
      </c>
      <c r="P190" s="144">
        <f>SUM(I190:O190)*N(G190)</f>
        <v>1000</v>
      </c>
      <c r="Q190" s="144" cm="1">
        <f t="array" ref="Q190">IF(OR(A190="",E190="",F190=""),0,SUMPRODUCT((tlNo=A190)*(Timeline!$H$18:$BG$18+6&gt;=E190)*(Timeline!$H$18:$BG$18&lt;=F190)*Timeline!$H$20:$BG$378))</f>
        <v>942</v>
      </c>
      <c r="R190" s="144">
        <f t="shared" si="99"/>
        <v>58</v>
      </c>
      <c r="S190" s="144">
        <f>SUMIF($I$3:$O$3,Assumptions!$A$15,$I190:$O190)*N($G190)</f>
        <v>280</v>
      </c>
      <c r="T190" s="144">
        <f>SUMIF($I$3:$O$3,Assumptions!$A$16,$I190:$O190)*N($G190)</f>
        <v>120</v>
      </c>
      <c r="U190" s="144">
        <f>SUMIF($I$3:$O$3,Assumptions!$A$17,$I190:$O190)*N($G190)</f>
        <v>200</v>
      </c>
      <c r="V190" s="144">
        <f>SUMIF($I$3:$O$3,Assumptions!$A$18,$I190:$O190)*N($G190)</f>
        <v>0</v>
      </c>
      <c r="W190" s="144">
        <f>SUMIF($I$3:$O$3,Assumptions!$A$19,$I190:$O190)*N($G190)</f>
        <v>400</v>
      </c>
      <c r="X190" s="145">
        <f>S190*Assumptions!$B$15+T190*Assumptions!$B$16+U190*Assumptions!$B$17+V190*Assumptions!$B$18+W190*Assumptions!$B$19</f>
        <v>205200</v>
      </c>
      <c r="Y190" s="145">
        <f>IF(D190="","",H190-X190)</f>
        <v>70300</v>
      </c>
      <c r="Z190" s="146">
        <f>IF(OR(D190="",H190=0),"",X190/H190)</f>
        <v>0.7448275862068966</v>
      </c>
      <c r="AA190" s="146">
        <f>IF(D190="Active",1,IF(D190="Prospective",IF(Assumptions!$B$6="Active only",0,Assumptions!$B$7),0))</f>
        <v>1</v>
      </c>
      <c r="AB190" s="147" t="str">
        <f>IF(COUNTA(C190,E190,H190,I190:O190)=0,"",IF(C190="","Select phase",IF(OR(E190="",F190=""),"Enter dates",IF(F190&lt;E190,"End before start",IF(H190="","Enter phase fee",IF(P190=0,"Enter staff hours",IF(R190&lt;0,"Over-mapped on Timeline",IF(R190&gt;0,"Map hours on Timeline","OK"))))))))</f>
        <v>Map hours on Timeline</v>
      </c>
      <c r="AC190" s="152" t="s">
        <v>103</v>
      </c>
      <c r="AD190" s="156">
        <f t="shared" si="100"/>
        <v>10</v>
      </c>
    </row>
    <row r="191" spans="1:30" outlineLevel="1" x14ac:dyDescent="0.25">
      <c r="A191" s="51">
        <f>IF(A188="","",A188)</f>
        <v>2672</v>
      </c>
      <c r="B191" s="209" t="s">
        <v>216</v>
      </c>
      <c r="C191" s="42" t="s">
        <v>107</v>
      </c>
      <c r="D191" s="43" t="str">
        <f>IF(COUNTA(C191,E191,H191,I191:O191)=0,"",IF(D188="","",D188))</f>
        <v>Active</v>
      </c>
      <c r="E191" s="44">
        <v>46459</v>
      </c>
      <c r="F191" s="139">
        <f>IF(_xlfn.ISFORMULA(G191),"",IF(AND(E191&lt;&gt;"",N(G191)&gt;0),E191+7*G191-1,""))</f>
        <v>46738</v>
      </c>
      <c r="G191" s="136">
        <v>40</v>
      </c>
      <c r="H191" s="127">
        <v>566500</v>
      </c>
      <c r="I191" s="148"/>
      <c r="J191" s="148"/>
      <c r="K191" s="148"/>
      <c r="L191" s="148"/>
      <c r="M191" s="148"/>
      <c r="N191" s="148"/>
      <c r="O191" s="148"/>
      <c r="P191" s="144">
        <f>SUM(I191:O191)*N(G191)</f>
        <v>0</v>
      </c>
      <c r="Q191" s="144" cm="1">
        <f t="array" ref="Q191">IF(OR(A191="",E191="",F191=""),0,SUMPRODUCT((tlNo=A191)*(Timeline!$H$18:$BG$18+6&gt;=E191)*(Timeline!$H$18:$BG$18&lt;=F191)*Timeline!$H$20:$BG$378))</f>
        <v>0</v>
      </c>
      <c r="R191" s="144">
        <f t="shared" si="99"/>
        <v>0</v>
      </c>
      <c r="S191" s="144">
        <f>SUMIF($I$3:$O$3,Assumptions!$A$15,$I191:$O191)*N($G191)</f>
        <v>0</v>
      </c>
      <c r="T191" s="144">
        <f>SUMIF($I$3:$O$3,Assumptions!$A$16,$I191:$O191)*N($G191)</f>
        <v>0</v>
      </c>
      <c r="U191" s="144">
        <f>SUMIF($I$3:$O$3,Assumptions!$A$17,$I191:$O191)*N($G191)</f>
        <v>0</v>
      </c>
      <c r="V191" s="144">
        <f>SUMIF($I$3:$O$3,Assumptions!$A$18,$I191:$O191)*N($G191)</f>
        <v>0</v>
      </c>
      <c r="W191" s="144">
        <f>SUMIF($I$3:$O$3,Assumptions!$A$19,$I191:$O191)*N($G191)</f>
        <v>0</v>
      </c>
      <c r="X191" s="145">
        <f>S191*Assumptions!$B$15+T191*Assumptions!$B$16+U191*Assumptions!$B$17+V191*Assumptions!$B$18+W191*Assumptions!$B$19</f>
        <v>0</v>
      </c>
      <c r="Y191" s="145">
        <f>IF(D191="","",H191-X191)</f>
        <v>566500</v>
      </c>
      <c r="Z191" s="146">
        <f>IF(OR(D191="",H191=0),"",X191/H191)</f>
        <v>0</v>
      </c>
      <c r="AA191" s="146">
        <f>IF(D191="Active",1,IF(D191="Prospective",IF(Assumptions!$B$6="Active only",0,Assumptions!$B$7),0))</f>
        <v>1</v>
      </c>
      <c r="AB191" s="147" t="str">
        <f>IF(COUNTA(C191,E191,H191,I191:O191)=0,"",IF(C191="","Select phase",IF(OR(E191="",F191=""),"Enter dates",IF(F191&lt;E191,"End before start",IF(H191="","Enter phase fee",IF(P191=0,"Enter staff hours",IF(R191&lt;0,"Over-mapped on Timeline",IF(R191&gt;0,"Map hours on Timeline","OK"))))))))</f>
        <v>Enter staff hours</v>
      </c>
      <c r="AC191" s="152" t="s">
        <v>103</v>
      </c>
      <c r="AD191" s="156">
        <f t="shared" si="100"/>
        <v>40</v>
      </c>
    </row>
    <row r="192" spans="1:30" outlineLevel="1" x14ac:dyDescent="0.25">
      <c r="A192" s="51">
        <f>IF(A188="","",A188)</f>
        <v>2672</v>
      </c>
      <c r="B192" s="209" t="s">
        <v>216</v>
      </c>
      <c r="C192" s="42" t="s">
        <v>110</v>
      </c>
      <c r="D192" s="43" t="str">
        <f>IF(COUNTA(C192,E192,H192,I192:O192)=0,"",IF(D188="","",D188))</f>
        <v>Active</v>
      </c>
      <c r="E192" s="44">
        <v>46738</v>
      </c>
      <c r="F192" s="139">
        <v>47484</v>
      </c>
      <c r="G192" s="136">
        <f>IF(OR(E192="",F192=""),"",IF(F192&lt;E192,"",ROUNDUP((F192-E192+1)/7,0)))</f>
        <v>107</v>
      </c>
      <c r="H192" s="127">
        <v>145500</v>
      </c>
      <c r="I192" s="148"/>
      <c r="J192" s="148"/>
      <c r="K192" s="148"/>
      <c r="L192" s="148"/>
      <c r="M192" s="148"/>
      <c r="N192" s="148"/>
      <c r="O192" s="148"/>
      <c r="P192" s="144">
        <f>SUM(I192:O192)*N(G192)</f>
        <v>0</v>
      </c>
      <c r="Q192" s="144" cm="1">
        <f t="array" ref="Q192">IF(OR(A192="",E192="",F192=""),0,SUMPRODUCT((tlNo=A192)*(Timeline!$H$18:$BG$18+6&gt;=E192)*(Timeline!$H$18:$BG$18&lt;=F192)*Timeline!$H$20:$BG$378))</f>
        <v>0</v>
      </c>
      <c r="R192" s="144">
        <f t="shared" si="99"/>
        <v>0</v>
      </c>
      <c r="S192" s="144">
        <f>SUMIF($I$3:$O$3,Assumptions!$A$15,$I192:$O192)*N($G192)</f>
        <v>0</v>
      </c>
      <c r="T192" s="144">
        <f>SUMIF($I$3:$O$3,Assumptions!$A$16,$I192:$O192)*N($G192)</f>
        <v>0</v>
      </c>
      <c r="U192" s="144">
        <f>SUMIF($I$3:$O$3,Assumptions!$A$17,$I192:$O192)*N($G192)</f>
        <v>0</v>
      </c>
      <c r="V192" s="144">
        <f>SUMIF($I$3:$O$3,Assumptions!$A$18,$I192:$O192)*N($G192)</f>
        <v>0</v>
      </c>
      <c r="W192" s="144">
        <f>SUMIF($I$3:$O$3,Assumptions!$A$19,$I192:$O192)*N($G192)</f>
        <v>0</v>
      </c>
      <c r="X192" s="145">
        <f>S192*Assumptions!$B$15+T192*Assumptions!$B$16+U192*Assumptions!$B$17+V192*Assumptions!$B$18+W192*Assumptions!$B$19</f>
        <v>0</v>
      </c>
      <c r="Y192" s="145">
        <f>IF(D192="","",H192-X192)</f>
        <v>145500</v>
      </c>
      <c r="Z192" s="146">
        <f>IF(OR(D192="",H192=0),"",X192/H192)</f>
        <v>0</v>
      </c>
      <c r="AA192" s="146">
        <f>IF(D192="Active",1,IF(D192="Prospective",IF(Assumptions!$B$6="Active only",0,Assumptions!$B$7),0))</f>
        <v>1</v>
      </c>
      <c r="AB192" s="147" t="str">
        <f>IF(COUNTA(C192,E192,H192,I192:O192)=0,"",IF(C192="","Select phase",IF(OR(E192="",F192=""),"Enter dates",IF(F192&lt;E192,"End before start",IF(H192="","Enter phase fee",IF(P192=0,"Enter staff hours",IF(R192&lt;0,"Over-mapped on Timeline",IF(R192&gt;0,"Map hours on Timeline","OK"))))))))</f>
        <v>Enter staff hours</v>
      </c>
      <c r="AC192" s="152" t="s">
        <v>103</v>
      </c>
      <c r="AD192" s="156">
        <f t="shared" si="100"/>
        <v>107</v>
      </c>
    </row>
    <row r="193" spans="1:30" x14ac:dyDescent="0.25">
      <c r="A193" s="59">
        <v>2673</v>
      </c>
      <c r="B193" s="207" t="s">
        <v>217</v>
      </c>
      <c r="C193" s="61" t="s">
        <v>129</v>
      </c>
      <c r="D193" s="62" t="s">
        <v>33</v>
      </c>
      <c r="E193" s="63">
        <f>IF(COUNT(E194:E199)=0,"",MIN(E194:E199))</f>
        <v>46300</v>
      </c>
      <c r="F193" s="63">
        <f>IF(COUNT(F194:F199)=0,"",MAX(F194:F199))</f>
        <v>46998</v>
      </c>
      <c r="G193" s="134"/>
      <c r="H193" s="125">
        <f>SUM(H194:H199)</f>
        <v>125500</v>
      </c>
      <c r="I193" s="141"/>
      <c r="J193" s="141"/>
      <c r="K193" s="141"/>
      <c r="L193" s="141"/>
      <c r="M193" s="141"/>
      <c r="N193" s="141"/>
      <c r="O193" s="141"/>
      <c r="P193" s="141">
        <f>SUM(P194:P199)</f>
        <v>572</v>
      </c>
      <c r="Q193" s="141">
        <f>SUM(Q194:Q199)</f>
        <v>185</v>
      </c>
      <c r="R193" s="141">
        <f t="shared" si="99"/>
        <v>387</v>
      </c>
      <c r="S193" s="141">
        <f t="shared" ref="S193:X193" si="134">SUM(S194:S199)</f>
        <v>61</v>
      </c>
      <c r="T193" s="141">
        <f t="shared" si="134"/>
        <v>107</v>
      </c>
      <c r="U193" s="141">
        <f t="shared" si="134"/>
        <v>44</v>
      </c>
      <c r="V193" s="141">
        <f t="shared" si="134"/>
        <v>360</v>
      </c>
      <c r="W193" s="141">
        <f t="shared" si="134"/>
        <v>0</v>
      </c>
      <c r="X193" s="142">
        <f t="shared" si="134"/>
        <v>116240</v>
      </c>
      <c r="Y193" s="142">
        <f>H193-X193</f>
        <v>9260</v>
      </c>
      <c r="Z193" s="143">
        <f>IF(H193=0,"",X193/H193)</f>
        <v>0.92621513944223111</v>
      </c>
      <c r="AA193" s="143"/>
      <c r="AB193" s="40" t="str">
        <f>IF(COUNTIF(AB194:AB199,"?*")=0,"No phases yet",IF(COUNTIF(AB194:AB199,"OK")=COUNTIF(AB194:AB199,"?*"),"All OK",(COUNTIF(AB194:AB199,"?*")-COUNTIF(AB194:AB199,"OK"))&amp;" to fix"))</f>
        <v>6 to fix</v>
      </c>
      <c r="AC193" s="52" t="s">
        <v>130</v>
      </c>
      <c r="AD193" s="156">
        <f t="shared" si="100"/>
        <v>0</v>
      </c>
    </row>
    <row r="194" spans="1:30" outlineLevel="2" x14ac:dyDescent="0.25">
      <c r="A194" s="54">
        <f>IF(A193="","",A193)</f>
        <v>2673</v>
      </c>
      <c r="B194" s="55" t="str">
        <f>IF(B193="","",B193)</f>
        <v>Meadow Townhomes</v>
      </c>
      <c r="C194" s="56" t="s">
        <v>105</v>
      </c>
      <c r="D194" s="57" t="str">
        <f>IF(COUNTA(C194,E194,H194,I194:O194)=0,"",IF(D193="","",D193))</f>
        <v>Active</v>
      </c>
      <c r="E194" s="58">
        <v>46300</v>
      </c>
      <c r="F194" s="58">
        <v>46327</v>
      </c>
      <c r="G194" s="135">
        <f>IF(OR(E194="",F194=""),"",IF(F194&lt;E194,"",ROUNDUP((F194-E194+1)/7,0)))</f>
        <v>4</v>
      </c>
      <c r="H194" s="126">
        <v>26000</v>
      </c>
      <c r="I194" s="148">
        <v>8</v>
      </c>
      <c r="J194" s="148"/>
      <c r="K194" s="148"/>
      <c r="L194" s="148">
        <v>11</v>
      </c>
      <c r="M194" s="148">
        <v>1</v>
      </c>
      <c r="N194" s="148">
        <v>16</v>
      </c>
      <c r="O194" s="148"/>
      <c r="P194" s="144">
        <f t="shared" ref="P194:P199" si="135">SUM(I194:O194)*N(G194)</f>
        <v>144</v>
      </c>
      <c r="Q194" s="144" cm="1">
        <f t="array" ref="Q194">IF(OR(A194="",E194="",F194=""),0,SUMPRODUCT((tlNo=A194)*(Timeline!$H$18:$BG$18+6&gt;=E194)*(Timeline!$H$18:$BG$18&lt;=F194)*Timeline!$H$20:$BG$378))</f>
        <v>148</v>
      </c>
      <c r="R194" s="144">
        <f t="shared" si="99"/>
        <v>-4</v>
      </c>
      <c r="S194" s="144">
        <f>SUMIF($I$3:$O$3,Assumptions!$A$15,$I194:$O194)*N($G194)</f>
        <v>32</v>
      </c>
      <c r="T194" s="144">
        <f>SUMIF($I$3:$O$3,Assumptions!$A$16,$I194:$O194)*N($G194)</f>
        <v>0</v>
      </c>
      <c r="U194" s="144">
        <f>SUMIF($I$3:$O$3,Assumptions!$A$17,$I194:$O194)*N($G194)</f>
        <v>44</v>
      </c>
      <c r="V194" s="144">
        <f>SUMIF($I$3:$O$3,Assumptions!$A$18,$I194:$O194)*N($G194)</f>
        <v>68</v>
      </c>
      <c r="W194" s="144">
        <f>SUMIF($I$3:$O$3,Assumptions!$A$19,$I194:$O194)*N($G194)</f>
        <v>0</v>
      </c>
      <c r="X194" s="145">
        <f>S194*Assumptions!$B$15+T194*Assumptions!$B$16+U194*Assumptions!$B$17+V194*Assumptions!$B$18+W194*Assumptions!$B$19</f>
        <v>29980</v>
      </c>
      <c r="Y194" s="145">
        <f t="shared" ref="Y194:Y199" si="136">IF(D194="","",H194-X194)</f>
        <v>-3980</v>
      </c>
      <c r="Z194" s="146">
        <f t="shared" ref="Z194:Z199" si="137">IF(OR(D194="",H194=0),"",X194/H194)</f>
        <v>1.1530769230769231</v>
      </c>
      <c r="AA194" s="146">
        <f>IF(D194="Active",1,IF(D194="Prospective",IF(Assumptions!$B$6="Active only",0,Assumptions!$B$7),0))</f>
        <v>1</v>
      </c>
      <c r="AB194" s="147" t="str">
        <f t="shared" ref="AB194:AB199" si="138">IF(COUNTA(C194,E194,H194,I194:O194)=0,"",IF(C194="","Select phase",IF(OR(E194="",F194=""),"Enter dates",IF(F194&lt;E194,"End before start",IF(H194="","Enter phase fee",IF(P194=0,"Enter staff hours",IF(R194&lt;0,"Over-mapped on Timeline",IF(R194&gt;0,"Map hours on Timeline","OK"))))))))</f>
        <v>Over-mapped on Timeline</v>
      </c>
      <c r="AC194" s="152" t="s">
        <v>103</v>
      </c>
      <c r="AD194" s="156">
        <f t="shared" si="100"/>
        <v>4</v>
      </c>
    </row>
    <row r="195" spans="1:30" outlineLevel="2" x14ac:dyDescent="0.25">
      <c r="A195" s="51">
        <f>IF(A193="","",A193)</f>
        <v>2673</v>
      </c>
      <c r="B195" s="41" t="str">
        <f>IF(B193="","",B193)</f>
        <v>Meadow Townhomes</v>
      </c>
      <c r="C195" s="42" t="s">
        <v>106</v>
      </c>
      <c r="D195" s="43" t="str">
        <f>IF(COUNTA(C195,E195,H195,I195:O195)=0,"",IF(D193="","",D193))</f>
        <v>Active</v>
      </c>
      <c r="E195" s="44">
        <v>46327</v>
      </c>
      <c r="F195" s="139">
        <f>IF(_xlfn.ISFORMULA(G195),"",IF(AND(E195&lt;&gt;"",N(G195)&gt;0),E195+7*G195-1,""))</f>
        <v>46396</v>
      </c>
      <c r="G195" s="136">
        <v>10</v>
      </c>
      <c r="H195" s="127">
        <v>26000</v>
      </c>
      <c r="I195" s="148">
        <v>2</v>
      </c>
      <c r="J195" s="148"/>
      <c r="K195" s="148">
        <v>3.5</v>
      </c>
      <c r="L195" s="148"/>
      <c r="M195" s="148"/>
      <c r="N195" s="148">
        <v>10</v>
      </c>
      <c r="O195" s="148"/>
      <c r="P195" s="144">
        <f t="shared" si="135"/>
        <v>155</v>
      </c>
      <c r="Q195" s="144" cm="1">
        <f t="array" ref="Q195">IF(OR(A195="",E195="",F195=""),0,SUMPRODUCT((tlNo=A195)*(Timeline!$H$18:$BG$18+6&gt;=E195)*(Timeline!$H$18:$BG$18&lt;=F195)*Timeline!$H$20:$BG$378))</f>
        <v>37</v>
      </c>
      <c r="R195" s="144">
        <f t="shared" si="99"/>
        <v>118</v>
      </c>
      <c r="S195" s="144">
        <f>SUMIF($I$3:$O$3,Assumptions!$A$15,$I195:$O195)*N($G195)</f>
        <v>20</v>
      </c>
      <c r="T195" s="144">
        <f>SUMIF($I$3:$O$3,Assumptions!$A$16,$I195:$O195)*N($G195)</f>
        <v>35</v>
      </c>
      <c r="U195" s="144">
        <f>SUMIF($I$3:$O$3,Assumptions!$A$17,$I195:$O195)*N($G195)</f>
        <v>0</v>
      </c>
      <c r="V195" s="144">
        <f>SUMIF($I$3:$O$3,Assumptions!$A$18,$I195:$O195)*N($G195)</f>
        <v>100</v>
      </c>
      <c r="W195" s="144">
        <f>SUMIF($I$3:$O$3,Assumptions!$A$19,$I195:$O195)*N($G195)</f>
        <v>0</v>
      </c>
      <c r="X195" s="145">
        <f>S195*Assumptions!$B$15+T195*Assumptions!$B$16+U195*Assumptions!$B$17+V195*Assumptions!$B$18+W195*Assumptions!$B$19</f>
        <v>32050</v>
      </c>
      <c r="Y195" s="145">
        <f t="shared" si="136"/>
        <v>-6050</v>
      </c>
      <c r="Z195" s="146">
        <f t="shared" si="137"/>
        <v>1.2326923076923078</v>
      </c>
      <c r="AA195" s="146">
        <f>IF(D195="Active",1,IF(D195="Prospective",IF(Assumptions!$B$6="Active only",0,Assumptions!$B$7),0))</f>
        <v>1</v>
      </c>
      <c r="AB195" s="147" t="str">
        <f t="shared" si="138"/>
        <v>Map hours on Timeline</v>
      </c>
      <c r="AC195" s="152" t="s">
        <v>103</v>
      </c>
      <c r="AD195" s="156">
        <f t="shared" si="100"/>
        <v>10</v>
      </c>
    </row>
    <row r="196" spans="1:30" outlineLevel="2" x14ac:dyDescent="0.25">
      <c r="A196" s="51">
        <f>IF(A193="","",A193)</f>
        <v>2673</v>
      </c>
      <c r="B196" s="41" t="str">
        <f>IF(B193="","",B193)</f>
        <v>Meadow Townhomes</v>
      </c>
      <c r="C196" s="42" t="s">
        <v>107</v>
      </c>
      <c r="D196" s="43" t="str">
        <f>IF(COUNTA(C196,E196,H196,I196:O196)=0,"",IF(D193="","",D193))</f>
        <v>Active</v>
      </c>
      <c r="E196" s="44">
        <v>46390</v>
      </c>
      <c r="F196" s="139">
        <f>IF(_xlfn.ISFORMULA(G196),"",IF(AND(E196&lt;&gt;"",N(G196)&gt;0),E196+7*G196-1,""))</f>
        <v>46473</v>
      </c>
      <c r="G196" s="136">
        <v>12</v>
      </c>
      <c r="H196" s="127">
        <v>41500</v>
      </c>
      <c r="I196" s="148">
        <v>0.75</v>
      </c>
      <c r="J196" s="148"/>
      <c r="K196" s="148">
        <v>6</v>
      </c>
      <c r="L196" s="148"/>
      <c r="M196" s="148"/>
      <c r="N196" s="148">
        <v>16</v>
      </c>
      <c r="O196" s="148"/>
      <c r="P196" s="144">
        <f t="shared" si="135"/>
        <v>273</v>
      </c>
      <c r="Q196" s="144" cm="1">
        <f t="array" ref="Q196">IF(OR(A196="",E196="",F196=""),0,SUMPRODUCT((tlNo=A196)*(Timeline!$H$18:$BG$18+6&gt;=E196)*(Timeline!$H$18:$BG$18&lt;=F196)*Timeline!$H$20:$BG$378))</f>
        <v>0</v>
      </c>
      <c r="R196" s="144">
        <f t="shared" si="99"/>
        <v>273</v>
      </c>
      <c r="S196" s="144">
        <f>SUMIF($I$3:$O$3,Assumptions!$A$15,$I196:$O196)*N($G196)</f>
        <v>9</v>
      </c>
      <c r="T196" s="144">
        <f>SUMIF($I$3:$O$3,Assumptions!$A$16,$I196:$O196)*N($G196)</f>
        <v>72</v>
      </c>
      <c r="U196" s="144">
        <f>SUMIF($I$3:$O$3,Assumptions!$A$17,$I196:$O196)*N($G196)</f>
        <v>0</v>
      </c>
      <c r="V196" s="144">
        <f>SUMIF($I$3:$O$3,Assumptions!$A$18,$I196:$O196)*N($G196)</f>
        <v>192</v>
      </c>
      <c r="W196" s="144">
        <f>SUMIF($I$3:$O$3,Assumptions!$A$19,$I196:$O196)*N($G196)</f>
        <v>0</v>
      </c>
      <c r="X196" s="145">
        <f>S196*Assumptions!$B$15+T196*Assumptions!$B$16+U196*Assumptions!$B$17+V196*Assumptions!$B$18+W196*Assumptions!$B$19</f>
        <v>54210</v>
      </c>
      <c r="Y196" s="145">
        <f t="shared" si="136"/>
        <v>-12710</v>
      </c>
      <c r="Z196" s="146">
        <f t="shared" si="137"/>
        <v>1.3062650602409638</v>
      </c>
      <c r="AA196" s="146">
        <f>IF(D196="Active",1,IF(D196="Prospective",IF(Assumptions!$B$6="Active only",0,Assumptions!$B$7),0))</f>
        <v>1</v>
      </c>
      <c r="AB196" s="147" t="str">
        <f t="shared" si="138"/>
        <v>Map hours on Timeline</v>
      </c>
      <c r="AC196" s="152" t="s">
        <v>103</v>
      </c>
      <c r="AD196" s="156">
        <f t="shared" si="100"/>
        <v>12</v>
      </c>
    </row>
    <row r="197" spans="1:30" outlineLevel="2" x14ac:dyDescent="0.25">
      <c r="A197" s="51">
        <f>IF(A193="","",A193)</f>
        <v>2673</v>
      </c>
      <c r="B197" s="41" t="str">
        <f>IF(B193="","",B193)</f>
        <v>Meadow Townhomes</v>
      </c>
      <c r="C197" s="42" t="s">
        <v>108</v>
      </c>
      <c r="D197" s="43" t="str">
        <f>IF(COUNTA(C197,E197,H197,I197:O197)=0,"",IF(D193="","",D193))</f>
        <v>Active</v>
      </c>
      <c r="E197" s="44">
        <v>46467</v>
      </c>
      <c r="F197" s="139">
        <f>IF(_xlfn.ISFORMULA(G197),"",IF(AND(E197&lt;&gt;"",N(G197)&gt;0),E197+7*G197-1,""))</f>
        <v>46522</v>
      </c>
      <c r="G197" s="136">
        <v>8</v>
      </c>
      <c r="H197" s="127">
        <v>5500</v>
      </c>
      <c r="I197" s="148"/>
      <c r="J197" s="148"/>
      <c r="K197" s="148"/>
      <c r="L197" s="148"/>
      <c r="M197" s="148"/>
      <c r="N197" s="148"/>
      <c r="O197" s="148"/>
      <c r="P197" s="144">
        <f t="shared" si="135"/>
        <v>0</v>
      </c>
      <c r="Q197" s="144" cm="1">
        <f t="array" ref="Q197">IF(OR(A197="",E197="",F197=""),0,SUMPRODUCT((tlNo=A197)*(Timeline!$H$18:$BG$18+6&gt;=E197)*(Timeline!$H$18:$BG$18&lt;=F197)*Timeline!$H$20:$BG$378))</f>
        <v>0</v>
      </c>
      <c r="R197" s="144">
        <f t="shared" ref="R197:R235" si="139">P197-Q197</f>
        <v>0</v>
      </c>
      <c r="S197" s="144">
        <f>SUMIF($I$3:$O$3,Assumptions!$A$15,$I197:$O197)*N($G197)</f>
        <v>0</v>
      </c>
      <c r="T197" s="144">
        <f>SUMIF($I$3:$O$3,Assumptions!$A$16,$I197:$O197)*N($G197)</f>
        <v>0</v>
      </c>
      <c r="U197" s="144">
        <f>SUMIF($I$3:$O$3,Assumptions!$A$17,$I197:$O197)*N($G197)</f>
        <v>0</v>
      </c>
      <c r="V197" s="144">
        <f>SUMIF($I$3:$O$3,Assumptions!$A$18,$I197:$O197)*N($G197)</f>
        <v>0</v>
      </c>
      <c r="W197" s="144">
        <f>SUMIF($I$3:$O$3,Assumptions!$A$19,$I197:$O197)*N($G197)</f>
        <v>0</v>
      </c>
      <c r="X197" s="145">
        <f>S197*Assumptions!$B$15+T197*Assumptions!$B$16+U197*Assumptions!$B$17+V197*Assumptions!$B$18+W197*Assumptions!$B$19</f>
        <v>0</v>
      </c>
      <c r="Y197" s="145">
        <f t="shared" si="136"/>
        <v>5500</v>
      </c>
      <c r="Z197" s="146">
        <f t="shared" si="137"/>
        <v>0</v>
      </c>
      <c r="AA197" s="146">
        <f>IF(D197="Active",1,IF(D197="Prospective",IF(Assumptions!$B$6="Active only",0,Assumptions!$B$7),0))</f>
        <v>1</v>
      </c>
      <c r="AB197" s="147" t="str">
        <f t="shared" si="138"/>
        <v>Enter staff hours</v>
      </c>
      <c r="AC197" s="152" t="s">
        <v>103</v>
      </c>
      <c r="AD197" s="156">
        <f t="shared" ref="AD197:AD235" si="140">IF(AC197="Phase",N(G197),0)</f>
        <v>8</v>
      </c>
    </row>
    <row r="198" spans="1:30" outlineLevel="2" x14ac:dyDescent="0.25">
      <c r="A198" s="51">
        <f>IF(A193="","",A193)</f>
        <v>2673</v>
      </c>
      <c r="B198" s="41" t="str">
        <f>IF(B193="","",B193)</f>
        <v>Meadow Townhomes</v>
      </c>
      <c r="C198" s="42" t="s">
        <v>109</v>
      </c>
      <c r="D198" s="43" t="str">
        <f>IF(COUNTA(C198,E198,H198,I198:O198)=0,"",IF(D193="","",D193))</f>
        <v>Active</v>
      </c>
      <c r="E198" s="44">
        <v>46390</v>
      </c>
      <c r="F198" s="139">
        <f>IF(_xlfn.ISFORMULA(G198),"",IF(AND(E198&lt;&gt;"",N(G198)&gt;0),E198+7*G198-1,""))</f>
        <v>46557</v>
      </c>
      <c r="G198" s="136">
        <v>24</v>
      </c>
      <c r="H198" s="127">
        <v>5500</v>
      </c>
      <c r="I198" s="148"/>
      <c r="J198" s="148"/>
      <c r="K198" s="148"/>
      <c r="L198" s="148"/>
      <c r="M198" s="148"/>
      <c r="N198" s="148"/>
      <c r="O198" s="148"/>
      <c r="P198" s="144">
        <f t="shared" si="135"/>
        <v>0</v>
      </c>
      <c r="Q198" s="144" cm="1">
        <f t="array" ref="Q198">IF(OR(A198="",E198="",F198=""),0,SUMPRODUCT((tlNo=A198)*(Timeline!$H$18:$BG$18+6&gt;=E198)*(Timeline!$H$18:$BG$18&lt;=F198)*Timeline!$H$20:$BG$378))</f>
        <v>0</v>
      </c>
      <c r="R198" s="144">
        <f t="shared" si="139"/>
        <v>0</v>
      </c>
      <c r="S198" s="144">
        <f>SUMIF($I$3:$O$3,Assumptions!$A$15,$I198:$O198)*N($G198)</f>
        <v>0</v>
      </c>
      <c r="T198" s="144">
        <f>SUMIF($I$3:$O$3,Assumptions!$A$16,$I198:$O198)*N($G198)</f>
        <v>0</v>
      </c>
      <c r="U198" s="144">
        <f>SUMIF($I$3:$O$3,Assumptions!$A$17,$I198:$O198)*N($G198)</f>
        <v>0</v>
      </c>
      <c r="V198" s="144">
        <f>SUMIF($I$3:$O$3,Assumptions!$A$18,$I198:$O198)*N($G198)</f>
        <v>0</v>
      </c>
      <c r="W198" s="144">
        <f>SUMIF($I$3:$O$3,Assumptions!$A$19,$I198:$O198)*N($G198)</f>
        <v>0</v>
      </c>
      <c r="X198" s="145">
        <f>S198*Assumptions!$B$15+T198*Assumptions!$B$16+U198*Assumptions!$B$17+V198*Assumptions!$B$18+W198*Assumptions!$B$19</f>
        <v>0</v>
      </c>
      <c r="Y198" s="145">
        <f t="shared" si="136"/>
        <v>5500</v>
      </c>
      <c r="Z198" s="146">
        <f t="shared" si="137"/>
        <v>0</v>
      </c>
      <c r="AA198" s="146">
        <f>IF(D198="Active",1,IF(D198="Prospective",IF(Assumptions!$B$6="Active only",0,Assumptions!$B$7),0))</f>
        <v>1</v>
      </c>
      <c r="AB198" s="147" t="str">
        <f t="shared" si="138"/>
        <v>Enter staff hours</v>
      </c>
      <c r="AC198" s="152" t="s">
        <v>103</v>
      </c>
      <c r="AD198" s="156">
        <f t="shared" si="140"/>
        <v>24</v>
      </c>
    </row>
    <row r="199" spans="1:30" outlineLevel="2" x14ac:dyDescent="0.25">
      <c r="A199" s="51">
        <f>IF(A193="","",A193)</f>
        <v>2673</v>
      </c>
      <c r="B199" s="41" t="str">
        <f>IF(B193="","",B193)</f>
        <v>Meadow Townhomes</v>
      </c>
      <c r="C199" s="42" t="s">
        <v>110</v>
      </c>
      <c r="D199" s="43" t="str">
        <f>IF(COUNTA(C199,E199,H199,I199:O199)=0,"",IF(D193="","",D193))</f>
        <v>Active</v>
      </c>
      <c r="E199" s="44">
        <v>46551</v>
      </c>
      <c r="F199" s="139">
        <f>IF(_xlfn.ISFORMULA(G199),"",IF(AND(E199&lt;&gt;"",N(G199)&gt;0),E199+7*G199-1,""))</f>
        <v>46998</v>
      </c>
      <c r="G199" s="136">
        <v>64</v>
      </c>
      <c r="H199" s="127">
        <v>21000</v>
      </c>
      <c r="I199" s="148"/>
      <c r="J199" s="148"/>
      <c r="K199" s="148"/>
      <c r="L199" s="148"/>
      <c r="M199" s="148"/>
      <c r="N199" s="148"/>
      <c r="O199" s="148"/>
      <c r="P199" s="144">
        <f t="shared" si="135"/>
        <v>0</v>
      </c>
      <c r="Q199" s="144" cm="1">
        <f t="array" ref="Q199">IF(OR(A199="",E199="",F199=""),0,SUMPRODUCT((tlNo=A199)*(Timeline!$H$18:$BG$18+6&gt;=E199)*(Timeline!$H$18:$BG$18&lt;=F199)*Timeline!$H$20:$BG$378))</f>
        <v>0</v>
      </c>
      <c r="R199" s="144">
        <f t="shared" si="139"/>
        <v>0</v>
      </c>
      <c r="S199" s="144">
        <f>SUMIF($I$3:$O$3,Assumptions!$A$15,$I199:$O199)*N($G199)</f>
        <v>0</v>
      </c>
      <c r="T199" s="144">
        <f>SUMIF($I$3:$O$3,Assumptions!$A$16,$I199:$O199)*N($G199)</f>
        <v>0</v>
      </c>
      <c r="U199" s="144">
        <f>SUMIF($I$3:$O$3,Assumptions!$A$17,$I199:$O199)*N($G199)</f>
        <v>0</v>
      </c>
      <c r="V199" s="144">
        <f>SUMIF($I$3:$O$3,Assumptions!$A$18,$I199:$O199)*N($G199)</f>
        <v>0</v>
      </c>
      <c r="W199" s="144">
        <f>SUMIF($I$3:$O$3,Assumptions!$A$19,$I199:$O199)*N($G199)</f>
        <v>0</v>
      </c>
      <c r="X199" s="145">
        <f>S199*Assumptions!$B$15+T199*Assumptions!$B$16+U199*Assumptions!$B$17+V199*Assumptions!$B$18+W199*Assumptions!$B$19</f>
        <v>0</v>
      </c>
      <c r="Y199" s="145">
        <f t="shared" si="136"/>
        <v>21000</v>
      </c>
      <c r="Z199" s="146">
        <f t="shared" si="137"/>
        <v>0</v>
      </c>
      <c r="AA199" s="146">
        <f>IF(D199="Active",1,IF(D199="Prospective",IF(Assumptions!$B$6="Active only",0,Assumptions!$B$7),0))</f>
        <v>1</v>
      </c>
      <c r="AB199" s="147" t="str">
        <f t="shared" si="138"/>
        <v>Enter staff hours</v>
      </c>
      <c r="AC199" s="152" t="s">
        <v>103</v>
      </c>
      <c r="AD199" s="156">
        <f t="shared" si="140"/>
        <v>64</v>
      </c>
    </row>
    <row r="200" spans="1:30" x14ac:dyDescent="0.25">
      <c r="A200" s="59"/>
      <c r="B200" s="60"/>
      <c r="C200" s="61" t="s">
        <v>129</v>
      </c>
      <c r="D200" s="62"/>
      <c r="E200" s="63" t="str">
        <f>IF(COUNT(E201:E208)=0,"",MIN(E201:E208))</f>
        <v/>
      </c>
      <c r="F200" s="63" t="str">
        <f>IF(COUNT(F201:F208)=0,"",MAX(F201:F208))</f>
        <v/>
      </c>
      <c r="G200" s="134"/>
      <c r="H200" s="125">
        <f>SUM(H201:H208)</f>
        <v>0</v>
      </c>
      <c r="I200" s="141"/>
      <c r="J200" s="141"/>
      <c r="K200" s="141"/>
      <c r="L200" s="141"/>
      <c r="M200" s="141"/>
      <c r="N200" s="141"/>
      <c r="O200" s="141"/>
      <c r="P200" s="141">
        <f>SUM(P201:P208)</f>
        <v>0</v>
      </c>
      <c r="Q200" s="141">
        <f>SUM(Q201:Q208)</f>
        <v>0</v>
      </c>
      <c r="R200" s="141">
        <f t="shared" si="139"/>
        <v>0</v>
      </c>
      <c r="S200" s="141">
        <f t="shared" ref="S200:X200" si="141">SUM(S201:S208)</f>
        <v>0</v>
      </c>
      <c r="T200" s="141">
        <f t="shared" si="141"/>
        <v>0</v>
      </c>
      <c r="U200" s="141">
        <f t="shared" si="141"/>
        <v>0</v>
      </c>
      <c r="V200" s="141">
        <f t="shared" si="141"/>
        <v>0</v>
      </c>
      <c r="W200" s="141">
        <f t="shared" si="141"/>
        <v>0</v>
      </c>
      <c r="X200" s="142">
        <f t="shared" si="141"/>
        <v>0</v>
      </c>
      <c r="Y200" s="142">
        <f>H200-X200</f>
        <v>0</v>
      </c>
      <c r="Z200" s="143" t="str">
        <f>IF(H200=0,"",X200/H200)</f>
        <v/>
      </c>
      <c r="AA200" s="143"/>
      <c r="AB200" s="40" t="str">
        <f>IF(COUNTIF(AB201:AB208,"?*")=0,"No phases yet",IF(COUNTIF(AB201:AB208,"OK")=COUNTIF(AB201:AB208,"?*"),"All OK",(COUNTIF(AB201:AB208,"?*")-COUNTIF(AB201:AB208,"OK"))&amp;" to fix"))</f>
        <v>No phases yet</v>
      </c>
      <c r="AC200" s="52" t="s">
        <v>130</v>
      </c>
      <c r="AD200" s="156">
        <f t="shared" si="140"/>
        <v>0</v>
      </c>
    </row>
    <row r="201" spans="1:30" outlineLevel="1" x14ac:dyDescent="0.25">
      <c r="A201" s="54" t="str">
        <f>IF(A200="","",A200)</f>
        <v/>
      </c>
      <c r="B201" s="55" t="str">
        <f>IF(B200="","",B200)</f>
        <v/>
      </c>
      <c r="C201" s="56"/>
      <c r="D201" s="57" t="str">
        <f>IF(COUNTA(C201,E201,H201,I201:O201)=0,"",IF(D200="","",D200))</f>
        <v/>
      </c>
      <c r="E201" s="58"/>
      <c r="F201" s="138" t="str">
        <f t="shared" ref="F201:F208" si="142">IF(_xlfn.ISFORMULA(G201),"",IF(AND(E201&lt;&gt;"",N(G201)&gt;0),E201+7*G201-1,""))</f>
        <v/>
      </c>
      <c r="G201" s="135" t="str">
        <f t="shared" ref="G201:G208" si="143">IF(OR(E201="",F201=""),"",IF(F201&lt;E201,"",ROUNDUP((F201-E201+1)/7,0)))</f>
        <v/>
      </c>
      <c r="H201" s="126"/>
      <c r="I201" s="148"/>
      <c r="J201" s="148"/>
      <c r="K201" s="148"/>
      <c r="L201" s="148"/>
      <c r="M201" s="148"/>
      <c r="N201" s="148"/>
      <c r="O201" s="148"/>
      <c r="P201" s="144">
        <f t="shared" ref="P201:P208" si="144">SUM(I201:O201)*N(G201)</f>
        <v>0</v>
      </c>
      <c r="Q201" s="144" cm="1">
        <f t="array" ref="Q201">IF(OR(A201="",E201="",F201=""),0,SUMPRODUCT((tlNo=A201)*(Timeline!$H$18:$BG$18+6&gt;=E201)*(Timeline!$H$18:$BG$18&lt;=F201)*Timeline!$H$20:$BG$378))</f>
        <v>0</v>
      </c>
      <c r="R201" s="144">
        <f t="shared" si="139"/>
        <v>0</v>
      </c>
      <c r="S201" s="144">
        <f>SUMIF($I$3:$O$3,Assumptions!$A$15,$I201:$O201)*N($G201)</f>
        <v>0</v>
      </c>
      <c r="T201" s="144">
        <f>SUMIF($I$3:$O$3,Assumptions!$A$16,$I201:$O201)*N($G201)</f>
        <v>0</v>
      </c>
      <c r="U201" s="144">
        <f>SUMIF($I$3:$O$3,Assumptions!$A$17,$I201:$O201)*N($G201)</f>
        <v>0</v>
      </c>
      <c r="V201" s="144">
        <f>SUMIF($I$3:$O$3,Assumptions!$A$18,$I201:$O201)*N($G201)</f>
        <v>0</v>
      </c>
      <c r="W201" s="144">
        <f>SUMIF($I$3:$O$3,Assumptions!$A$19,$I201:$O201)*N($G201)</f>
        <v>0</v>
      </c>
      <c r="X201" s="145">
        <f>S201*Assumptions!$B$15+T201*Assumptions!$B$16+U201*Assumptions!$B$17+V201*Assumptions!$B$18+W201*Assumptions!$B$19</f>
        <v>0</v>
      </c>
      <c r="Y201" s="145" t="str">
        <f t="shared" ref="Y201:Y208" si="145">IF(D201="","",H201-X201)</f>
        <v/>
      </c>
      <c r="Z201" s="146" t="str">
        <f t="shared" ref="Z201:Z208" si="146">IF(OR(D201="",H201=0),"",X201/H201)</f>
        <v/>
      </c>
      <c r="AA201" s="146">
        <f>IF(D201="Active",1,IF(D201="Prospective",IF(Assumptions!$B$6="Active only",0,Assumptions!$B$7),0))</f>
        <v>0</v>
      </c>
      <c r="AB201" s="147" t="str">
        <f t="shared" ref="AB201:AB208" si="147">IF(COUNTA(C201,E201,H201,I201:O201)=0,"",IF(C201="","Select phase",IF(OR(E201="",F201=""),"Enter dates",IF(F201&lt;E201,"End before start",IF(H201="","Enter phase fee",IF(P201=0,"Enter staff hours",IF(R201&lt;0,"Over-mapped on Timeline",IF(R201&gt;0,"Map hours on Timeline","OK"))))))))</f>
        <v/>
      </c>
      <c r="AC201" s="152" t="s">
        <v>103</v>
      </c>
      <c r="AD201" s="156">
        <f t="shared" si="140"/>
        <v>0</v>
      </c>
    </row>
    <row r="202" spans="1:30" outlineLevel="1" x14ac:dyDescent="0.25">
      <c r="A202" s="51" t="str">
        <f>IF(A200="","",A200)</f>
        <v/>
      </c>
      <c r="B202" s="41" t="str">
        <f>IF(B200="","",B200)</f>
        <v/>
      </c>
      <c r="C202" s="42"/>
      <c r="D202" s="43" t="str">
        <f>IF(COUNTA(C202,E202,H202,I202:O202)=0,"",IF(D200="","",D200))</f>
        <v/>
      </c>
      <c r="E202" s="44"/>
      <c r="F202" s="139" t="str">
        <f t="shared" si="142"/>
        <v/>
      </c>
      <c r="G202" s="136" t="str">
        <f t="shared" si="143"/>
        <v/>
      </c>
      <c r="H202" s="127"/>
      <c r="I202" s="148"/>
      <c r="J202" s="148"/>
      <c r="K202" s="148"/>
      <c r="L202" s="148"/>
      <c r="M202" s="148"/>
      <c r="N202" s="148"/>
      <c r="O202" s="148"/>
      <c r="P202" s="144">
        <f t="shared" si="144"/>
        <v>0</v>
      </c>
      <c r="Q202" s="144" cm="1">
        <f t="array" ref="Q202">IF(OR(A202="",E202="",F202=""),0,SUMPRODUCT((tlNo=A202)*(Timeline!$H$18:$BG$18+6&gt;=E202)*(Timeline!$H$18:$BG$18&lt;=F202)*Timeline!$H$20:$BG$378))</f>
        <v>0</v>
      </c>
      <c r="R202" s="144">
        <f t="shared" si="139"/>
        <v>0</v>
      </c>
      <c r="S202" s="144">
        <f>SUMIF($I$3:$O$3,Assumptions!$A$15,$I202:$O202)*N($G202)</f>
        <v>0</v>
      </c>
      <c r="T202" s="144">
        <f>SUMIF($I$3:$O$3,Assumptions!$A$16,$I202:$O202)*N($G202)</f>
        <v>0</v>
      </c>
      <c r="U202" s="144">
        <f>SUMIF($I$3:$O$3,Assumptions!$A$17,$I202:$O202)*N($G202)</f>
        <v>0</v>
      </c>
      <c r="V202" s="144">
        <f>SUMIF($I$3:$O$3,Assumptions!$A$18,$I202:$O202)*N($G202)</f>
        <v>0</v>
      </c>
      <c r="W202" s="144">
        <f>SUMIF($I$3:$O$3,Assumptions!$A$19,$I202:$O202)*N($G202)</f>
        <v>0</v>
      </c>
      <c r="X202" s="145">
        <f>S202*Assumptions!$B$15+T202*Assumptions!$B$16+U202*Assumptions!$B$17+V202*Assumptions!$B$18+W202*Assumptions!$B$19</f>
        <v>0</v>
      </c>
      <c r="Y202" s="145" t="str">
        <f t="shared" si="145"/>
        <v/>
      </c>
      <c r="Z202" s="146" t="str">
        <f t="shared" si="146"/>
        <v/>
      </c>
      <c r="AA202" s="146">
        <f>IF(D202="Active",1,IF(D202="Prospective",IF(Assumptions!$B$6="Active only",0,Assumptions!$B$7),0))</f>
        <v>0</v>
      </c>
      <c r="AB202" s="147" t="str">
        <f t="shared" si="147"/>
        <v/>
      </c>
      <c r="AC202" s="152" t="s">
        <v>103</v>
      </c>
      <c r="AD202" s="156">
        <f t="shared" si="140"/>
        <v>0</v>
      </c>
    </row>
    <row r="203" spans="1:30" outlineLevel="1" x14ac:dyDescent="0.25">
      <c r="A203" s="51" t="str">
        <f>IF(A200="","",A200)</f>
        <v/>
      </c>
      <c r="B203" s="41" t="str">
        <f>IF(B200="","",B200)</f>
        <v/>
      </c>
      <c r="C203" s="42"/>
      <c r="D203" s="43" t="str">
        <f>IF(COUNTA(C203,E203,H203,I203:O203)=0,"",IF(D200="","",D200))</f>
        <v/>
      </c>
      <c r="E203" s="44"/>
      <c r="F203" s="139" t="str">
        <f t="shared" si="142"/>
        <v/>
      </c>
      <c r="G203" s="136" t="str">
        <f t="shared" si="143"/>
        <v/>
      </c>
      <c r="H203" s="127"/>
      <c r="I203" s="148"/>
      <c r="J203" s="148"/>
      <c r="K203" s="148"/>
      <c r="L203" s="148"/>
      <c r="M203" s="148"/>
      <c r="N203" s="148"/>
      <c r="O203" s="148"/>
      <c r="P203" s="144">
        <f t="shared" si="144"/>
        <v>0</v>
      </c>
      <c r="Q203" s="144" cm="1">
        <f t="array" ref="Q203">IF(OR(A203="",E203="",F203=""),0,SUMPRODUCT((tlNo=A203)*(Timeline!$H$18:$BG$18+6&gt;=E203)*(Timeline!$H$18:$BG$18&lt;=F203)*Timeline!$H$20:$BG$378))</f>
        <v>0</v>
      </c>
      <c r="R203" s="144">
        <f t="shared" si="139"/>
        <v>0</v>
      </c>
      <c r="S203" s="144">
        <f>SUMIF($I$3:$O$3,Assumptions!$A$15,$I203:$O203)*N($G203)</f>
        <v>0</v>
      </c>
      <c r="T203" s="144">
        <f>SUMIF($I$3:$O$3,Assumptions!$A$16,$I203:$O203)*N($G203)</f>
        <v>0</v>
      </c>
      <c r="U203" s="144">
        <f>SUMIF($I$3:$O$3,Assumptions!$A$17,$I203:$O203)*N($G203)</f>
        <v>0</v>
      </c>
      <c r="V203" s="144">
        <f>SUMIF($I$3:$O$3,Assumptions!$A$18,$I203:$O203)*N($G203)</f>
        <v>0</v>
      </c>
      <c r="W203" s="144">
        <f>SUMIF($I$3:$O$3,Assumptions!$A$19,$I203:$O203)*N($G203)</f>
        <v>0</v>
      </c>
      <c r="X203" s="145">
        <f>S203*Assumptions!$B$15+T203*Assumptions!$B$16+U203*Assumptions!$B$17+V203*Assumptions!$B$18+W203*Assumptions!$B$19</f>
        <v>0</v>
      </c>
      <c r="Y203" s="145" t="str">
        <f t="shared" si="145"/>
        <v/>
      </c>
      <c r="Z203" s="146" t="str">
        <f t="shared" si="146"/>
        <v/>
      </c>
      <c r="AA203" s="146">
        <f>IF(D203="Active",1,IF(D203="Prospective",IF(Assumptions!$B$6="Active only",0,Assumptions!$B$7),0))</f>
        <v>0</v>
      </c>
      <c r="AB203" s="147" t="str">
        <f t="shared" si="147"/>
        <v/>
      </c>
      <c r="AC203" s="152" t="s">
        <v>103</v>
      </c>
      <c r="AD203" s="156">
        <f t="shared" si="140"/>
        <v>0</v>
      </c>
    </row>
    <row r="204" spans="1:30" outlineLevel="1" x14ac:dyDescent="0.25">
      <c r="A204" s="51" t="str">
        <f>IF(A200="","",A200)</f>
        <v/>
      </c>
      <c r="B204" s="41" t="str">
        <f>IF(B200="","",B200)</f>
        <v/>
      </c>
      <c r="C204" s="42"/>
      <c r="D204" s="43" t="str">
        <f>IF(COUNTA(C204,E204,H204,I204:O204)=0,"",IF(D200="","",D200))</f>
        <v/>
      </c>
      <c r="E204" s="44"/>
      <c r="F204" s="139" t="str">
        <f t="shared" si="142"/>
        <v/>
      </c>
      <c r="G204" s="136" t="str">
        <f t="shared" si="143"/>
        <v/>
      </c>
      <c r="H204" s="127"/>
      <c r="I204" s="148"/>
      <c r="J204" s="148"/>
      <c r="K204" s="148"/>
      <c r="L204" s="148"/>
      <c r="M204" s="148"/>
      <c r="N204" s="148"/>
      <c r="O204" s="148"/>
      <c r="P204" s="144">
        <f t="shared" si="144"/>
        <v>0</v>
      </c>
      <c r="Q204" s="144" cm="1">
        <f t="array" ref="Q204">IF(OR(A204="",E204="",F204=""),0,SUMPRODUCT((tlNo=A204)*(Timeline!$H$18:$BG$18+6&gt;=E204)*(Timeline!$H$18:$BG$18&lt;=F204)*Timeline!$H$20:$BG$378))</f>
        <v>0</v>
      </c>
      <c r="R204" s="144">
        <f t="shared" si="139"/>
        <v>0</v>
      </c>
      <c r="S204" s="144">
        <f>SUMIF($I$3:$O$3,Assumptions!$A$15,$I204:$O204)*N($G204)</f>
        <v>0</v>
      </c>
      <c r="T204" s="144">
        <f>SUMIF($I$3:$O$3,Assumptions!$A$16,$I204:$O204)*N($G204)</f>
        <v>0</v>
      </c>
      <c r="U204" s="144">
        <f>SUMIF($I$3:$O$3,Assumptions!$A$17,$I204:$O204)*N($G204)</f>
        <v>0</v>
      </c>
      <c r="V204" s="144">
        <f>SUMIF($I$3:$O$3,Assumptions!$A$18,$I204:$O204)*N($G204)</f>
        <v>0</v>
      </c>
      <c r="W204" s="144">
        <f>SUMIF($I$3:$O$3,Assumptions!$A$19,$I204:$O204)*N($G204)</f>
        <v>0</v>
      </c>
      <c r="X204" s="145">
        <f>S204*Assumptions!$B$15+T204*Assumptions!$B$16+U204*Assumptions!$B$17+V204*Assumptions!$B$18+W204*Assumptions!$B$19</f>
        <v>0</v>
      </c>
      <c r="Y204" s="145" t="str">
        <f t="shared" si="145"/>
        <v/>
      </c>
      <c r="Z204" s="146" t="str">
        <f t="shared" si="146"/>
        <v/>
      </c>
      <c r="AA204" s="146">
        <f>IF(D204="Active",1,IF(D204="Prospective",IF(Assumptions!$B$6="Active only",0,Assumptions!$B$7),0))</f>
        <v>0</v>
      </c>
      <c r="AB204" s="147" t="str">
        <f t="shared" si="147"/>
        <v/>
      </c>
      <c r="AC204" s="152" t="s">
        <v>103</v>
      </c>
      <c r="AD204" s="156">
        <f t="shared" si="140"/>
        <v>0</v>
      </c>
    </row>
    <row r="205" spans="1:30" outlineLevel="1" x14ac:dyDescent="0.25">
      <c r="A205" s="51" t="str">
        <f>IF(A200="","",A200)</f>
        <v/>
      </c>
      <c r="B205" s="41" t="str">
        <f>IF(B200="","",B200)</f>
        <v/>
      </c>
      <c r="C205" s="42"/>
      <c r="D205" s="43" t="str">
        <f>IF(COUNTA(C205,E205,H205,I205:O205)=0,"",IF(D200="","",D200))</f>
        <v/>
      </c>
      <c r="E205" s="44"/>
      <c r="F205" s="139" t="str">
        <f t="shared" si="142"/>
        <v/>
      </c>
      <c r="G205" s="136" t="str">
        <f t="shared" si="143"/>
        <v/>
      </c>
      <c r="H205" s="127"/>
      <c r="I205" s="148"/>
      <c r="J205" s="148"/>
      <c r="K205" s="148"/>
      <c r="L205" s="148"/>
      <c r="M205" s="148"/>
      <c r="N205" s="148"/>
      <c r="O205" s="148"/>
      <c r="P205" s="144">
        <f t="shared" si="144"/>
        <v>0</v>
      </c>
      <c r="Q205" s="144" cm="1">
        <f t="array" ref="Q205">IF(OR(A205="",E205="",F205=""),0,SUMPRODUCT((tlNo=A205)*(Timeline!$H$18:$BG$18+6&gt;=E205)*(Timeline!$H$18:$BG$18&lt;=F205)*Timeline!$H$20:$BG$378))</f>
        <v>0</v>
      </c>
      <c r="R205" s="144">
        <f t="shared" si="139"/>
        <v>0</v>
      </c>
      <c r="S205" s="144">
        <f>SUMIF($I$3:$O$3,Assumptions!$A$15,$I205:$O205)*N($G205)</f>
        <v>0</v>
      </c>
      <c r="T205" s="144">
        <f>SUMIF($I$3:$O$3,Assumptions!$A$16,$I205:$O205)*N($G205)</f>
        <v>0</v>
      </c>
      <c r="U205" s="144">
        <f>SUMIF($I$3:$O$3,Assumptions!$A$17,$I205:$O205)*N($G205)</f>
        <v>0</v>
      </c>
      <c r="V205" s="144">
        <f>SUMIF($I$3:$O$3,Assumptions!$A$18,$I205:$O205)*N($G205)</f>
        <v>0</v>
      </c>
      <c r="W205" s="144">
        <f>SUMIF($I$3:$O$3,Assumptions!$A$19,$I205:$O205)*N($G205)</f>
        <v>0</v>
      </c>
      <c r="X205" s="145">
        <f>S205*Assumptions!$B$15+T205*Assumptions!$B$16+U205*Assumptions!$B$17+V205*Assumptions!$B$18+W205*Assumptions!$B$19</f>
        <v>0</v>
      </c>
      <c r="Y205" s="145" t="str">
        <f t="shared" si="145"/>
        <v/>
      </c>
      <c r="Z205" s="146" t="str">
        <f t="shared" si="146"/>
        <v/>
      </c>
      <c r="AA205" s="146">
        <f>IF(D205="Active",1,IF(D205="Prospective",IF(Assumptions!$B$6="Active only",0,Assumptions!$B$7),0))</f>
        <v>0</v>
      </c>
      <c r="AB205" s="147" t="str">
        <f t="shared" si="147"/>
        <v/>
      </c>
      <c r="AC205" s="152" t="s">
        <v>103</v>
      </c>
      <c r="AD205" s="156">
        <f t="shared" si="140"/>
        <v>0</v>
      </c>
    </row>
    <row r="206" spans="1:30" outlineLevel="1" x14ac:dyDescent="0.25">
      <c r="A206" s="51" t="str">
        <f>IF(A200="","",A200)</f>
        <v/>
      </c>
      <c r="B206" s="41" t="str">
        <f>IF(B200="","",B200)</f>
        <v/>
      </c>
      <c r="C206" s="42"/>
      <c r="D206" s="43" t="str">
        <f>IF(COUNTA(C206,E206,H206,I206:O206)=0,"",IF(D200="","",D200))</f>
        <v/>
      </c>
      <c r="E206" s="44"/>
      <c r="F206" s="139" t="str">
        <f t="shared" si="142"/>
        <v/>
      </c>
      <c r="G206" s="136" t="str">
        <f t="shared" si="143"/>
        <v/>
      </c>
      <c r="H206" s="127"/>
      <c r="I206" s="148"/>
      <c r="J206" s="148"/>
      <c r="K206" s="148"/>
      <c r="L206" s="148"/>
      <c r="M206" s="148"/>
      <c r="N206" s="148"/>
      <c r="O206" s="148"/>
      <c r="P206" s="144">
        <f t="shared" si="144"/>
        <v>0</v>
      </c>
      <c r="Q206" s="144" cm="1">
        <f t="array" ref="Q206">IF(OR(A206="",E206="",F206=""),0,SUMPRODUCT((tlNo=A206)*(Timeline!$H$18:$BG$18+6&gt;=E206)*(Timeline!$H$18:$BG$18&lt;=F206)*Timeline!$H$20:$BG$378))</f>
        <v>0</v>
      </c>
      <c r="R206" s="144">
        <f t="shared" si="139"/>
        <v>0</v>
      </c>
      <c r="S206" s="144">
        <f>SUMIF($I$3:$O$3,Assumptions!$A$15,$I206:$O206)*N($G206)</f>
        <v>0</v>
      </c>
      <c r="T206" s="144">
        <f>SUMIF($I$3:$O$3,Assumptions!$A$16,$I206:$O206)*N($G206)</f>
        <v>0</v>
      </c>
      <c r="U206" s="144">
        <f>SUMIF($I$3:$O$3,Assumptions!$A$17,$I206:$O206)*N($G206)</f>
        <v>0</v>
      </c>
      <c r="V206" s="144">
        <f>SUMIF($I$3:$O$3,Assumptions!$A$18,$I206:$O206)*N($G206)</f>
        <v>0</v>
      </c>
      <c r="W206" s="144">
        <f>SUMIF($I$3:$O$3,Assumptions!$A$19,$I206:$O206)*N($G206)</f>
        <v>0</v>
      </c>
      <c r="X206" s="145">
        <f>S206*Assumptions!$B$15+T206*Assumptions!$B$16+U206*Assumptions!$B$17+V206*Assumptions!$B$18+W206*Assumptions!$B$19</f>
        <v>0</v>
      </c>
      <c r="Y206" s="145" t="str">
        <f t="shared" si="145"/>
        <v/>
      </c>
      <c r="Z206" s="146" t="str">
        <f t="shared" si="146"/>
        <v/>
      </c>
      <c r="AA206" s="146">
        <f>IF(D206="Active",1,IF(D206="Prospective",IF(Assumptions!$B$6="Active only",0,Assumptions!$B$7),0))</f>
        <v>0</v>
      </c>
      <c r="AB206" s="147" t="str">
        <f t="shared" si="147"/>
        <v/>
      </c>
      <c r="AC206" s="152" t="s">
        <v>103</v>
      </c>
      <c r="AD206" s="156">
        <f t="shared" si="140"/>
        <v>0</v>
      </c>
    </row>
    <row r="207" spans="1:30" outlineLevel="1" x14ac:dyDescent="0.25">
      <c r="A207" s="51" t="str">
        <f>IF(A200="","",A200)</f>
        <v/>
      </c>
      <c r="B207" s="41" t="str">
        <f>IF(B200="","",B200)</f>
        <v/>
      </c>
      <c r="C207" s="42"/>
      <c r="D207" s="43" t="str">
        <f>IF(COUNTA(C207,E207,H207,I207:O207)=0,"",IF(D200="","",D200))</f>
        <v/>
      </c>
      <c r="E207" s="44"/>
      <c r="F207" s="139" t="str">
        <f t="shared" si="142"/>
        <v/>
      </c>
      <c r="G207" s="136" t="str">
        <f t="shared" si="143"/>
        <v/>
      </c>
      <c r="H207" s="127"/>
      <c r="I207" s="148"/>
      <c r="J207" s="148"/>
      <c r="K207" s="148"/>
      <c r="L207" s="148"/>
      <c r="M207" s="148"/>
      <c r="N207" s="148"/>
      <c r="O207" s="148"/>
      <c r="P207" s="144">
        <f t="shared" si="144"/>
        <v>0</v>
      </c>
      <c r="Q207" s="144" cm="1">
        <f t="array" ref="Q207">IF(OR(A207="",E207="",F207=""),0,SUMPRODUCT((tlNo=A207)*(Timeline!$H$18:$BG$18+6&gt;=E207)*(Timeline!$H$18:$BG$18&lt;=F207)*Timeline!$H$20:$BG$378))</f>
        <v>0</v>
      </c>
      <c r="R207" s="144">
        <f t="shared" si="139"/>
        <v>0</v>
      </c>
      <c r="S207" s="144">
        <f>SUMIF($I$3:$O$3,Assumptions!$A$15,$I207:$O207)*N($G207)</f>
        <v>0</v>
      </c>
      <c r="T207" s="144">
        <f>SUMIF($I$3:$O$3,Assumptions!$A$16,$I207:$O207)*N($G207)</f>
        <v>0</v>
      </c>
      <c r="U207" s="144">
        <f>SUMIF($I$3:$O$3,Assumptions!$A$17,$I207:$O207)*N($G207)</f>
        <v>0</v>
      </c>
      <c r="V207" s="144">
        <f>SUMIF($I$3:$O$3,Assumptions!$A$18,$I207:$O207)*N($G207)</f>
        <v>0</v>
      </c>
      <c r="W207" s="144">
        <f>SUMIF($I$3:$O$3,Assumptions!$A$19,$I207:$O207)*N($G207)</f>
        <v>0</v>
      </c>
      <c r="X207" s="145">
        <f>S207*Assumptions!$B$15+T207*Assumptions!$B$16+U207*Assumptions!$B$17+V207*Assumptions!$B$18+W207*Assumptions!$B$19</f>
        <v>0</v>
      </c>
      <c r="Y207" s="145" t="str">
        <f t="shared" si="145"/>
        <v/>
      </c>
      <c r="Z207" s="146" t="str">
        <f t="shared" si="146"/>
        <v/>
      </c>
      <c r="AA207" s="146">
        <f>IF(D207="Active",1,IF(D207="Prospective",IF(Assumptions!$B$6="Active only",0,Assumptions!$B$7),0))</f>
        <v>0</v>
      </c>
      <c r="AB207" s="147" t="str">
        <f t="shared" si="147"/>
        <v/>
      </c>
      <c r="AC207" s="152" t="s">
        <v>103</v>
      </c>
      <c r="AD207" s="156">
        <f t="shared" si="140"/>
        <v>0</v>
      </c>
    </row>
    <row r="208" spans="1:30" outlineLevel="1" x14ac:dyDescent="0.25">
      <c r="A208" s="64" t="str">
        <f>IF(A200="","",A200)</f>
        <v/>
      </c>
      <c r="B208" s="45" t="str">
        <f>IF(B200="","",B200)</f>
        <v/>
      </c>
      <c r="C208" s="46"/>
      <c r="D208" s="47" t="str">
        <f>IF(COUNTA(C208,E208,H208,I208:O208)=0,"",IF(D200="","",D200))</f>
        <v/>
      </c>
      <c r="E208" s="48"/>
      <c r="F208" s="140" t="str">
        <f t="shared" si="142"/>
        <v/>
      </c>
      <c r="G208" s="137" t="str">
        <f t="shared" si="143"/>
        <v/>
      </c>
      <c r="H208" s="128"/>
      <c r="I208" s="148"/>
      <c r="J208" s="148"/>
      <c r="K208" s="148"/>
      <c r="L208" s="148"/>
      <c r="M208" s="148"/>
      <c r="N208" s="148"/>
      <c r="O208" s="148"/>
      <c r="P208" s="144">
        <f t="shared" si="144"/>
        <v>0</v>
      </c>
      <c r="Q208" s="144" cm="1">
        <f t="array" ref="Q208">IF(OR(A208="",E208="",F208=""),0,SUMPRODUCT((tlNo=A208)*(Timeline!$H$18:$BG$18+6&gt;=E208)*(Timeline!$H$18:$BG$18&lt;=F208)*Timeline!$H$20:$BG$378))</f>
        <v>0</v>
      </c>
      <c r="R208" s="144">
        <f t="shared" si="139"/>
        <v>0</v>
      </c>
      <c r="S208" s="144">
        <f>SUMIF($I$3:$O$3,Assumptions!$A$15,$I208:$O208)*N($G208)</f>
        <v>0</v>
      </c>
      <c r="T208" s="144">
        <f>SUMIF($I$3:$O$3,Assumptions!$A$16,$I208:$O208)*N($G208)</f>
        <v>0</v>
      </c>
      <c r="U208" s="144">
        <f>SUMIF($I$3:$O$3,Assumptions!$A$17,$I208:$O208)*N($G208)</f>
        <v>0</v>
      </c>
      <c r="V208" s="144">
        <f>SUMIF($I$3:$O$3,Assumptions!$A$18,$I208:$O208)*N($G208)</f>
        <v>0</v>
      </c>
      <c r="W208" s="144">
        <f>SUMIF($I$3:$O$3,Assumptions!$A$19,$I208:$O208)*N($G208)</f>
        <v>0</v>
      </c>
      <c r="X208" s="145">
        <f>S208*Assumptions!$B$15+T208*Assumptions!$B$16+U208*Assumptions!$B$17+V208*Assumptions!$B$18+W208*Assumptions!$B$19</f>
        <v>0</v>
      </c>
      <c r="Y208" s="145" t="str">
        <f t="shared" si="145"/>
        <v/>
      </c>
      <c r="Z208" s="146" t="str">
        <f t="shared" si="146"/>
        <v/>
      </c>
      <c r="AA208" s="146">
        <f>IF(D208="Active",1,IF(D208="Prospective",IF(Assumptions!$B$6="Active only",0,Assumptions!$B$7),0))</f>
        <v>0</v>
      </c>
      <c r="AB208" s="147" t="str">
        <f t="shared" si="147"/>
        <v/>
      </c>
      <c r="AC208" s="152" t="s">
        <v>103</v>
      </c>
      <c r="AD208" s="156">
        <f t="shared" si="140"/>
        <v>0</v>
      </c>
    </row>
    <row r="209" spans="1:30" x14ac:dyDescent="0.25">
      <c r="A209" s="59"/>
      <c r="B209" s="60"/>
      <c r="C209" s="61" t="s">
        <v>129</v>
      </c>
      <c r="D209" s="62"/>
      <c r="E209" s="63" t="str">
        <f>IF(COUNT(E210:E217)=0,"",MIN(E210:E217))</f>
        <v/>
      </c>
      <c r="F209" s="63" t="str">
        <f>IF(COUNT(F210:F217)=0,"",MAX(F210:F217))</f>
        <v/>
      </c>
      <c r="G209" s="134"/>
      <c r="H209" s="125">
        <f>SUM(H210:H217)</f>
        <v>0</v>
      </c>
      <c r="I209" s="141"/>
      <c r="J209" s="141"/>
      <c r="K209" s="141"/>
      <c r="L209" s="141"/>
      <c r="M209" s="141"/>
      <c r="N209" s="141"/>
      <c r="O209" s="141"/>
      <c r="P209" s="141">
        <f>SUM(P210:P217)</f>
        <v>0</v>
      </c>
      <c r="Q209" s="141">
        <f>SUM(Q210:Q217)</f>
        <v>0</v>
      </c>
      <c r="R209" s="141">
        <f t="shared" si="139"/>
        <v>0</v>
      </c>
      <c r="S209" s="141">
        <f t="shared" ref="S209:X209" si="148">SUM(S210:S217)</f>
        <v>0</v>
      </c>
      <c r="T209" s="141">
        <f t="shared" si="148"/>
        <v>0</v>
      </c>
      <c r="U209" s="141">
        <f t="shared" si="148"/>
        <v>0</v>
      </c>
      <c r="V209" s="141">
        <f t="shared" si="148"/>
        <v>0</v>
      </c>
      <c r="W209" s="141">
        <f t="shared" si="148"/>
        <v>0</v>
      </c>
      <c r="X209" s="142">
        <f t="shared" si="148"/>
        <v>0</v>
      </c>
      <c r="Y209" s="142">
        <f>H209-X209</f>
        <v>0</v>
      </c>
      <c r="Z209" s="143" t="str">
        <f>IF(H209=0,"",X209/H209)</f>
        <v/>
      </c>
      <c r="AA209" s="143"/>
      <c r="AB209" s="40" t="str">
        <f>IF(COUNTIF(AB210:AB217,"?*")=0,"No phases yet",IF(COUNTIF(AB210:AB217,"OK")=COUNTIF(AB210:AB217,"?*"),"All OK",(COUNTIF(AB210:AB217,"?*")-COUNTIF(AB210:AB217,"OK"))&amp;" to fix"))</f>
        <v>No phases yet</v>
      </c>
      <c r="AC209" s="52" t="s">
        <v>130</v>
      </c>
      <c r="AD209" s="156">
        <f t="shared" si="140"/>
        <v>0</v>
      </c>
    </row>
    <row r="210" spans="1:30" outlineLevel="1" x14ac:dyDescent="0.25">
      <c r="A210" s="54" t="str">
        <f>IF(A209="","",A209)</f>
        <v/>
      </c>
      <c r="B210" s="55" t="str">
        <f>IF(B209="","",B209)</f>
        <v/>
      </c>
      <c r="C210" s="56"/>
      <c r="D210" s="57" t="str">
        <f>IF(COUNTA(C210,E210,H210,I210:O210)=0,"",IF(D209="","",D209))</f>
        <v/>
      </c>
      <c r="E210" s="58"/>
      <c r="F210" s="138" t="str">
        <f t="shared" ref="F210:F217" si="149">IF(_xlfn.ISFORMULA(G210),"",IF(AND(E210&lt;&gt;"",N(G210)&gt;0),E210+7*G210-1,""))</f>
        <v/>
      </c>
      <c r="G210" s="135" t="str">
        <f t="shared" ref="G210:G217" si="150">IF(OR(E210="",F210=""),"",IF(F210&lt;E210,"",ROUNDUP((F210-E210+1)/7,0)))</f>
        <v/>
      </c>
      <c r="H210" s="126"/>
      <c r="I210" s="148"/>
      <c r="J210" s="148"/>
      <c r="K210" s="148"/>
      <c r="L210" s="148"/>
      <c r="M210" s="148"/>
      <c r="N210" s="148"/>
      <c r="O210" s="148"/>
      <c r="P210" s="144">
        <f t="shared" ref="P210:P217" si="151">SUM(I210:O210)*N(G210)</f>
        <v>0</v>
      </c>
      <c r="Q210" s="144" cm="1">
        <f t="array" ref="Q210">IF(OR(A210="",E210="",F210=""),0,SUMPRODUCT((tlNo=A210)*(Timeline!$H$18:$BG$18+6&gt;=E210)*(Timeline!$H$18:$BG$18&lt;=F210)*Timeline!$H$20:$BG$378))</f>
        <v>0</v>
      </c>
      <c r="R210" s="144">
        <f t="shared" si="139"/>
        <v>0</v>
      </c>
      <c r="S210" s="144">
        <f>SUMIF($I$3:$O$3,Assumptions!$A$15,$I210:$O210)*N($G210)</f>
        <v>0</v>
      </c>
      <c r="T210" s="144">
        <f>SUMIF($I$3:$O$3,Assumptions!$A$16,$I210:$O210)*N($G210)</f>
        <v>0</v>
      </c>
      <c r="U210" s="144">
        <f>SUMIF($I$3:$O$3,Assumptions!$A$17,$I210:$O210)*N($G210)</f>
        <v>0</v>
      </c>
      <c r="V210" s="144">
        <f>SUMIF($I$3:$O$3,Assumptions!$A$18,$I210:$O210)*N($G210)</f>
        <v>0</v>
      </c>
      <c r="W210" s="144">
        <f>SUMIF($I$3:$O$3,Assumptions!$A$19,$I210:$O210)*N($G210)</f>
        <v>0</v>
      </c>
      <c r="X210" s="145">
        <f>S210*Assumptions!$B$15+T210*Assumptions!$B$16+U210*Assumptions!$B$17+V210*Assumptions!$B$18+W210*Assumptions!$B$19</f>
        <v>0</v>
      </c>
      <c r="Y210" s="145" t="str">
        <f t="shared" ref="Y210:Y217" si="152">IF(D210="","",H210-X210)</f>
        <v/>
      </c>
      <c r="Z210" s="146" t="str">
        <f t="shared" ref="Z210:Z217" si="153">IF(OR(D210="",H210=0),"",X210/H210)</f>
        <v/>
      </c>
      <c r="AA210" s="146">
        <f>IF(D210="Active",1,IF(D210="Prospective",IF(Assumptions!$B$6="Active only",0,Assumptions!$B$7),0))</f>
        <v>0</v>
      </c>
      <c r="AB210" s="147" t="str">
        <f t="shared" ref="AB210:AB217" si="154">IF(COUNTA(C210,E210,H210,I210:O210)=0,"",IF(C210="","Select phase",IF(OR(E210="",F210=""),"Enter dates",IF(F210&lt;E210,"End before start",IF(H210="","Enter phase fee",IF(P210=0,"Enter staff hours",IF(R210&lt;0,"Over-mapped on Timeline",IF(R210&gt;0,"Map hours on Timeline","OK"))))))))</f>
        <v/>
      </c>
      <c r="AC210" s="152" t="s">
        <v>103</v>
      </c>
      <c r="AD210" s="156">
        <f t="shared" si="140"/>
        <v>0</v>
      </c>
    </row>
    <row r="211" spans="1:30" outlineLevel="1" x14ac:dyDescent="0.25">
      <c r="A211" s="51" t="str">
        <f>IF(A209="","",A209)</f>
        <v/>
      </c>
      <c r="B211" s="41" t="str">
        <f>IF(B209="","",B209)</f>
        <v/>
      </c>
      <c r="C211" s="42"/>
      <c r="D211" s="43" t="str">
        <f>IF(COUNTA(C211,E211,H211,I211:O211)=0,"",IF(D209="","",D209))</f>
        <v/>
      </c>
      <c r="E211" s="44"/>
      <c r="F211" s="139" t="str">
        <f t="shared" si="149"/>
        <v/>
      </c>
      <c r="G211" s="136" t="str">
        <f t="shared" si="150"/>
        <v/>
      </c>
      <c r="H211" s="127"/>
      <c r="I211" s="148"/>
      <c r="J211" s="148"/>
      <c r="K211" s="148"/>
      <c r="L211" s="148"/>
      <c r="M211" s="148"/>
      <c r="N211" s="148"/>
      <c r="O211" s="148"/>
      <c r="P211" s="144">
        <f t="shared" si="151"/>
        <v>0</v>
      </c>
      <c r="Q211" s="144" cm="1">
        <f t="array" ref="Q211">IF(OR(A211="",E211="",F211=""),0,SUMPRODUCT((tlNo=A211)*(Timeline!$H$18:$BG$18+6&gt;=E211)*(Timeline!$H$18:$BG$18&lt;=F211)*Timeline!$H$20:$BG$378))</f>
        <v>0</v>
      </c>
      <c r="R211" s="144">
        <f t="shared" si="139"/>
        <v>0</v>
      </c>
      <c r="S211" s="144">
        <f>SUMIF($I$3:$O$3,Assumptions!$A$15,$I211:$O211)*N($G211)</f>
        <v>0</v>
      </c>
      <c r="T211" s="144">
        <f>SUMIF($I$3:$O$3,Assumptions!$A$16,$I211:$O211)*N($G211)</f>
        <v>0</v>
      </c>
      <c r="U211" s="144">
        <f>SUMIF($I$3:$O$3,Assumptions!$A$17,$I211:$O211)*N($G211)</f>
        <v>0</v>
      </c>
      <c r="V211" s="144">
        <f>SUMIF($I$3:$O$3,Assumptions!$A$18,$I211:$O211)*N($G211)</f>
        <v>0</v>
      </c>
      <c r="W211" s="144">
        <f>SUMIF($I$3:$O$3,Assumptions!$A$19,$I211:$O211)*N($G211)</f>
        <v>0</v>
      </c>
      <c r="X211" s="145">
        <f>S211*Assumptions!$B$15+T211*Assumptions!$B$16+U211*Assumptions!$B$17+V211*Assumptions!$B$18+W211*Assumptions!$B$19</f>
        <v>0</v>
      </c>
      <c r="Y211" s="145" t="str">
        <f t="shared" si="152"/>
        <v/>
      </c>
      <c r="Z211" s="146" t="str">
        <f t="shared" si="153"/>
        <v/>
      </c>
      <c r="AA211" s="146">
        <f>IF(D211="Active",1,IF(D211="Prospective",IF(Assumptions!$B$6="Active only",0,Assumptions!$B$7),0))</f>
        <v>0</v>
      </c>
      <c r="AB211" s="147" t="str">
        <f t="shared" si="154"/>
        <v/>
      </c>
      <c r="AC211" s="152" t="s">
        <v>103</v>
      </c>
      <c r="AD211" s="156">
        <f t="shared" si="140"/>
        <v>0</v>
      </c>
    </row>
    <row r="212" spans="1:30" outlineLevel="1" x14ac:dyDescent="0.25">
      <c r="A212" s="51" t="str">
        <f>IF(A209="","",A209)</f>
        <v/>
      </c>
      <c r="B212" s="41" t="str">
        <f>IF(B209="","",B209)</f>
        <v/>
      </c>
      <c r="C212" s="42"/>
      <c r="D212" s="43" t="str">
        <f>IF(COUNTA(C212,E212,H212,I212:O212)=0,"",IF(D209="","",D209))</f>
        <v/>
      </c>
      <c r="E212" s="44"/>
      <c r="F212" s="139" t="str">
        <f t="shared" si="149"/>
        <v/>
      </c>
      <c r="G212" s="136" t="str">
        <f t="shared" si="150"/>
        <v/>
      </c>
      <c r="H212" s="127"/>
      <c r="I212" s="148"/>
      <c r="J212" s="148"/>
      <c r="K212" s="148"/>
      <c r="L212" s="148"/>
      <c r="M212" s="148"/>
      <c r="N212" s="148"/>
      <c r="O212" s="148"/>
      <c r="P212" s="144">
        <f t="shared" si="151"/>
        <v>0</v>
      </c>
      <c r="Q212" s="144" cm="1">
        <f t="array" ref="Q212">IF(OR(A212="",E212="",F212=""),0,SUMPRODUCT((tlNo=A212)*(Timeline!$H$18:$BG$18+6&gt;=E212)*(Timeline!$H$18:$BG$18&lt;=F212)*Timeline!$H$20:$BG$378))</f>
        <v>0</v>
      </c>
      <c r="R212" s="144">
        <f t="shared" si="139"/>
        <v>0</v>
      </c>
      <c r="S212" s="144">
        <f>SUMIF($I$3:$O$3,Assumptions!$A$15,$I212:$O212)*N($G212)</f>
        <v>0</v>
      </c>
      <c r="T212" s="144">
        <f>SUMIF($I$3:$O$3,Assumptions!$A$16,$I212:$O212)*N($G212)</f>
        <v>0</v>
      </c>
      <c r="U212" s="144">
        <f>SUMIF($I$3:$O$3,Assumptions!$A$17,$I212:$O212)*N($G212)</f>
        <v>0</v>
      </c>
      <c r="V212" s="144">
        <f>SUMIF($I$3:$O$3,Assumptions!$A$18,$I212:$O212)*N($G212)</f>
        <v>0</v>
      </c>
      <c r="W212" s="144">
        <f>SUMIF($I$3:$O$3,Assumptions!$A$19,$I212:$O212)*N($G212)</f>
        <v>0</v>
      </c>
      <c r="X212" s="145">
        <f>S212*Assumptions!$B$15+T212*Assumptions!$B$16+U212*Assumptions!$B$17+V212*Assumptions!$B$18+W212*Assumptions!$B$19</f>
        <v>0</v>
      </c>
      <c r="Y212" s="145" t="str">
        <f t="shared" si="152"/>
        <v/>
      </c>
      <c r="Z212" s="146" t="str">
        <f t="shared" si="153"/>
        <v/>
      </c>
      <c r="AA212" s="146">
        <f>IF(D212="Active",1,IF(D212="Prospective",IF(Assumptions!$B$6="Active only",0,Assumptions!$B$7),0))</f>
        <v>0</v>
      </c>
      <c r="AB212" s="147" t="str">
        <f t="shared" si="154"/>
        <v/>
      </c>
      <c r="AC212" s="152" t="s">
        <v>103</v>
      </c>
      <c r="AD212" s="156">
        <f t="shared" si="140"/>
        <v>0</v>
      </c>
    </row>
    <row r="213" spans="1:30" outlineLevel="1" x14ac:dyDescent="0.25">
      <c r="A213" s="51" t="str">
        <f>IF(A209="","",A209)</f>
        <v/>
      </c>
      <c r="B213" s="41" t="str">
        <f>IF(B209="","",B209)</f>
        <v/>
      </c>
      <c r="C213" s="42"/>
      <c r="D213" s="43" t="str">
        <f>IF(COUNTA(C213,E213,H213,I213:O213)=0,"",IF(D209="","",D209))</f>
        <v/>
      </c>
      <c r="E213" s="44"/>
      <c r="F213" s="139" t="str">
        <f t="shared" si="149"/>
        <v/>
      </c>
      <c r="G213" s="136" t="str">
        <f t="shared" si="150"/>
        <v/>
      </c>
      <c r="H213" s="127"/>
      <c r="I213" s="148"/>
      <c r="J213" s="148"/>
      <c r="K213" s="148"/>
      <c r="L213" s="148"/>
      <c r="M213" s="148"/>
      <c r="N213" s="148"/>
      <c r="O213" s="148"/>
      <c r="P213" s="144">
        <f t="shared" si="151"/>
        <v>0</v>
      </c>
      <c r="Q213" s="144" cm="1">
        <f t="array" ref="Q213">IF(OR(A213="",E213="",F213=""),0,SUMPRODUCT((tlNo=A213)*(Timeline!$H$18:$BG$18+6&gt;=E213)*(Timeline!$H$18:$BG$18&lt;=F213)*Timeline!$H$20:$BG$378))</f>
        <v>0</v>
      </c>
      <c r="R213" s="144">
        <f t="shared" si="139"/>
        <v>0</v>
      </c>
      <c r="S213" s="144">
        <f>SUMIF($I$3:$O$3,Assumptions!$A$15,$I213:$O213)*N($G213)</f>
        <v>0</v>
      </c>
      <c r="T213" s="144">
        <f>SUMIF($I$3:$O$3,Assumptions!$A$16,$I213:$O213)*N($G213)</f>
        <v>0</v>
      </c>
      <c r="U213" s="144">
        <f>SUMIF($I$3:$O$3,Assumptions!$A$17,$I213:$O213)*N($G213)</f>
        <v>0</v>
      </c>
      <c r="V213" s="144">
        <f>SUMIF($I$3:$O$3,Assumptions!$A$18,$I213:$O213)*N($G213)</f>
        <v>0</v>
      </c>
      <c r="W213" s="144">
        <f>SUMIF($I$3:$O$3,Assumptions!$A$19,$I213:$O213)*N($G213)</f>
        <v>0</v>
      </c>
      <c r="X213" s="145">
        <f>S213*Assumptions!$B$15+T213*Assumptions!$B$16+U213*Assumptions!$B$17+V213*Assumptions!$B$18+W213*Assumptions!$B$19</f>
        <v>0</v>
      </c>
      <c r="Y213" s="145" t="str">
        <f t="shared" si="152"/>
        <v/>
      </c>
      <c r="Z213" s="146" t="str">
        <f t="shared" si="153"/>
        <v/>
      </c>
      <c r="AA213" s="146">
        <f>IF(D213="Active",1,IF(D213="Prospective",IF(Assumptions!$B$6="Active only",0,Assumptions!$B$7),0))</f>
        <v>0</v>
      </c>
      <c r="AB213" s="147" t="str">
        <f t="shared" si="154"/>
        <v/>
      </c>
      <c r="AC213" s="152" t="s">
        <v>103</v>
      </c>
      <c r="AD213" s="156">
        <f t="shared" si="140"/>
        <v>0</v>
      </c>
    </row>
    <row r="214" spans="1:30" outlineLevel="1" x14ac:dyDescent="0.25">
      <c r="A214" s="51" t="str">
        <f>IF(A209="","",A209)</f>
        <v/>
      </c>
      <c r="B214" s="41" t="str">
        <f>IF(B209="","",B209)</f>
        <v/>
      </c>
      <c r="C214" s="42"/>
      <c r="D214" s="43" t="str">
        <f>IF(COUNTA(C214,E214,H214,I214:O214)=0,"",IF(D209="","",D209))</f>
        <v/>
      </c>
      <c r="E214" s="44"/>
      <c r="F214" s="139" t="str">
        <f t="shared" si="149"/>
        <v/>
      </c>
      <c r="G214" s="136" t="str">
        <f t="shared" si="150"/>
        <v/>
      </c>
      <c r="H214" s="127"/>
      <c r="I214" s="148"/>
      <c r="J214" s="148"/>
      <c r="K214" s="148"/>
      <c r="L214" s="148"/>
      <c r="M214" s="148"/>
      <c r="N214" s="148"/>
      <c r="O214" s="148"/>
      <c r="P214" s="144">
        <f t="shared" si="151"/>
        <v>0</v>
      </c>
      <c r="Q214" s="144" cm="1">
        <f t="array" ref="Q214">IF(OR(A214="",E214="",F214=""),0,SUMPRODUCT((tlNo=A214)*(Timeline!$H$18:$BG$18+6&gt;=E214)*(Timeline!$H$18:$BG$18&lt;=F214)*Timeline!$H$20:$BG$378))</f>
        <v>0</v>
      </c>
      <c r="R214" s="144">
        <f t="shared" si="139"/>
        <v>0</v>
      </c>
      <c r="S214" s="144">
        <f>SUMIF($I$3:$O$3,Assumptions!$A$15,$I214:$O214)*N($G214)</f>
        <v>0</v>
      </c>
      <c r="T214" s="144">
        <f>SUMIF($I$3:$O$3,Assumptions!$A$16,$I214:$O214)*N($G214)</f>
        <v>0</v>
      </c>
      <c r="U214" s="144">
        <f>SUMIF($I$3:$O$3,Assumptions!$A$17,$I214:$O214)*N($G214)</f>
        <v>0</v>
      </c>
      <c r="V214" s="144">
        <f>SUMIF($I$3:$O$3,Assumptions!$A$18,$I214:$O214)*N($G214)</f>
        <v>0</v>
      </c>
      <c r="W214" s="144">
        <f>SUMIF($I$3:$O$3,Assumptions!$A$19,$I214:$O214)*N($G214)</f>
        <v>0</v>
      </c>
      <c r="X214" s="145">
        <f>S214*Assumptions!$B$15+T214*Assumptions!$B$16+U214*Assumptions!$B$17+V214*Assumptions!$B$18+W214*Assumptions!$B$19</f>
        <v>0</v>
      </c>
      <c r="Y214" s="145" t="str">
        <f t="shared" si="152"/>
        <v/>
      </c>
      <c r="Z214" s="146" t="str">
        <f t="shared" si="153"/>
        <v/>
      </c>
      <c r="AA214" s="146">
        <f>IF(D214="Active",1,IF(D214="Prospective",IF(Assumptions!$B$6="Active only",0,Assumptions!$B$7),0))</f>
        <v>0</v>
      </c>
      <c r="AB214" s="147" t="str">
        <f t="shared" si="154"/>
        <v/>
      </c>
      <c r="AC214" s="152" t="s">
        <v>103</v>
      </c>
      <c r="AD214" s="156">
        <f t="shared" si="140"/>
        <v>0</v>
      </c>
    </row>
    <row r="215" spans="1:30" outlineLevel="1" x14ac:dyDescent="0.25">
      <c r="A215" s="51" t="str">
        <f>IF(A209="","",A209)</f>
        <v/>
      </c>
      <c r="B215" s="41" t="str">
        <f>IF(B209="","",B209)</f>
        <v/>
      </c>
      <c r="C215" s="42"/>
      <c r="D215" s="43" t="str">
        <f>IF(COUNTA(C215,E215,H215,I215:O215)=0,"",IF(D209="","",D209))</f>
        <v/>
      </c>
      <c r="E215" s="44"/>
      <c r="F215" s="139" t="str">
        <f t="shared" si="149"/>
        <v/>
      </c>
      <c r="G215" s="136" t="str">
        <f t="shared" si="150"/>
        <v/>
      </c>
      <c r="H215" s="127"/>
      <c r="I215" s="148"/>
      <c r="J215" s="148"/>
      <c r="K215" s="148"/>
      <c r="L215" s="148"/>
      <c r="M215" s="148"/>
      <c r="N215" s="148"/>
      <c r="O215" s="148"/>
      <c r="P215" s="144">
        <f t="shared" si="151"/>
        <v>0</v>
      </c>
      <c r="Q215" s="144" cm="1">
        <f t="array" ref="Q215">IF(OR(A215="",E215="",F215=""),0,SUMPRODUCT((tlNo=A215)*(Timeline!$H$18:$BG$18+6&gt;=E215)*(Timeline!$H$18:$BG$18&lt;=F215)*Timeline!$H$20:$BG$378))</f>
        <v>0</v>
      </c>
      <c r="R215" s="144">
        <f t="shared" si="139"/>
        <v>0</v>
      </c>
      <c r="S215" s="144">
        <f>SUMIF($I$3:$O$3,Assumptions!$A$15,$I215:$O215)*N($G215)</f>
        <v>0</v>
      </c>
      <c r="T215" s="144">
        <f>SUMIF($I$3:$O$3,Assumptions!$A$16,$I215:$O215)*N($G215)</f>
        <v>0</v>
      </c>
      <c r="U215" s="144">
        <f>SUMIF($I$3:$O$3,Assumptions!$A$17,$I215:$O215)*N($G215)</f>
        <v>0</v>
      </c>
      <c r="V215" s="144">
        <f>SUMIF($I$3:$O$3,Assumptions!$A$18,$I215:$O215)*N($G215)</f>
        <v>0</v>
      </c>
      <c r="W215" s="144">
        <f>SUMIF($I$3:$O$3,Assumptions!$A$19,$I215:$O215)*N($G215)</f>
        <v>0</v>
      </c>
      <c r="X215" s="145">
        <f>S215*Assumptions!$B$15+T215*Assumptions!$B$16+U215*Assumptions!$B$17+V215*Assumptions!$B$18+W215*Assumptions!$B$19</f>
        <v>0</v>
      </c>
      <c r="Y215" s="145" t="str">
        <f t="shared" si="152"/>
        <v/>
      </c>
      <c r="Z215" s="146" t="str">
        <f t="shared" si="153"/>
        <v/>
      </c>
      <c r="AA215" s="146">
        <f>IF(D215="Active",1,IF(D215="Prospective",IF(Assumptions!$B$6="Active only",0,Assumptions!$B$7),0))</f>
        <v>0</v>
      </c>
      <c r="AB215" s="147" t="str">
        <f t="shared" si="154"/>
        <v/>
      </c>
      <c r="AC215" s="152" t="s">
        <v>103</v>
      </c>
      <c r="AD215" s="156">
        <f t="shared" si="140"/>
        <v>0</v>
      </c>
    </row>
    <row r="216" spans="1:30" outlineLevel="1" x14ac:dyDescent="0.25">
      <c r="A216" s="51" t="str">
        <f>IF(A209="","",A209)</f>
        <v/>
      </c>
      <c r="B216" s="41" t="str">
        <f>IF(B209="","",B209)</f>
        <v/>
      </c>
      <c r="C216" s="42"/>
      <c r="D216" s="43" t="str">
        <f>IF(COUNTA(C216,E216,H216,I216:O216)=0,"",IF(D209="","",D209))</f>
        <v/>
      </c>
      <c r="E216" s="44"/>
      <c r="F216" s="139" t="str">
        <f t="shared" si="149"/>
        <v/>
      </c>
      <c r="G216" s="136" t="str">
        <f t="shared" si="150"/>
        <v/>
      </c>
      <c r="H216" s="127"/>
      <c r="I216" s="148"/>
      <c r="J216" s="148"/>
      <c r="K216" s="148"/>
      <c r="L216" s="148"/>
      <c r="M216" s="148"/>
      <c r="N216" s="148"/>
      <c r="O216" s="148"/>
      <c r="P216" s="144">
        <f t="shared" si="151"/>
        <v>0</v>
      </c>
      <c r="Q216" s="144" cm="1">
        <f t="array" ref="Q216">IF(OR(A216="",E216="",F216=""),0,SUMPRODUCT((tlNo=A216)*(Timeline!$H$18:$BG$18+6&gt;=E216)*(Timeline!$H$18:$BG$18&lt;=F216)*Timeline!$H$20:$BG$378))</f>
        <v>0</v>
      </c>
      <c r="R216" s="144">
        <f t="shared" si="139"/>
        <v>0</v>
      </c>
      <c r="S216" s="144">
        <f>SUMIF($I$3:$O$3,Assumptions!$A$15,$I216:$O216)*N($G216)</f>
        <v>0</v>
      </c>
      <c r="T216" s="144">
        <f>SUMIF($I$3:$O$3,Assumptions!$A$16,$I216:$O216)*N($G216)</f>
        <v>0</v>
      </c>
      <c r="U216" s="144">
        <f>SUMIF($I$3:$O$3,Assumptions!$A$17,$I216:$O216)*N($G216)</f>
        <v>0</v>
      </c>
      <c r="V216" s="144">
        <f>SUMIF($I$3:$O$3,Assumptions!$A$18,$I216:$O216)*N($G216)</f>
        <v>0</v>
      </c>
      <c r="W216" s="144">
        <f>SUMIF($I$3:$O$3,Assumptions!$A$19,$I216:$O216)*N($G216)</f>
        <v>0</v>
      </c>
      <c r="X216" s="145">
        <f>S216*Assumptions!$B$15+T216*Assumptions!$B$16+U216*Assumptions!$B$17+V216*Assumptions!$B$18+W216*Assumptions!$B$19</f>
        <v>0</v>
      </c>
      <c r="Y216" s="145" t="str">
        <f t="shared" si="152"/>
        <v/>
      </c>
      <c r="Z216" s="146" t="str">
        <f t="shared" si="153"/>
        <v/>
      </c>
      <c r="AA216" s="146">
        <f>IF(D216="Active",1,IF(D216="Prospective",IF(Assumptions!$B$6="Active only",0,Assumptions!$B$7),0))</f>
        <v>0</v>
      </c>
      <c r="AB216" s="147" t="str">
        <f t="shared" si="154"/>
        <v/>
      </c>
      <c r="AC216" s="152" t="s">
        <v>103</v>
      </c>
      <c r="AD216" s="156">
        <f t="shared" si="140"/>
        <v>0</v>
      </c>
    </row>
    <row r="217" spans="1:30" outlineLevel="1" x14ac:dyDescent="0.25">
      <c r="A217" s="64" t="str">
        <f>IF(A209="","",A209)</f>
        <v/>
      </c>
      <c r="B217" s="45" t="str">
        <f>IF(B209="","",B209)</f>
        <v/>
      </c>
      <c r="C217" s="46"/>
      <c r="D217" s="47" t="str">
        <f>IF(COUNTA(C217,E217,H217,I217:O217)=0,"",IF(D209="","",D209))</f>
        <v/>
      </c>
      <c r="E217" s="48"/>
      <c r="F217" s="140" t="str">
        <f t="shared" si="149"/>
        <v/>
      </c>
      <c r="G217" s="137" t="str">
        <f t="shared" si="150"/>
        <v/>
      </c>
      <c r="H217" s="128"/>
      <c r="I217" s="148"/>
      <c r="J217" s="148"/>
      <c r="K217" s="148"/>
      <c r="L217" s="148"/>
      <c r="M217" s="148"/>
      <c r="N217" s="148"/>
      <c r="O217" s="148"/>
      <c r="P217" s="144">
        <f t="shared" si="151"/>
        <v>0</v>
      </c>
      <c r="Q217" s="144" cm="1">
        <f t="array" ref="Q217">IF(OR(A217="",E217="",F217=""),0,SUMPRODUCT((tlNo=A217)*(Timeline!$H$18:$BG$18+6&gt;=E217)*(Timeline!$H$18:$BG$18&lt;=F217)*Timeline!$H$20:$BG$378))</f>
        <v>0</v>
      </c>
      <c r="R217" s="144">
        <f t="shared" si="139"/>
        <v>0</v>
      </c>
      <c r="S217" s="144">
        <f>SUMIF($I$3:$O$3,Assumptions!$A$15,$I217:$O217)*N($G217)</f>
        <v>0</v>
      </c>
      <c r="T217" s="144">
        <f>SUMIF($I$3:$O$3,Assumptions!$A$16,$I217:$O217)*N($G217)</f>
        <v>0</v>
      </c>
      <c r="U217" s="144">
        <f>SUMIF($I$3:$O$3,Assumptions!$A$17,$I217:$O217)*N($G217)</f>
        <v>0</v>
      </c>
      <c r="V217" s="144">
        <f>SUMIF($I$3:$O$3,Assumptions!$A$18,$I217:$O217)*N($G217)</f>
        <v>0</v>
      </c>
      <c r="W217" s="144">
        <f>SUMIF($I$3:$O$3,Assumptions!$A$19,$I217:$O217)*N($G217)</f>
        <v>0</v>
      </c>
      <c r="X217" s="145">
        <f>S217*Assumptions!$B$15+T217*Assumptions!$B$16+U217*Assumptions!$B$17+V217*Assumptions!$B$18+W217*Assumptions!$B$19</f>
        <v>0</v>
      </c>
      <c r="Y217" s="145" t="str">
        <f t="shared" si="152"/>
        <v/>
      </c>
      <c r="Z217" s="146" t="str">
        <f t="shared" si="153"/>
        <v/>
      </c>
      <c r="AA217" s="146">
        <f>IF(D217="Active",1,IF(D217="Prospective",IF(Assumptions!$B$6="Active only",0,Assumptions!$B$7),0))</f>
        <v>0</v>
      </c>
      <c r="AB217" s="147" t="str">
        <f t="shared" si="154"/>
        <v/>
      </c>
      <c r="AC217" s="152" t="s">
        <v>103</v>
      </c>
      <c r="AD217" s="156">
        <f t="shared" si="140"/>
        <v>0</v>
      </c>
    </row>
    <row r="218" spans="1:30" x14ac:dyDescent="0.25">
      <c r="A218" s="59"/>
      <c r="B218" s="60"/>
      <c r="C218" s="61" t="s">
        <v>129</v>
      </c>
      <c r="D218" s="62"/>
      <c r="E218" s="63" t="str">
        <f>IF(COUNT(E219:E226)=0,"",MIN(E219:E226))</f>
        <v/>
      </c>
      <c r="F218" s="63" t="str">
        <f>IF(COUNT(F219:F226)=0,"",MAX(F219:F226))</f>
        <v/>
      </c>
      <c r="G218" s="134"/>
      <c r="H218" s="125">
        <f>SUM(H219:H226)</f>
        <v>0</v>
      </c>
      <c r="I218" s="141"/>
      <c r="J218" s="141"/>
      <c r="K218" s="141"/>
      <c r="L218" s="141"/>
      <c r="M218" s="141"/>
      <c r="N218" s="141"/>
      <c r="O218" s="141"/>
      <c r="P218" s="141">
        <f>SUM(P219:P226)</f>
        <v>0</v>
      </c>
      <c r="Q218" s="141">
        <f>SUM(Q219:Q226)</f>
        <v>0</v>
      </c>
      <c r="R218" s="141">
        <f t="shared" si="139"/>
        <v>0</v>
      </c>
      <c r="S218" s="141">
        <f t="shared" ref="S218:X218" si="155">SUM(S219:S226)</f>
        <v>0</v>
      </c>
      <c r="T218" s="141">
        <f t="shared" si="155"/>
        <v>0</v>
      </c>
      <c r="U218" s="141">
        <f t="shared" si="155"/>
        <v>0</v>
      </c>
      <c r="V218" s="141">
        <f t="shared" si="155"/>
        <v>0</v>
      </c>
      <c r="W218" s="141">
        <f t="shared" si="155"/>
        <v>0</v>
      </c>
      <c r="X218" s="142">
        <f t="shared" si="155"/>
        <v>0</v>
      </c>
      <c r="Y218" s="142">
        <f>H218-X218</f>
        <v>0</v>
      </c>
      <c r="Z218" s="143" t="str">
        <f>IF(H218=0,"",X218/H218)</f>
        <v/>
      </c>
      <c r="AA218" s="143"/>
      <c r="AB218" s="40" t="str">
        <f>IF(COUNTIF(AB219:AB226,"?*")=0,"No phases yet",IF(COUNTIF(AB219:AB226,"OK")=COUNTIF(AB219:AB226,"?*"),"All OK",(COUNTIF(AB219:AB226,"?*")-COUNTIF(AB219:AB226,"OK"))&amp;" to fix"))</f>
        <v>No phases yet</v>
      </c>
      <c r="AC218" s="52" t="s">
        <v>130</v>
      </c>
      <c r="AD218" s="156">
        <f t="shared" si="140"/>
        <v>0</v>
      </c>
    </row>
    <row r="219" spans="1:30" outlineLevel="1" x14ac:dyDescent="0.25">
      <c r="A219" s="54" t="str">
        <f>IF(A218="","",A218)</f>
        <v/>
      </c>
      <c r="B219" s="55" t="str">
        <f>IF(B218="","",B218)</f>
        <v/>
      </c>
      <c r="C219" s="56"/>
      <c r="D219" s="57" t="str">
        <f>IF(COUNTA(C219,E219,H219,I219:O219)=0,"",IF(D218="","",D218))</f>
        <v/>
      </c>
      <c r="E219" s="58"/>
      <c r="F219" s="138" t="str">
        <f t="shared" ref="F219:F226" si="156">IF(_xlfn.ISFORMULA(G219),"",IF(AND(E219&lt;&gt;"",N(G219)&gt;0),E219+7*G219-1,""))</f>
        <v/>
      </c>
      <c r="G219" s="135" t="str">
        <f t="shared" ref="G219:G226" si="157">IF(OR(E219="",F219=""),"",IF(F219&lt;E219,"",ROUNDUP((F219-E219+1)/7,0)))</f>
        <v/>
      </c>
      <c r="H219" s="126"/>
      <c r="I219" s="148"/>
      <c r="J219" s="148"/>
      <c r="K219" s="148"/>
      <c r="L219" s="148"/>
      <c r="M219" s="148"/>
      <c r="N219" s="148"/>
      <c r="O219" s="148"/>
      <c r="P219" s="144">
        <f t="shared" ref="P219:P226" si="158">SUM(I219:O219)*N(G219)</f>
        <v>0</v>
      </c>
      <c r="Q219" s="144" cm="1">
        <f t="array" ref="Q219">IF(OR(A219="",E219="",F219=""),0,SUMPRODUCT((tlNo=A219)*(Timeline!$H$18:$BG$18+6&gt;=E219)*(Timeline!$H$18:$BG$18&lt;=F219)*Timeline!$H$20:$BG$378))</f>
        <v>0</v>
      </c>
      <c r="R219" s="144">
        <f t="shared" si="139"/>
        <v>0</v>
      </c>
      <c r="S219" s="144">
        <f>SUMIF($I$3:$O$3,Assumptions!$A$15,$I219:$O219)*N($G219)</f>
        <v>0</v>
      </c>
      <c r="T219" s="144">
        <f>SUMIF($I$3:$O$3,Assumptions!$A$16,$I219:$O219)*N($G219)</f>
        <v>0</v>
      </c>
      <c r="U219" s="144">
        <f>SUMIF($I$3:$O$3,Assumptions!$A$17,$I219:$O219)*N($G219)</f>
        <v>0</v>
      </c>
      <c r="V219" s="144">
        <f>SUMIF($I$3:$O$3,Assumptions!$A$18,$I219:$O219)*N($G219)</f>
        <v>0</v>
      </c>
      <c r="W219" s="144">
        <f>SUMIF($I$3:$O$3,Assumptions!$A$19,$I219:$O219)*N($G219)</f>
        <v>0</v>
      </c>
      <c r="X219" s="145">
        <f>S219*Assumptions!$B$15+T219*Assumptions!$B$16+U219*Assumptions!$B$17+V219*Assumptions!$B$18+W219*Assumptions!$B$19</f>
        <v>0</v>
      </c>
      <c r="Y219" s="145" t="str">
        <f t="shared" ref="Y219:Y226" si="159">IF(D219="","",H219-X219)</f>
        <v/>
      </c>
      <c r="Z219" s="146" t="str">
        <f t="shared" ref="Z219:Z226" si="160">IF(OR(D219="",H219=0),"",X219/H219)</f>
        <v/>
      </c>
      <c r="AA219" s="146">
        <f>IF(D219="Active",1,IF(D219="Prospective",IF(Assumptions!$B$6="Active only",0,Assumptions!$B$7),0))</f>
        <v>0</v>
      </c>
      <c r="AB219" s="147" t="str">
        <f t="shared" ref="AB219:AB226" si="161">IF(COUNTA(C219,E219,H219,I219:O219)=0,"",IF(C219="","Select phase",IF(OR(E219="",F219=""),"Enter dates",IF(F219&lt;E219,"End before start",IF(H219="","Enter phase fee",IF(P219=0,"Enter staff hours",IF(R219&lt;0,"Over-mapped on Timeline",IF(R219&gt;0,"Map hours on Timeline","OK"))))))))</f>
        <v/>
      </c>
      <c r="AC219" s="152" t="s">
        <v>103</v>
      </c>
      <c r="AD219" s="156">
        <f t="shared" si="140"/>
        <v>0</v>
      </c>
    </row>
    <row r="220" spans="1:30" outlineLevel="1" x14ac:dyDescent="0.25">
      <c r="A220" s="51" t="str">
        <f>IF(A218="","",A218)</f>
        <v/>
      </c>
      <c r="B220" s="41" t="str">
        <f>IF(B218="","",B218)</f>
        <v/>
      </c>
      <c r="C220" s="42"/>
      <c r="D220" s="43" t="str">
        <f>IF(COUNTA(C220,E220,H220,I220:O220)=0,"",IF(D218="","",D218))</f>
        <v/>
      </c>
      <c r="E220" s="44"/>
      <c r="F220" s="139" t="str">
        <f t="shared" si="156"/>
        <v/>
      </c>
      <c r="G220" s="136" t="str">
        <f t="shared" si="157"/>
        <v/>
      </c>
      <c r="H220" s="127"/>
      <c r="I220" s="148"/>
      <c r="J220" s="148"/>
      <c r="K220" s="148"/>
      <c r="L220" s="148"/>
      <c r="M220" s="148"/>
      <c r="N220" s="148"/>
      <c r="O220" s="148"/>
      <c r="P220" s="144">
        <f t="shared" si="158"/>
        <v>0</v>
      </c>
      <c r="Q220" s="144" cm="1">
        <f t="array" ref="Q220">IF(OR(A220="",E220="",F220=""),0,SUMPRODUCT((tlNo=A220)*(Timeline!$H$18:$BG$18+6&gt;=E220)*(Timeline!$H$18:$BG$18&lt;=F220)*Timeline!$H$20:$BG$378))</f>
        <v>0</v>
      </c>
      <c r="R220" s="144">
        <f t="shared" si="139"/>
        <v>0</v>
      </c>
      <c r="S220" s="144">
        <f>SUMIF($I$3:$O$3,Assumptions!$A$15,$I220:$O220)*N($G220)</f>
        <v>0</v>
      </c>
      <c r="T220" s="144">
        <f>SUMIF($I$3:$O$3,Assumptions!$A$16,$I220:$O220)*N($G220)</f>
        <v>0</v>
      </c>
      <c r="U220" s="144">
        <f>SUMIF($I$3:$O$3,Assumptions!$A$17,$I220:$O220)*N($G220)</f>
        <v>0</v>
      </c>
      <c r="V220" s="144">
        <f>SUMIF($I$3:$O$3,Assumptions!$A$18,$I220:$O220)*N($G220)</f>
        <v>0</v>
      </c>
      <c r="W220" s="144">
        <f>SUMIF($I$3:$O$3,Assumptions!$A$19,$I220:$O220)*N($G220)</f>
        <v>0</v>
      </c>
      <c r="X220" s="145">
        <f>S220*Assumptions!$B$15+T220*Assumptions!$B$16+U220*Assumptions!$B$17+V220*Assumptions!$B$18+W220*Assumptions!$B$19</f>
        <v>0</v>
      </c>
      <c r="Y220" s="145" t="str">
        <f t="shared" si="159"/>
        <v/>
      </c>
      <c r="Z220" s="146" t="str">
        <f t="shared" si="160"/>
        <v/>
      </c>
      <c r="AA220" s="146">
        <f>IF(D220="Active",1,IF(D220="Prospective",IF(Assumptions!$B$6="Active only",0,Assumptions!$B$7),0))</f>
        <v>0</v>
      </c>
      <c r="AB220" s="147" t="str">
        <f t="shared" si="161"/>
        <v/>
      </c>
      <c r="AC220" s="152" t="s">
        <v>103</v>
      </c>
      <c r="AD220" s="156">
        <f t="shared" si="140"/>
        <v>0</v>
      </c>
    </row>
    <row r="221" spans="1:30" outlineLevel="1" x14ac:dyDescent="0.25">
      <c r="A221" s="51" t="str">
        <f>IF(A218="","",A218)</f>
        <v/>
      </c>
      <c r="B221" s="41" t="str">
        <f>IF(B218="","",B218)</f>
        <v/>
      </c>
      <c r="C221" s="42"/>
      <c r="D221" s="43" t="str">
        <f>IF(COUNTA(C221,E221,H221,I221:O221)=0,"",IF(D218="","",D218))</f>
        <v/>
      </c>
      <c r="E221" s="44"/>
      <c r="F221" s="139" t="str">
        <f t="shared" si="156"/>
        <v/>
      </c>
      <c r="G221" s="136" t="str">
        <f t="shared" si="157"/>
        <v/>
      </c>
      <c r="H221" s="127"/>
      <c r="I221" s="148"/>
      <c r="J221" s="148"/>
      <c r="K221" s="148"/>
      <c r="L221" s="148"/>
      <c r="M221" s="148"/>
      <c r="N221" s="148"/>
      <c r="O221" s="148"/>
      <c r="P221" s="144">
        <f t="shared" si="158"/>
        <v>0</v>
      </c>
      <c r="Q221" s="144" cm="1">
        <f t="array" ref="Q221">IF(OR(A221="",E221="",F221=""),0,SUMPRODUCT((tlNo=A221)*(Timeline!$H$18:$BG$18+6&gt;=E221)*(Timeline!$H$18:$BG$18&lt;=F221)*Timeline!$H$20:$BG$378))</f>
        <v>0</v>
      </c>
      <c r="R221" s="144">
        <f t="shared" si="139"/>
        <v>0</v>
      </c>
      <c r="S221" s="144">
        <f>SUMIF($I$3:$O$3,Assumptions!$A$15,$I221:$O221)*N($G221)</f>
        <v>0</v>
      </c>
      <c r="T221" s="144">
        <f>SUMIF($I$3:$O$3,Assumptions!$A$16,$I221:$O221)*N($G221)</f>
        <v>0</v>
      </c>
      <c r="U221" s="144">
        <f>SUMIF($I$3:$O$3,Assumptions!$A$17,$I221:$O221)*N($G221)</f>
        <v>0</v>
      </c>
      <c r="V221" s="144">
        <f>SUMIF($I$3:$O$3,Assumptions!$A$18,$I221:$O221)*N($G221)</f>
        <v>0</v>
      </c>
      <c r="W221" s="144">
        <f>SUMIF($I$3:$O$3,Assumptions!$A$19,$I221:$O221)*N($G221)</f>
        <v>0</v>
      </c>
      <c r="X221" s="145">
        <f>S221*Assumptions!$B$15+T221*Assumptions!$B$16+U221*Assumptions!$B$17+V221*Assumptions!$B$18+W221*Assumptions!$B$19</f>
        <v>0</v>
      </c>
      <c r="Y221" s="145" t="str">
        <f t="shared" si="159"/>
        <v/>
      </c>
      <c r="Z221" s="146" t="str">
        <f t="shared" si="160"/>
        <v/>
      </c>
      <c r="AA221" s="146">
        <f>IF(D221="Active",1,IF(D221="Prospective",IF(Assumptions!$B$6="Active only",0,Assumptions!$B$7),0))</f>
        <v>0</v>
      </c>
      <c r="AB221" s="147" t="str">
        <f t="shared" si="161"/>
        <v/>
      </c>
      <c r="AC221" s="152" t="s">
        <v>103</v>
      </c>
      <c r="AD221" s="156">
        <f t="shared" si="140"/>
        <v>0</v>
      </c>
    </row>
    <row r="222" spans="1:30" outlineLevel="1" x14ac:dyDescent="0.25">
      <c r="A222" s="51" t="str">
        <f>IF(A218="","",A218)</f>
        <v/>
      </c>
      <c r="B222" s="41" t="str">
        <f>IF(B218="","",B218)</f>
        <v/>
      </c>
      <c r="C222" s="42"/>
      <c r="D222" s="43" t="str">
        <f>IF(COUNTA(C222,E222,H222,I222:O222)=0,"",IF(D218="","",D218))</f>
        <v/>
      </c>
      <c r="E222" s="44"/>
      <c r="F222" s="139" t="str">
        <f t="shared" si="156"/>
        <v/>
      </c>
      <c r="G222" s="136" t="str">
        <f t="shared" si="157"/>
        <v/>
      </c>
      <c r="H222" s="127"/>
      <c r="I222" s="148"/>
      <c r="J222" s="148"/>
      <c r="K222" s="148"/>
      <c r="L222" s="148"/>
      <c r="M222" s="148"/>
      <c r="N222" s="148"/>
      <c r="O222" s="148"/>
      <c r="P222" s="144">
        <f t="shared" si="158"/>
        <v>0</v>
      </c>
      <c r="Q222" s="144" cm="1">
        <f t="array" ref="Q222">IF(OR(A222="",E222="",F222=""),0,SUMPRODUCT((tlNo=A222)*(Timeline!$H$18:$BG$18+6&gt;=E222)*(Timeline!$H$18:$BG$18&lt;=F222)*Timeline!$H$20:$BG$378))</f>
        <v>0</v>
      </c>
      <c r="R222" s="144">
        <f t="shared" si="139"/>
        <v>0</v>
      </c>
      <c r="S222" s="144">
        <f>SUMIF($I$3:$O$3,Assumptions!$A$15,$I222:$O222)*N($G222)</f>
        <v>0</v>
      </c>
      <c r="T222" s="144">
        <f>SUMIF($I$3:$O$3,Assumptions!$A$16,$I222:$O222)*N($G222)</f>
        <v>0</v>
      </c>
      <c r="U222" s="144">
        <f>SUMIF($I$3:$O$3,Assumptions!$A$17,$I222:$O222)*N($G222)</f>
        <v>0</v>
      </c>
      <c r="V222" s="144">
        <f>SUMIF($I$3:$O$3,Assumptions!$A$18,$I222:$O222)*N($G222)</f>
        <v>0</v>
      </c>
      <c r="W222" s="144">
        <f>SUMIF($I$3:$O$3,Assumptions!$A$19,$I222:$O222)*N($G222)</f>
        <v>0</v>
      </c>
      <c r="X222" s="145">
        <f>S222*Assumptions!$B$15+T222*Assumptions!$B$16+U222*Assumptions!$B$17+V222*Assumptions!$B$18+W222*Assumptions!$B$19</f>
        <v>0</v>
      </c>
      <c r="Y222" s="145" t="str">
        <f t="shared" si="159"/>
        <v/>
      </c>
      <c r="Z222" s="146" t="str">
        <f t="shared" si="160"/>
        <v/>
      </c>
      <c r="AA222" s="146">
        <f>IF(D222="Active",1,IF(D222="Prospective",IF(Assumptions!$B$6="Active only",0,Assumptions!$B$7),0))</f>
        <v>0</v>
      </c>
      <c r="AB222" s="147" t="str">
        <f t="shared" si="161"/>
        <v/>
      </c>
      <c r="AC222" s="152" t="s">
        <v>103</v>
      </c>
      <c r="AD222" s="156">
        <f t="shared" si="140"/>
        <v>0</v>
      </c>
    </row>
    <row r="223" spans="1:30" outlineLevel="1" x14ac:dyDescent="0.25">
      <c r="A223" s="51" t="str">
        <f>IF(A218="","",A218)</f>
        <v/>
      </c>
      <c r="B223" s="41" t="str">
        <f>IF(B218="","",B218)</f>
        <v/>
      </c>
      <c r="C223" s="42"/>
      <c r="D223" s="43" t="str">
        <f>IF(COUNTA(C223,E223,H223,I223:O223)=0,"",IF(D218="","",D218))</f>
        <v/>
      </c>
      <c r="E223" s="44"/>
      <c r="F223" s="139" t="str">
        <f t="shared" si="156"/>
        <v/>
      </c>
      <c r="G223" s="136" t="str">
        <f t="shared" si="157"/>
        <v/>
      </c>
      <c r="H223" s="127"/>
      <c r="I223" s="148"/>
      <c r="J223" s="148"/>
      <c r="K223" s="148"/>
      <c r="L223" s="148"/>
      <c r="M223" s="148"/>
      <c r="N223" s="148"/>
      <c r="O223" s="148"/>
      <c r="P223" s="144">
        <f t="shared" si="158"/>
        <v>0</v>
      </c>
      <c r="Q223" s="144" cm="1">
        <f t="array" ref="Q223">IF(OR(A223="",E223="",F223=""),0,SUMPRODUCT((tlNo=A223)*(Timeline!$H$18:$BG$18+6&gt;=E223)*(Timeline!$H$18:$BG$18&lt;=F223)*Timeline!$H$20:$BG$378))</f>
        <v>0</v>
      </c>
      <c r="R223" s="144">
        <f t="shared" si="139"/>
        <v>0</v>
      </c>
      <c r="S223" s="144">
        <f>SUMIF($I$3:$O$3,Assumptions!$A$15,$I223:$O223)*N($G223)</f>
        <v>0</v>
      </c>
      <c r="T223" s="144">
        <f>SUMIF($I$3:$O$3,Assumptions!$A$16,$I223:$O223)*N($G223)</f>
        <v>0</v>
      </c>
      <c r="U223" s="144">
        <f>SUMIF($I$3:$O$3,Assumptions!$A$17,$I223:$O223)*N($G223)</f>
        <v>0</v>
      </c>
      <c r="V223" s="144">
        <f>SUMIF($I$3:$O$3,Assumptions!$A$18,$I223:$O223)*N($G223)</f>
        <v>0</v>
      </c>
      <c r="W223" s="144">
        <f>SUMIF($I$3:$O$3,Assumptions!$A$19,$I223:$O223)*N($G223)</f>
        <v>0</v>
      </c>
      <c r="X223" s="145">
        <f>S223*Assumptions!$B$15+T223*Assumptions!$B$16+U223*Assumptions!$B$17+V223*Assumptions!$B$18+W223*Assumptions!$B$19</f>
        <v>0</v>
      </c>
      <c r="Y223" s="145" t="str">
        <f t="shared" si="159"/>
        <v/>
      </c>
      <c r="Z223" s="146" t="str">
        <f t="shared" si="160"/>
        <v/>
      </c>
      <c r="AA223" s="146">
        <f>IF(D223="Active",1,IF(D223="Prospective",IF(Assumptions!$B$6="Active only",0,Assumptions!$B$7),0))</f>
        <v>0</v>
      </c>
      <c r="AB223" s="147" t="str">
        <f t="shared" si="161"/>
        <v/>
      </c>
      <c r="AC223" s="152" t="s">
        <v>103</v>
      </c>
      <c r="AD223" s="156">
        <f t="shared" si="140"/>
        <v>0</v>
      </c>
    </row>
    <row r="224" spans="1:30" outlineLevel="1" x14ac:dyDescent="0.25">
      <c r="A224" s="51" t="str">
        <f>IF(A218="","",A218)</f>
        <v/>
      </c>
      <c r="B224" s="41" t="str">
        <f>IF(B218="","",B218)</f>
        <v/>
      </c>
      <c r="C224" s="42"/>
      <c r="D224" s="43" t="str">
        <f>IF(COUNTA(C224,E224,H224,I224:O224)=0,"",IF(D218="","",D218))</f>
        <v/>
      </c>
      <c r="E224" s="44"/>
      <c r="F224" s="139" t="str">
        <f t="shared" si="156"/>
        <v/>
      </c>
      <c r="G224" s="136" t="str">
        <f t="shared" si="157"/>
        <v/>
      </c>
      <c r="H224" s="127"/>
      <c r="I224" s="148"/>
      <c r="J224" s="148"/>
      <c r="K224" s="148"/>
      <c r="L224" s="148"/>
      <c r="M224" s="148"/>
      <c r="N224" s="148"/>
      <c r="O224" s="148"/>
      <c r="P224" s="144">
        <f t="shared" si="158"/>
        <v>0</v>
      </c>
      <c r="Q224" s="144" cm="1">
        <f t="array" ref="Q224">IF(OR(A224="",E224="",F224=""),0,SUMPRODUCT((tlNo=A224)*(Timeline!$H$18:$BG$18+6&gt;=E224)*(Timeline!$H$18:$BG$18&lt;=F224)*Timeline!$H$20:$BG$378))</f>
        <v>0</v>
      </c>
      <c r="R224" s="144">
        <f t="shared" si="139"/>
        <v>0</v>
      </c>
      <c r="S224" s="144">
        <f>SUMIF($I$3:$O$3,Assumptions!$A$15,$I224:$O224)*N($G224)</f>
        <v>0</v>
      </c>
      <c r="T224" s="144">
        <f>SUMIF($I$3:$O$3,Assumptions!$A$16,$I224:$O224)*N($G224)</f>
        <v>0</v>
      </c>
      <c r="U224" s="144">
        <f>SUMIF($I$3:$O$3,Assumptions!$A$17,$I224:$O224)*N($G224)</f>
        <v>0</v>
      </c>
      <c r="V224" s="144">
        <f>SUMIF($I$3:$O$3,Assumptions!$A$18,$I224:$O224)*N($G224)</f>
        <v>0</v>
      </c>
      <c r="W224" s="144">
        <f>SUMIF($I$3:$O$3,Assumptions!$A$19,$I224:$O224)*N($G224)</f>
        <v>0</v>
      </c>
      <c r="X224" s="145">
        <f>S224*Assumptions!$B$15+T224*Assumptions!$B$16+U224*Assumptions!$B$17+V224*Assumptions!$B$18+W224*Assumptions!$B$19</f>
        <v>0</v>
      </c>
      <c r="Y224" s="145" t="str">
        <f t="shared" si="159"/>
        <v/>
      </c>
      <c r="Z224" s="146" t="str">
        <f t="shared" si="160"/>
        <v/>
      </c>
      <c r="AA224" s="146">
        <f>IF(D224="Active",1,IF(D224="Prospective",IF(Assumptions!$B$6="Active only",0,Assumptions!$B$7),0))</f>
        <v>0</v>
      </c>
      <c r="AB224" s="147" t="str">
        <f t="shared" si="161"/>
        <v/>
      </c>
      <c r="AC224" s="152" t="s">
        <v>103</v>
      </c>
      <c r="AD224" s="156">
        <f t="shared" si="140"/>
        <v>0</v>
      </c>
    </row>
    <row r="225" spans="1:30" outlineLevel="1" x14ac:dyDescent="0.25">
      <c r="A225" s="51" t="str">
        <f>IF(A218="","",A218)</f>
        <v/>
      </c>
      <c r="B225" s="41" t="str">
        <f>IF(B218="","",B218)</f>
        <v/>
      </c>
      <c r="C225" s="42"/>
      <c r="D225" s="43" t="str">
        <f>IF(COUNTA(C225,E225,H225,I225:O225)=0,"",IF(D218="","",D218))</f>
        <v/>
      </c>
      <c r="E225" s="44"/>
      <c r="F225" s="139" t="str">
        <f t="shared" si="156"/>
        <v/>
      </c>
      <c r="G225" s="136" t="str">
        <f t="shared" si="157"/>
        <v/>
      </c>
      <c r="H225" s="127"/>
      <c r="I225" s="148"/>
      <c r="J225" s="148"/>
      <c r="K225" s="148"/>
      <c r="L225" s="148"/>
      <c r="M225" s="148"/>
      <c r="N225" s="148"/>
      <c r="O225" s="148"/>
      <c r="P225" s="144">
        <f t="shared" si="158"/>
        <v>0</v>
      </c>
      <c r="Q225" s="144" cm="1">
        <f t="array" ref="Q225">IF(OR(A225="",E225="",F225=""),0,SUMPRODUCT((tlNo=A225)*(Timeline!$H$18:$BG$18+6&gt;=E225)*(Timeline!$H$18:$BG$18&lt;=F225)*Timeline!$H$20:$BG$378))</f>
        <v>0</v>
      </c>
      <c r="R225" s="144">
        <f t="shared" si="139"/>
        <v>0</v>
      </c>
      <c r="S225" s="144">
        <f>SUMIF($I$3:$O$3,Assumptions!$A$15,$I225:$O225)*N($G225)</f>
        <v>0</v>
      </c>
      <c r="T225" s="144">
        <f>SUMIF($I$3:$O$3,Assumptions!$A$16,$I225:$O225)*N($G225)</f>
        <v>0</v>
      </c>
      <c r="U225" s="144">
        <f>SUMIF($I$3:$O$3,Assumptions!$A$17,$I225:$O225)*N($G225)</f>
        <v>0</v>
      </c>
      <c r="V225" s="144">
        <f>SUMIF($I$3:$O$3,Assumptions!$A$18,$I225:$O225)*N($G225)</f>
        <v>0</v>
      </c>
      <c r="W225" s="144">
        <f>SUMIF($I$3:$O$3,Assumptions!$A$19,$I225:$O225)*N($G225)</f>
        <v>0</v>
      </c>
      <c r="X225" s="145">
        <f>S225*Assumptions!$B$15+T225*Assumptions!$B$16+U225*Assumptions!$B$17+V225*Assumptions!$B$18+W225*Assumptions!$B$19</f>
        <v>0</v>
      </c>
      <c r="Y225" s="145" t="str">
        <f t="shared" si="159"/>
        <v/>
      </c>
      <c r="Z225" s="146" t="str">
        <f t="shared" si="160"/>
        <v/>
      </c>
      <c r="AA225" s="146">
        <f>IF(D225="Active",1,IF(D225="Prospective",IF(Assumptions!$B$6="Active only",0,Assumptions!$B$7),0))</f>
        <v>0</v>
      </c>
      <c r="AB225" s="147" t="str">
        <f t="shared" si="161"/>
        <v/>
      </c>
      <c r="AC225" s="152" t="s">
        <v>103</v>
      </c>
      <c r="AD225" s="156">
        <f t="shared" si="140"/>
        <v>0</v>
      </c>
    </row>
    <row r="226" spans="1:30" outlineLevel="1" x14ac:dyDescent="0.25">
      <c r="A226" s="64" t="str">
        <f>IF(A218="","",A218)</f>
        <v/>
      </c>
      <c r="B226" s="45" t="str">
        <f>IF(B218="","",B218)</f>
        <v/>
      </c>
      <c r="C226" s="46"/>
      <c r="D226" s="47" t="str">
        <f>IF(COUNTA(C226,E226,H226,I226:O226)=0,"",IF(D218="","",D218))</f>
        <v/>
      </c>
      <c r="E226" s="48"/>
      <c r="F226" s="140" t="str">
        <f t="shared" si="156"/>
        <v/>
      </c>
      <c r="G226" s="137" t="str">
        <f t="shared" si="157"/>
        <v/>
      </c>
      <c r="H226" s="128"/>
      <c r="I226" s="148"/>
      <c r="J226" s="148"/>
      <c r="K226" s="148"/>
      <c r="L226" s="148"/>
      <c r="M226" s="148"/>
      <c r="N226" s="148"/>
      <c r="O226" s="148"/>
      <c r="P226" s="144">
        <f t="shared" si="158"/>
        <v>0</v>
      </c>
      <c r="Q226" s="144" cm="1">
        <f t="array" ref="Q226">IF(OR(A226="",E226="",F226=""),0,SUMPRODUCT((tlNo=A226)*(Timeline!$H$18:$BG$18+6&gt;=E226)*(Timeline!$H$18:$BG$18&lt;=F226)*Timeline!$H$20:$BG$378))</f>
        <v>0</v>
      </c>
      <c r="R226" s="144">
        <f t="shared" si="139"/>
        <v>0</v>
      </c>
      <c r="S226" s="144">
        <f>SUMIF($I$3:$O$3,Assumptions!$A$15,$I226:$O226)*N($G226)</f>
        <v>0</v>
      </c>
      <c r="T226" s="144">
        <f>SUMIF($I$3:$O$3,Assumptions!$A$16,$I226:$O226)*N($G226)</f>
        <v>0</v>
      </c>
      <c r="U226" s="144">
        <f>SUMIF($I$3:$O$3,Assumptions!$A$17,$I226:$O226)*N($G226)</f>
        <v>0</v>
      </c>
      <c r="V226" s="144">
        <f>SUMIF($I$3:$O$3,Assumptions!$A$18,$I226:$O226)*N($G226)</f>
        <v>0</v>
      </c>
      <c r="W226" s="144">
        <f>SUMIF($I$3:$O$3,Assumptions!$A$19,$I226:$O226)*N($G226)</f>
        <v>0</v>
      </c>
      <c r="X226" s="145">
        <f>S226*Assumptions!$B$15+T226*Assumptions!$B$16+U226*Assumptions!$B$17+V226*Assumptions!$B$18+W226*Assumptions!$B$19</f>
        <v>0</v>
      </c>
      <c r="Y226" s="145" t="str">
        <f t="shared" si="159"/>
        <v/>
      </c>
      <c r="Z226" s="146" t="str">
        <f t="shared" si="160"/>
        <v/>
      </c>
      <c r="AA226" s="146">
        <f>IF(D226="Active",1,IF(D226="Prospective",IF(Assumptions!$B$6="Active only",0,Assumptions!$B$7),0))</f>
        <v>0</v>
      </c>
      <c r="AB226" s="147" t="str">
        <f t="shared" si="161"/>
        <v/>
      </c>
      <c r="AC226" s="152" t="s">
        <v>103</v>
      </c>
      <c r="AD226" s="156">
        <f t="shared" si="140"/>
        <v>0</v>
      </c>
    </row>
    <row r="227" spans="1:30" x14ac:dyDescent="0.25">
      <c r="A227" s="59"/>
      <c r="B227" s="60"/>
      <c r="C227" s="61" t="s">
        <v>129</v>
      </c>
      <c r="D227" s="62"/>
      <c r="E227" s="63" t="str">
        <f>IF(COUNT(E228:E235)=0,"",MIN(E228:E235))</f>
        <v/>
      </c>
      <c r="F227" s="63" t="str">
        <f>IF(COUNT(F228:F235)=0,"",MAX(F228:F235))</f>
        <v/>
      </c>
      <c r="G227" s="134"/>
      <c r="H227" s="125">
        <f>SUM(H228:H235)</f>
        <v>0</v>
      </c>
      <c r="I227" s="141"/>
      <c r="J227" s="141"/>
      <c r="K227" s="141"/>
      <c r="L227" s="141"/>
      <c r="M227" s="141"/>
      <c r="N227" s="141"/>
      <c r="O227" s="141"/>
      <c r="P227" s="141">
        <f>SUM(P228:P235)</f>
        <v>0</v>
      </c>
      <c r="Q227" s="141">
        <f>SUM(Q228:Q235)</f>
        <v>0</v>
      </c>
      <c r="R227" s="141">
        <f t="shared" si="139"/>
        <v>0</v>
      </c>
      <c r="S227" s="141">
        <f t="shared" ref="S227:X227" si="162">SUM(S228:S235)</f>
        <v>0</v>
      </c>
      <c r="T227" s="141">
        <f t="shared" si="162"/>
        <v>0</v>
      </c>
      <c r="U227" s="141">
        <f t="shared" si="162"/>
        <v>0</v>
      </c>
      <c r="V227" s="141">
        <f t="shared" si="162"/>
        <v>0</v>
      </c>
      <c r="W227" s="141">
        <f t="shared" si="162"/>
        <v>0</v>
      </c>
      <c r="X227" s="142">
        <f t="shared" si="162"/>
        <v>0</v>
      </c>
      <c r="Y227" s="142">
        <f>H227-X227</f>
        <v>0</v>
      </c>
      <c r="Z227" s="143" t="str">
        <f>IF(H227=0,"",X227/H227)</f>
        <v/>
      </c>
      <c r="AA227" s="143"/>
      <c r="AB227" s="40" t="str">
        <f>IF(COUNTIF(AB228:AB235,"?*")=0,"No phases yet",IF(COUNTIF(AB228:AB235,"OK")=COUNTIF(AB228:AB235,"?*"),"All OK",(COUNTIF(AB228:AB235,"?*")-COUNTIF(AB228:AB235,"OK"))&amp;" to fix"))</f>
        <v>No phases yet</v>
      </c>
      <c r="AC227" s="52" t="s">
        <v>130</v>
      </c>
      <c r="AD227" s="156">
        <f t="shared" si="140"/>
        <v>0</v>
      </c>
    </row>
    <row r="228" spans="1:30" outlineLevel="1" x14ac:dyDescent="0.25">
      <c r="A228" s="54" t="str">
        <f>IF(A227="","",A227)</f>
        <v/>
      </c>
      <c r="B228" s="55" t="str">
        <f>IF(B227="","",B227)</f>
        <v/>
      </c>
      <c r="C228" s="56"/>
      <c r="D228" s="57" t="str">
        <f>IF(COUNTA(C228,E228,H228,I228:O228)=0,"",IF(D227="","",D227))</f>
        <v/>
      </c>
      <c r="E228" s="58"/>
      <c r="F228" s="138" t="str">
        <f t="shared" ref="F228:F235" si="163">IF(_xlfn.ISFORMULA(G228),"",IF(AND(E228&lt;&gt;"",N(G228)&gt;0),E228+7*G228-1,""))</f>
        <v/>
      </c>
      <c r="G228" s="135" t="str">
        <f t="shared" ref="G228:G235" si="164">IF(OR(E228="",F228=""),"",IF(F228&lt;E228,"",ROUNDUP((F228-E228+1)/7,0)))</f>
        <v/>
      </c>
      <c r="H228" s="126"/>
      <c r="I228" s="148"/>
      <c r="J228" s="148"/>
      <c r="K228" s="148"/>
      <c r="L228" s="148"/>
      <c r="M228" s="148"/>
      <c r="N228" s="148"/>
      <c r="O228" s="148"/>
      <c r="P228" s="144">
        <f t="shared" ref="P228:P235" si="165">SUM(I228:O228)*N(G228)</f>
        <v>0</v>
      </c>
      <c r="Q228" s="144" cm="1">
        <f t="array" ref="Q228">IF(OR(A228="",E228="",F228=""),0,SUMPRODUCT((tlNo=A228)*(Timeline!$H$18:$BG$18+6&gt;=E228)*(Timeline!$H$18:$BG$18&lt;=F228)*Timeline!$H$20:$BG$378))</f>
        <v>0</v>
      </c>
      <c r="R228" s="144">
        <f t="shared" si="139"/>
        <v>0</v>
      </c>
      <c r="S228" s="144">
        <f>SUMIF($I$3:$O$3,Assumptions!$A$15,$I228:$O228)*N($G228)</f>
        <v>0</v>
      </c>
      <c r="T228" s="144">
        <f>SUMIF($I$3:$O$3,Assumptions!$A$16,$I228:$O228)*N($G228)</f>
        <v>0</v>
      </c>
      <c r="U228" s="144">
        <f>SUMIF($I$3:$O$3,Assumptions!$A$17,$I228:$O228)*N($G228)</f>
        <v>0</v>
      </c>
      <c r="V228" s="144">
        <f>SUMIF($I$3:$O$3,Assumptions!$A$18,$I228:$O228)*N($G228)</f>
        <v>0</v>
      </c>
      <c r="W228" s="144">
        <f>SUMIF($I$3:$O$3,Assumptions!$A$19,$I228:$O228)*N($G228)</f>
        <v>0</v>
      </c>
      <c r="X228" s="145">
        <f>S228*Assumptions!$B$15+T228*Assumptions!$B$16+U228*Assumptions!$B$17+V228*Assumptions!$B$18+W228*Assumptions!$B$19</f>
        <v>0</v>
      </c>
      <c r="Y228" s="145" t="str">
        <f t="shared" ref="Y228:Y235" si="166">IF(D228="","",H228-X228)</f>
        <v/>
      </c>
      <c r="Z228" s="146" t="str">
        <f t="shared" ref="Z228:Z235" si="167">IF(OR(D228="",H228=0),"",X228/H228)</f>
        <v/>
      </c>
      <c r="AA228" s="146">
        <f>IF(D228="Active",1,IF(D228="Prospective",IF(Assumptions!$B$6="Active only",0,Assumptions!$B$7),0))</f>
        <v>0</v>
      </c>
      <c r="AB228" s="147" t="str">
        <f t="shared" ref="AB228:AB235" si="168">IF(COUNTA(C228,E228,H228,I228:O228)=0,"",IF(C228="","Select phase",IF(OR(E228="",F228=""),"Enter dates",IF(F228&lt;E228,"End before start",IF(H228="","Enter phase fee",IF(P228=0,"Enter staff hours",IF(R228&lt;0,"Over-mapped on Timeline",IF(R228&gt;0,"Map hours on Timeline","OK"))))))))</f>
        <v/>
      </c>
      <c r="AC228" s="152" t="s">
        <v>103</v>
      </c>
      <c r="AD228" s="156">
        <f t="shared" si="140"/>
        <v>0</v>
      </c>
    </row>
    <row r="229" spans="1:30" outlineLevel="1" x14ac:dyDescent="0.25">
      <c r="A229" s="51" t="str">
        <f>IF(A227="","",A227)</f>
        <v/>
      </c>
      <c r="B229" s="41" t="str">
        <f>IF(B227="","",B227)</f>
        <v/>
      </c>
      <c r="C229" s="42"/>
      <c r="D229" s="43" t="str">
        <f>IF(COUNTA(C229,E229,H229,I229:O229)=0,"",IF(D227="","",D227))</f>
        <v/>
      </c>
      <c r="E229" s="44"/>
      <c r="F229" s="139" t="str">
        <f t="shared" si="163"/>
        <v/>
      </c>
      <c r="G229" s="136" t="str">
        <f t="shared" si="164"/>
        <v/>
      </c>
      <c r="H229" s="127"/>
      <c r="I229" s="148"/>
      <c r="J229" s="148"/>
      <c r="K229" s="148"/>
      <c r="L229" s="148"/>
      <c r="M229" s="148"/>
      <c r="N229" s="148"/>
      <c r="O229" s="148"/>
      <c r="P229" s="144">
        <f t="shared" si="165"/>
        <v>0</v>
      </c>
      <c r="Q229" s="144" cm="1">
        <f t="array" ref="Q229">IF(OR(A229="",E229="",F229=""),0,SUMPRODUCT((tlNo=A229)*(Timeline!$H$18:$BG$18+6&gt;=E229)*(Timeline!$H$18:$BG$18&lt;=F229)*Timeline!$H$20:$BG$378))</f>
        <v>0</v>
      </c>
      <c r="R229" s="144">
        <f t="shared" si="139"/>
        <v>0</v>
      </c>
      <c r="S229" s="144">
        <f>SUMIF($I$3:$O$3,Assumptions!$A$15,$I229:$O229)*N($G229)</f>
        <v>0</v>
      </c>
      <c r="T229" s="144">
        <f>SUMIF($I$3:$O$3,Assumptions!$A$16,$I229:$O229)*N($G229)</f>
        <v>0</v>
      </c>
      <c r="U229" s="144">
        <f>SUMIF($I$3:$O$3,Assumptions!$A$17,$I229:$O229)*N($G229)</f>
        <v>0</v>
      </c>
      <c r="V229" s="144">
        <f>SUMIF($I$3:$O$3,Assumptions!$A$18,$I229:$O229)*N($G229)</f>
        <v>0</v>
      </c>
      <c r="W229" s="144">
        <f>SUMIF($I$3:$O$3,Assumptions!$A$19,$I229:$O229)*N($G229)</f>
        <v>0</v>
      </c>
      <c r="X229" s="145">
        <f>S229*Assumptions!$B$15+T229*Assumptions!$B$16+U229*Assumptions!$B$17+V229*Assumptions!$B$18+W229*Assumptions!$B$19</f>
        <v>0</v>
      </c>
      <c r="Y229" s="145" t="str">
        <f t="shared" si="166"/>
        <v/>
      </c>
      <c r="Z229" s="146" t="str">
        <f t="shared" si="167"/>
        <v/>
      </c>
      <c r="AA229" s="146">
        <f>IF(D229="Active",1,IF(D229="Prospective",IF(Assumptions!$B$6="Active only",0,Assumptions!$B$7),0))</f>
        <v>0</v>
      </c>
      <c r="AB229" s="147" t="str">
        <f t="shared" si="168"/>
        <v/>
      </c>
      <c r="AC229" s="152" t="s">
        <v>103</v>
      </c>
      <c r="AD229" s="156">
        <f t="shared" si="140"/>
        <v>0</v>
      </c>
    </row>
    <row r="230" spans="1:30" outlineLevel="1" x14ac:dyDescent="0.25">
      <c r="A230" s="51" t="str">
        <f>IF(A227="","",A227)</f>
        <v/>
      </c>
      <c r="B230" s="41" t="str">
        <f>IF(B227="","",B227)</f>
        <v/>
      </c>
      <c r="C230" s="42"/>
      <c r="D230" s="43" t="str">
        <f>IF(COUNTA(C230,E230,H230,I230:O230)=0,"",IF(D227="","",D227))</f>
        <v/>
      </c>
      <c r="E230" s="44"/>
      <c r="F230" s="139" t="str">
        <f t="shared" si="163"/>
        <v/>
      </c>
      <c r="G230" s="136" t="str">
        <f t="shared" si="164"/>
        <v/>
      </c>
      <c r="H230" s="127"/>
      <c r="I230" s="148"/>
      <c r="J230" s="148"/>
      <c r="K230" s="148"/>
      <c r="L230" s="148"/>
      <c r="M230" s="148"/>
      <c r="N230" s="148"/>
      <c r="O230" s="148"/>
      <c r="P230" s="144">
        <f t="shared" si="165"/>
        <v>0</v>
      </c>
      <c r="Q230" s="144" cm="1">
        <f t="array" ref="Q230">IF(OR(A230="",E230="",F230=""),0,SUMPRODUCT((tlNo=A230)*(Timeline!$H$18:$BG$18+6&gt;=E230)*(Timeline!$H$18:$BG$18&lt;=F230)*Timeline!$H$20:$BG$378))</f>
        <v>0</v>
      </c>
      <c r="R230" s="144">
        <f t="shared" si="139"/>
        <v>0</v>
      </c>
      <c r="S230" s="144">
        <f>SUMIF($I$3:$O$3,Assumptions!$A$15,$I230:$O230)*N($G230)</f>
        <v>0</v>
      </c>
      <c r="T230" s="144">
        <f>SUMIF($I$3:$O$3,Assumptions!$A$16,$I230:$O230)*N($G230)</f>
        <v>0</v>
      </c>
      <c r="U230" s="144">
        <f>SUMIF($I$3:$O$3,Assumptions!$A$17,$I230:$O230)*N($G230)</f>
        <v>0</v>
      </c>
      <c r="V230" s="144">
        <f>SUMIF($I$3:$O$3,Assumptions!$A$18,$I230:$O230)*N($G230)</f>
        <v>0</v>
      </c>
      <c r="W230" s="144">
        <f>SUMIF($I$3:$O$3,Assumptions!$A$19,$I230:$O230)*N($G230)</f>
        <v>0</v>
      </c>
      <c r="X230" s="145">
        <f>S230*Assumptions!$B$15+T230*Assumptions!$B$16+U230*Assumptions!$B$17+V230*Assumptions!$B$18+W230*Assumptions!$B$19</f>
        <v>0</v>
      </c>
      <c r="Y230" s="145" t="str">
        <f t="shared" si="166"/>
        <v/>
      </c>
      <c r="Z230" s="146" t="str">
        <f t="shared" si="167"/>
        <v/>
      </c>
      <c r="AA230" s="146">
        <f>IF(D230="Active",1,IF(D230="Prospective",IF(Assumptions!$B$6="Active only",0,Assumptions!$B$7),0))</f>
        <v>0</v>
      </c>
      <c r="AB230" s="147" t="str">
        <f t="shared" si="168"/>
        <v/>
      </c>
      <c r="AC230" s="152" t="s">
        <v>103</v>
      </c>
      <c r="AD230" s="156">
        <f t="shared" si="140"/>
        <v>0</v>
      </c>
    </row>
    <row r="231" spans="1:30" outlineLevel="1" x14ac:dyDescent="0.25">
      <c r="A231" s="51" t="str">
        <f>IF(A227="","",A227)</f>
        <v/>
      </c>
      <c r="B231" s="41" t="str">
        <f>IF(B227="","",B227)</f>
        <v/>
      </c>
      <c r="C231" s="42"/>
      <c r="D231" s="43" t="str">
        <f>IF(COUNTA(C231,E231,H231,I231:O231)=0,"",IF(D227="","",D227))</f>
        <v/>
      </c>
      <c r="E231" s="44"/>
      <c r="F231" s="139" t="str">
        <f t="shared" si="163"/>
        <v/>
      </c>
      <c r="G231" s="136" t="str">
        <f t="shared" si="164"/>
        <v/>
      </c>
      <c r="H231" s="127"/>
      <c r="I231" s="148"/>
      <c r="J231" s="148"/>
      <c r="K231" s="148"/>
      <c r="L231" s="148"/>
      <c r="M231" s="148"/>
      <c r="N231" s="148"/>
      <c r="O231" s="148"/>
      <c r="P231" s="144">
        <f t="shared" si="165"/>
        <v>0</v>
      </c>
      <c r="Q231" s="144" cm="1">
        <f t="array" ref="Q231">IF(OR(A231="",E231="",F231=""),0,SUMPRODUCT((tlNo=A231)*(Timeline!$H$18:$BG$18+6&gt;=E231)*(Timeline!$H$18:$BG$18&lt;=F231)*Timeline!$H$20:$BG$378))</f>
        <v>0</v>
      </c>
      <c r="R231" s="144">
        <f t="shared" si="139"/>
        <v>0</v>
      </c>
      <c r="S231" s="144">
        <f>SUMIF($I$3:$O$3,Assumptions!$A$15,$I231:$O231)*N($G231)</f>
        <v>0</v>
      </c>
      <c r="T231" s="144">
        <f>SUMIF($I$3:$O$3,Assumptions!$A$16,$I231:$O231)*N($G231)</f>
        <v>0</v>
      </c>
      <c r="U231" s="144">
        <f>SUMIF($I$3:$O$3,Assumptions!$A$17,$I231:$O231)*N($G231)</f>
        <v>0</v>
      </c>
      <c r="V231" s="144">
        <f>SUMIF($I$3:$O$3,Assumptions!$A$18,$I231:$O231)*N($G231)</f>
        <v>0</v>
      </c>
      <c r="W231" s="144">
        <f>SUMIF($I$3:$O$3,Assumptions!$A$19,$I231:$O231)*N($G231)</f>
        <v>0</v>
      </c>
      <c r="X231" s="145">
        <f>S231*Assumptions!$B$15+T231*Assumptions!$B$16+U231*Assumptions!$B$17+V231*Assumptions!$B$18+W231*Assumptions!$B$19</f>
        <v>0</v>
      </c>
      <c r="Y231" s="145" t="str">
        <f t="shared" si="166"/>
        <v/>
      </c>
      <c r="Z231" s="146" t="str">
        <f t="shared" si="167"/>
        <v/>
      </c>
      <c r="AA231" s="146">
        <f>IF(D231="Active",1,IF(D231="Prospective",IF(Assumptions!$B$6="Active only",0,Assumptions!$B$7),0))</f>
        <v>0</v>
      </c>
      <c r="AB231" s="147" t="str">
        <f t="shared" si="168"/>
        <v/>
      </c>
      <c r="AC231" s="152" t="s">
        <v>103</v>
      </c>
      <c r="AD231" s="156">
        <f t="shared" si="140"/>
        <v>0</v>
      </c>
    </row>
    <row r="232" spans="1:30" outlineLevel="1" x14ac:dyDescent="0.25">
      <c r="A232" s="51" t="str">
        <f>IF(A227="","",A227)</f>
        <v/>
      </c>
      <c r="B232" s="41" t="str">
        <f>IF(B227="","",B227)</f>
        <v/>
      </c>
      <c r="C232" s="42"/>
      <c r="D232" s="43" t="str">
        <f>IF(COUNTA(C232,E232,H232,I232:O232)=0,"",IF(D227="","",D227))</f>
        <v/>
      </c>
      <c r="E232" s="44"/>
      <c r="F232" s="139" t="str">
        <f t="shared" si="163"/>
        <v/>
      </c>
      <c r="G232" s="136" t="str">
        <f t="shared" si="164"/>
        <v/>
      </c>
      <c r="H232" s="127"/>
      <c r="I232" s="148"/>
      <c r="J232" s="148"/>
      <c r="K232" s="148"/>
      <c r="L232" s="148"/>
      <c r="M232" s="148"/>
      <c r="N232" s="148"/>
      <c r="O232" s="148"/>
      <c r="P232" s="144">
        <f t="shared" si="165"/>
        <v>0</v>
      </c>
      <c r="Q232" s="144" cm="1">
        <f t="array" ref="Q232">IF(OR(A232="",E232="",F232=""),0,SUMPRODUCT((tlNo=A232)*(Timeline!$H$18:$BG$18+6&gt;=E232)*(Timeline!$H$18:$BG$18&lt;=F232)*Timeline!$H$20:$BG$378))</f>
        <v>0</v>
      </c>
      <c r="R232" s="144">
        <f t="shared" si="139"/>
        <v>0</v>
      </c>
      <c r="S232" s="144">
        <f>SUMIF($I$3:$O$3,Assumptions!$A$15,$I232:$O232)*N($G232)</f>
        <v>0</v>
      </c>
      <c r="T232" s="144">
        <f>SUMIF($I$3:$O$3,Assumptions!$A$16,$I232:$O232)*N($G232)</f>
        <v>0</v>
      </c>
      <c r="U232" s="144">
        <f>SUMIF($I$3:$O$3,Assumptions!$A$17,$I232:$O232)*N($G232)</f>
        <v>0</v>
      </c>
      <c r="V232" s="144">
        <f>SUMIF($I$3:$O$3,Assumptions!$A$18,$I232:$O232)*N($G232)</f>
        <v>0</v>
      </c>
      <c r="W232" s="144">
        <f>SUMIF($I$3:$O$3,Assumptions!$A$19,$I232:$O232)*N($G232)</f>
        <v>0</v>
      </c>
      <c r="X232" s="145">
        <f>S232*Assumptions!$B$15+T232*Assumptions!$B$16+U232*Assumptions!$B$17+V232*Assumptions!$B$18+W232*Assumptions!$B$19</f>
        <v>0</v>
      </c>
      <c r="Y232" s="145" t="str">
        <f t="shared" si="166"/>
        <v/>
      </c>
      <c r="Z232" s="146" t="str">
        <f t="shared" si="167"/>
        <v/>
      </c>
      <c r="AA232" s="146">
        <f>IF(D232="Active",1,IF(D232="Prospective",IF(Assumptions!$B$6="Active only",0,Assumptions!$B$7),0))</f>
        <v>0</v>
      </c>
      <c r="AB232" s="147" t="str">
        <f t="shared" si="168"/>
        <v/>
      </c>
      <c r="AC232" s="152" t="s">
        <v>103</v>
      </c>
      <c r="AD232" s="156">
        <f t="shared" si="140"/>
        <v>0</v>
      </c>
    </row>
    <row r="233" spans="1:30" outlineLevel="1" x14ac:dyDescent="0.25">
      <c r="A233" s="51" t="str">
        <f>IF(A227="","",A227)</f>
        <v/>
      </c>
      <c r="B233" s="41" t="str">
        <f>IF(B227="","",B227)</f>
        <v/>
      </c>
      <c r="C233" s="42"/>
      <c r="D233" s="43" t="str">
        <f>IF(COUNTA(C233,E233,H233,I233:O233)=0,"",IF(D227="","",D227))</f>
        <v/>
      </c>
      <c r="E233" s="44"/>
      <c r="F233" s="139" t="str">
        <f t="shared" si="163"/>
        <v/>
      </c>
      <c r="G233" s="136" t="str">
        <f t="shared" si="164"/>
        <v/>
      </c>
      <c r="H233" s="127"/>
      <c r="I233" s="148"/>
      <c r="J233" s="148"/>
      <c r="K233" s="148"/>
      <c r="L233" s="148"/>
      <c r="M233" s="148"/>
      <c r="N233" s="148"/>
      <c r="O233" s="148"/>
      <c r="P233" s="144">
        <f t="shared" si="165"/>
        <v>0</v>
      </c>
      <c r="Q233" s="144" cm="1">
        <f t="array" ref="Q233">IF(OR(A233="",E233="",F233=""),0,SUMPRODUCT((tlNo=A233)*(Timeline!$H$18:$BG$18+6&gt;=E233)*(Timeline!$H$18:$BG$18&lt;=F233)*Timeline!$H$20:$BG$378))</f>
        <v>0</v>
      </c>
      <c r="R233" s="144">
        <f t="shared" si="139"/>
        <v>0</v>
      </c>
      <c r="S233" s="144">
        <f>SUMIF($I$3:$O$3,Assumptions!$A$15,$I233:$O233)*N($G233)</f>
        <v>0</v>
      </c>
      <c r="T233" s="144">
        <f>SUMIF($I$3:$O$3,Assumptions!$A$16,$I233:$O233)*N($G233)</f>
        <v>0</v>
      </c>
      <c r="U233" s="144">
        <f>SUMIF($I$3:$O$3,Assumptions!$A$17,$I233:$O233)*N($G233)</f>
        <v>0</v>
      </c>
      <c r="V233" s="144">
        <f>SUMIF($I$3:$O$3,Assumptions!$A$18,$I233:$O233)*N($G233)</f>
        <v>0</v>
      </c>
      <c r="W233" s="144">
        <f>SUMIF($I$3:$O$3,Assumptions!$A$19,$I233:$O233)*N($G233)</f>
        <v>0</v>
      </c>
      <c r="X233" s="145">
        <f>S233*Assumptions!$B$15+T233*Assumptions!$B$16+U233*Assumptions!$B$17+V233*Assumptions!$B$18+W233*Assumptions!$B$19</f>
        <v>0</v>
      </c>
      <c r="Y233" s="145" t="str">
        <f t="shared" si="166"/>
        <v/>
      </c>
      <c r="Z233" s="146" t="str">
        <f t="shared" si="167"/>
        <v/>
      </c>
      <c r="AA233" s="146">
        <f>IF(D233="Active",1,IF(D233="Prospective",IF(Assumptions!$B$6="Active only",0,Assumptions!$B$7),0))</f>
        <v>0</v>
      </c>
      <c r="AB233" s="147" t="str">
        <f t="shared" si="168"/>
        <v/>
      </c>
      <c r="AC233" s="152" t="s">
        <v>103</v>
      </c>
      <c r="AD233" s="156">
        <f t="shared" si="140"/>
        <v>0</v>
      </c>
    </row>
    <row r="234" spans="1:30" outlineLevel="1" x14ac:dyDescent="0.25">
      <c r="A234" s="51" t="str">
        <f>IF(A227="","",A227)</f>
        <v/>
      </c>
      <c r="B234" s="41" t="str">
        <f>IF(B227="","",B227)</f>
        <v/>
      </c>
      <c r="C234" s="42"/>
      <c r="D234" s="43" t="str">
        <f>IF(COUNTA(C234,E234,H234,I234:O234)=0,"",IF(D227="","",D227))</f>
        <v/>
      </c>
      <c r="E234" s="44"/>
      <c r="F234" s="139" t="str">
        <f t="shared" si="163"/>
        <v/>
      </c>
      <c r="G234" s="136" t="str">
        <f t="shared" si="164"/>
        <v/>
      </c>
      <c r="H234" s="127"/>
      <c r="I234" s="148"/>
      <c r="J234" s="148"/>
      <c r="K234" s="148"/>
      <c r="L234" s="148"/>
      <c r="M234" s="148"/>
      <c r="N234" s="148"/>
      <c r="O234" s="148"/>
      <c r="P234" s="144">
        <f t="shared" si="165"/>
        <v>0</v>
      </c>
      <c r="Q234" s="144" cm="1">
        <f t="array" ref="Q234">IF(OR(A234="",E234="",F234=""),0,SUMPRODUCT((tlNo=A234)*(Timeline!$H$18:$BG$18+6&gt;=E234)*(Timeline!$H$18:$BG$18&lt;=F234)*Timeline!$H$20:$BG$378))</f>
        <v>0</v>
      </c>
      <c r="R234" s="144">
        <f t="shared" si="139"/>
        <v>0</v>
      </c>
      <c r="S234" s="144">
        <f>SUMIF($I$3:$O$3,Assumptions!$A$15,$I234:$O234)*N($G234)</f>
        <v>0</v>
      </c>
      <c r="T234" s="144">
        <f>SUMIF($I$3:$O$3,Assumptions!$A$16,$I234:$O234)*N($G234)</f>
        <v>0</v>
      </c>
      <c r="U234" s="144">
        <f>SUMIF($I$3:$O$3,Assumptions!$A$17,$I234:$O234)*N($G234)</f>
        <v>0</v>
      </c>
      <c r="V234" s="144">
        <f>SUMIF($I$3:$O$3,Assumptions!$A$18,$I234:$O234)*N($G234)</f>
        <v>0</v>
      </c>
      <c r="W234" s="144">
        <f>SUMIF($I$3:$O$3,Assumptions!$A$19,$I234:$O234)*N($G234)</f>
        <v>0</v>
      </c>
      <c r="X234" s="145">
        <f>S234*Assumptions!$B$15+T234*Assumptions!$B$16+U234*Assumptions!$B$17+V234*Assumptions!$B$18+W234*Assumptions!$B$19</f>
        <v>0</v>
      </c>
      <c r="Y234" s="145" t="str">
        <f t="shared" si="166"/>
        <v/>
      </c>
      <c r="Z234" s="146" t="str">
        <f t="shared" si="167"/>
        <v/>
      </c>
      <c r="AA234" s="146">
        <f>IF(D234="Active",1,IF(D234="Prospective",IF(Assumptions!$B$6="Active only",0,Assumptions!$B$7),0))</f>
        <v>0</v>
      </c>
      <c r="AB234" s="147" t="str">
        <f t="shared" si="168"/>
        <v/>
      </c>
      <c r="AC234" s="152" t="s">
        <v>103</v>
      </c>
      <c r="AD234" s="156">
        <f t="shared" si="140"/>
        <v>0</v>
      </c>
    </row>
    <row r="235" spans="1:30" outlineLevel="1" x14ac:dyDescent="0.25">
      <c r="A235" s="51" t="str">
        <f>IF(A227="","",A227)</f>
        <v/>
      </c>
      <c r="B235" s="41" t="str">
        <f>IF(B227="","",B227)</f>
        <v/>
      </c>
      <c r="C235" s="42"/>
      <c r="D235" s="43" t="str">
        <f>IF(COUNTA(C235,E235,H235,I235:O235)=0,"",IF(D227="","",D227))</f>
        <v/>
      </c>
      <c r="E235" s="44"/>
      <c r="F235" s="139" t="str">
        <f t="shared" si="163"/>
        <v/>
      </c>
      <c r="G235" s="136" t="str">
        <f t="shared" si="164"/>
        <v/>
      </c>
      <c r="H235" s="127"/>
      <c r="I235" s="148"/>
      <c r="J235" s="148"/>
      <c r="K235" s="148"/>
      <c r="L235" s="148"/>
      <c r="M235" s="148"/>
      <c r="N235" s="148"/>
      <c r="O235" s="148"/>
      <c r="P235" s="144">
        <f t="shared" si="165"/>
        <v>0</v>
      </c>
      <c r="Q235" s="144" cm="1">
        <f t="array" ref="Q235">IF(OR(A235="",E235="",F235=""),0,SUMPRODUCT((tlNo=A235)*(Timeline!$H$18:$BG$18+6&gt;=E235)*(Timeline!$H$18:$BG$18&lt;=F235)*Timeline!$H$20:$BG$378))</f>
        <v>0</v>
      </c>
      <c r="R235" s="144">
        <f t="shared" si="139"/>
        <v>0</v>
      </c>
      <c r="S235" s="144">
        <f>SUMIF($I$3:$O$3,Assumptions!$A$15,$I235:$O235)*N($G235)</f>
        <v>0</v>
      </c>
      <c r="T235" s="144">
        <f>SUMIF($I$3:$O$3,Assumptions!$A$16,$I235:$O235)*N($G235)</f>
        <v>0</v>
      </c>
      <c r="U235" s="144">
        <f>SUMIF($I$3:$O$3,Assumptions!$A$17,$I235:$O235)*N($G235)</f>
        <v>0</v>
      </c>
      <c r="V235" s="144">
        <f>SUMIF($I$3:$O$3,Assumptions!$A$18,$I235:$O235)*N($G235)</f>
        <v>0</v>
      </c>
      <c r="W235" s="144">
        <f>SUMIF($I$3:$O$3,Assumptions!$A$19,$I235:$O235)*N($G235)</f>
        <v>0</v>
      </c>
      <c r="X235" s="145">
        <f>S235*Assumptions!$B$15+T235*Assumptions!$B$16+U235*Assumptions!$B$17+V235*Assumptions!$B$18+W235*Assumptions!$B$19</f>
        <v>0</v>
      </c>
      <c r="Y235" s="145" t="str">
        <f t="shared" si="166"/>
        <v/>
      </c>
      <c r="Z235" s="146" t="str">
        <f t="shared" si="167"/>
        <v/>
      </c>
      <c r="AA235" s="146">
        <f>IF(D235="Active",1,IF(D235="Prospective",IF(Assumptions!$B$6="Active only",0,Assumptions!$B$7),0))</f>
        <v>0</v>
      </c>
      <c r="AB235" s="147" t="str">
        <f t="shared" si="168"/>
        <v/>
      </c>
      <c r="AC235" s="152" t="s">
        <v>103</v>
      </c>
      <c r="AD235" s="156">
        <f t="shared" si="140"/>
        <v>0</v>
      </c>
    </row>
    <row r="236" spans="1:30" x14ac:dyDescent="0.25">
      <c r="V236">
        <f>SUMIF($I$3:$O$3,Assumptions!$A$18,$I236:$O236)*N($G236)</f>
        <v>0</v>
      </c>
      <c r="X236">
        <f>S236*Assumptions!$B$15+T236*Assumptions!$B$16+U236*Assumptions!$B$17+V236*Assumptions!$B$18+W236*Assumptions!$B$19</f>
        <v>0</v>
      </c>
    </row>
    <row r="237" spans="1:30" x14ac:dyDescent="0.25">
      <c r="V237">
        <f>SUMIF($I$3:$O$3,Assumptions!$A$18,$I237:$O237)*N($G237)</f>
        <v>0</v>
      </c>
      <c r="X237">
        <f>S237*Assumptions!$B$15+T237*Assumptions!$B$16+U237*Assumptions!$B$17+V237*Assumptions!$B$18+W237*Assumptions!$B$19</f>
        <v>0</v>
      </c>
    </row>
    <row r="238" spans="1:30" x14ac:dyDescent="0.25">
      <c r="V238">
        <f>SUMIF($I$3:$O$3,Assumptions!$A$18,$I238:$O238)*N($G238)</f>
        <v>0</v>
      </c>
      <c r="X238">
        <f>S238*Assumptions!$B$15+T238*Assumptions!$B$16+U238*Assumptions!$B$17+V238*Assumptions!$B$18+W238*Assumptions!$B$19</f>
        <v>0</v>
      </c>
    </row>
    <row r="239" spans="1:30" x14ac:dyDescent="0.25">
      <c r="V239">
        <f>SUMIF($I$3:$O$3,Assumptions!$A$18,$I239:$O239)*N($G239)</f>
        <v>0</v>
      </c>
      <c r="X239">
        <f>S239*Assumptions!$B$15+T239*Assumptions!$B$16+U239*Assumptions!$B$17+V239*Assumptions!$B$18+W239*Assumptions!$B$19</f>
        <v>0</v>
      </c>
    </row>
    <row r="240" spans="1:30" x14ac:dyDescent="0.25">
      <c r="V240">
        <f>SUMIF($I$3:$O$3,Assumptions!$A$18,$I240:$O240)*N($G240)</f>
        <v>0</v>
      </c>
      <c r="X240">
        <f>S240*Assumptions!$B$15+T240*Assumptions!$B$16+U240*Assumptions!$B$17+V240*Assumptions!$B$18+W240*Assumptions!$B$19</f>
        <v>0</v>
      </c>
    </row>
    <row r="241" spans="22:24" x14ac:dyDescent="0.25">
      <c r="V241">
        <f>SUMIF($I$3:$O$3,Assumptions!$A$18,$I241:$O241)*N($G241)</f>
        <v>0</v>
      </c>
      <c r="X241">
        <f>S241*Assumptions!$B$15+T241*Assumptions!$B$16+U241*Assumptions!$B$17+V241*Assumptions!$B$18+W241*Assumptions!$B$19</f>
        <v>0</v>
      </c>
    </row>
    <row r="242" spans="22:24" x14ac:dyDescent="0.25">
      <c r="V242">
        <f>SUMIF($I$3:$O$3,Assumptions!$A$18,$I242:$O242)*N($G242)</f>
        <v>0</v>
      </c>
      <c r="X242">
        <f>S242*Assumptions!$B$15+T242*Assumptions!$B$16+U242*Assumptions!$B$17+V242*Assumptions!$B$18+W242*Assumptions!$B$19</f>
        <v>0</v>
      </c>
    </row>
    <row r="243" spans="22:24" x14ac:dyDescent="0.25">
      <c r="V243">
        <f>SUMIF($I$3:$O$3,Assumptions!$A$18,$I243:$O243)*N($G243)</f>
        <v>0</v>
      </c>
      <c r="X243">
        <f>S243*Assumptions!$B$15+T243*Assumptions!$B$16+U243*Assumptions!$B$17+V243*Assumptions!$B$18+W243*Assumptions!$B$19</f>
        <v>0</v>
      </c>
    </row>
    <row r="244" spans="22:24" x14ac:dyDescent="0.25">
      <c r="V244">
        <f>SUMIF($I$3:$O$3,Assumptions!$A$18,$I244:$O244)*N($G244)</f>
        <v>0</v>
      </c>
      <c r="X244">
        <f>S244*Assumptions!$B$15+T244*Assumptions!$B$16+U244*Assumptions!$B$17+V244*Assumptions!$B$18+W244*Assumptions!$B$19</f>
        <v>0</v>
      </c>
    </row>
    <row r="245" spans="22:24" x14ac:dyDescent="0.25">
      <c r="V245">
        <f>SUMIF($I$3:$O$3,Assumptions!$A$18,$I245:$O245)*N($G245)</f>
        <v>0</v>
      </c>
      <c r="X245">
        <f>S245*Assumptions!$B$15+T245*Assumptions!$B$16+U245*Assumptions!$B$17+V245*Assumptions!$B$18+W245*Assumptions!$B$19</f>
        <v>0</v>
      </c>
    </row>
    <row r="246" spans="22:24" x14ac:dyDescent="0.25">
      <c r="V246">
        <f>SUMIF($I$3:$O$3,Assumptions!$A$18,$I246:$O246)*N($G246)</f>
        <v>0</v>
      </c>
      <c r="X246">
        <f>S246*Assumptions!$B$15+T246*Assumptions!$B$16+U246*Assumptions!$B$17+V246*Assumptions!$B$18+W246*Assumptions!$B$19</f>
        <v>0</v>
      </c>
    </row>
    <row r="247" spans="22:24" x14ac:dyDescent="0.25">
      <c r="V247">
        <f>SUMIF($I$3:$O$3,Assumptions!$A$18,$I247:$O247)*N($G247)</f>
        <v>0</v>
      </c>
      <c r="X247">
        <f>S247*Assumptions!$B$15+T247*Assumptions!$B$16+U247*Assumptions!$B$17+V247*Assumptions!$B$18+W247*Assumptions!$B$19</f>
        <v>0</v>
      </c>
    </row>
    <row r="248" spans="22:24" x14ac:dyDescent="0.25">
      <c r="V248">
        <f>SUMIF($I$3:$O$3,Assumptions!$A$18,$I248:$O248)*N($G248)</f>
        <v>0</v>
      </c>
      <c r="X248">
        <f>S248*Assumptions!$B$15+T248*Assumptions!$B$16+U248*Assumptions!$B$17+V248*Assumptions!$B$18+W248*Assumptions!$B$19</f>
        <v>0</v>
      </c>
    </row>
  </sheetData>
  <conditionalFormatting sqref="R5:R235">
    <cfRule type="expression" dxfId="52" priority="3">
      <formula>AND($AC5="Phase",$P5&gt;0,$R5&lt;0)</formula>
    </cfRule>
    <cfRule type="expression" dxfId="51" priority="4">
      <formula>AND($AC5="Phase",$P5&gt;0,$R5=0)</formula>
    </cfRule>
    <cfRule type="expression" dxfId="50" priority="5">
      <formula>AND($AC5="Phase",$P5&gt;0,$R5&gt;0)</formula>
    </cfRule>
  </conditionalFormatting>
  <conditionalFormatting sqref="Y5:Z235">
    <cfRule type="expression" dxfId="49" priority="6">
      <formula>AND(ISNUMBER($Y5),$H5&gt;0,$X5&gt;0,$Y5&gt;=0)</formula>
    </cfRule>
    <cfRule type="expression" dxfId="48" priority="7">
      <formula>AND(ISNUMBER($Y5),$H5&gt;0,$X5&gt;0,$Y5&lt;0)</formula>
    </cfRule>
  </conditionalFormatting>
  <conditionalFormatting sqref="AB5:AB235">
    <cfRule type="expression" dxfId="47" priority="1">
      <formula>OR($AB5="OK",$AB5="All OK")</formula>
    </cfRule>
    <cfRule type="expression" dxfId="46" priority="2">
      <formula>AND($AB5&lt;&gt;"",$AB5&lt;&gt;"OK",$AB5&lt;&gt;"All OK",$AB5&lt;&gt;"No phases yet")</formula>
    </cfRule>
  </conditionalFormatting>
  <dataValidations count="6">
    <dataValidation type="date" operator="greaterThan" allowBlank="1" showInputMessage="1" showErrorMessage="1" sqref="E1186:F1188" xr:uid="{55636E85-5F08-42E9-997B-816D57EE5A0A}">
      <formula1>43831</formula1>
    </dataValidation>
    <dataValidation type="decimal" operator="greaterThanOrEqual" allowBlank="1" showInputMessage="1" showErrorMessage="1" sqref="H5:H1188" xr:uid="{5FB60DB5-E212-4050-B0D0-5175FAD62311}">
      <formula1>0</formula1>
    </dataValidation>
    <dataValidation type="list" errorStyle="warning" allowBlank="1" showInputMessage="1" showErrorMessage="1" errorTitle="Phase not in list" error="This phase isn't on the list. Click Yes to keep it, or add it to the Phase list on the Assumptions sheet (column H) so it appears in the dropdown." promptTitle="Phase / Milestone" prompt="Pick from the list. Need a new one? Add it to the Phase list on Assumptions (H6 down)." sqref="C5:C1188" xr:uid="{67BC87CB-E125-4373-8837-3E9B98688CB4}">
      <formula1>PhaseList</formula1>
    </dataValidation>
    <dataValidation type="date" operator="greaterThan" allowBlank="1" showInputMessage="1" showErrorMessage="1" errorTitle="Invalid date" error="Enter a valid date after 1/1/2020, e.g. 11/2/26." promptTitle="Date" prompt="Type a date (e.g. 11/2/26). Ctrl+; enters today. Use a Monday start and a Sunday end." sqref="E5:F1185" xr:uid="{6FF7A2B9-EFDF-465D-BF14-FEEDBC10E302}">
      <formula1>43831</formula1>
    </dataValidation>
    <dataValidation type="whole" allowBlank="1" showInputMessage="1" showErrorMessage="1" errorTitle="Weeks" error="Enter a whole number of weeks (1-260)." promptTitle="Weeks" prompt="Type the number of weeks and the End Date calculates. If you type an End Date instead, Weeks calculates. (Typing over this cell replaces its formula.)" sqref="G5:G1188" xr:uid="{3B9AC924-235E-44FB-AA1B-685480B294DA}">
      <formula1>1</formula1>
      <formula2>260</formula2>
    </dataValidation>
    <dataValidation type="decimal" allowBlank="1" showInputMessage="1" showErrorMessage="1" errorTitle="Hours per week" error="Enter hours per week (0-80)." promptTitle="Hours per week" prompt="Average hours PER WEEK for this person on this phase. Pool = hours/week × Weeks. Map the pool to actual weeks on the Timeline tab." sqref="I5:O1201" xr:uid="{108BC0BE-E4A0-4DE8-A0D7-FCC3556F7F71}">
      <formula1>0</formula1>
      <formula2>80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F8B622E-DB8E-45FB-ACF1-FA60AA8CF00E}">
          <x14:formula1>
            <xm:f>Assumptions!$A$25:$A$27</xm:f>
          </x14:formula1>
          <xm:sqref>D5:D1202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0AF4-2BD1-4BCC-B95F-BE844D1FA182}">
  <dimension ref="A1:BP379"/>
  <sheetViews>
    <sheetView showGridLines="0" tabSelected="1" workbookViewId="0">
      <pane xSplit="7" ySplit="16" topLeftCell="H37" activePane="bottomRight" state="frozen"/>
      <selection pane="topRight" activeCell="H1" sqref="H1"/>
      <selection pane="bottomLeft" activeCell="A17" sqref="A17"/>
      <selection pane="bottomRight" activeCell="K147" sqref="K147"/>
    </sheetView>
  </sheetViews>
  <sheetFormatPr defaultRowHeight="15" outlineLevelRow="1" x14ac:dyDescent="0.25"/>
  <cols>
    <col min="1" max="1" width="13.28515625" customWidth="1"/>
    <col min="2" max="2" width="36.140625" customWidth="1"/>
    <col min="3" max="3" width="13.28515625" customWidth="1"/>
    <col min="4" max="4" width="9.5703125" customWidth="1"/>
    <col min="5" max="7" width="11.85546875" customWidth="1"/>
    <col min="8" max="12" width="6.42578125" customWidth="1"/>
    <col min="13" max="13" width="8.7109375" bestFit="1" customWidth="1"/>
    <col min="14" max="15" width="9.5703125" bestFit="1" customWidth="1"/>
    <col min="16" max="59" width="6.42578125" customWidth="1"/>
    <col min="60" max="60" width="2.7109375" customWidth="1"/>
    <col min="61" max="66" width="10.42578125" customWidth="1"/>
    <col min="67" max="67" width="38.140625" customWidth="1"/>
    <col min="68" max="68" width="22.85546875" customWidth="1"/>
  </cols>
  <sheetData>
    <row r="1" spans="1:59" ht="18.75" x14ac:dyDescent="0.3">
      <c r="A1" s="1" t="s">
        <v>189</v>
      </c>
    </row>
    <row r="2" spans="1:59" x14ac:dyDescent="0.25">
      <c r="A2" s="2" t="str">
        <f>"Scenario: "&amp;Assumptions!B6&amp;"  |  Rows appear automatically for each staff member with hours on Projects. Type hours into the weeks they work; Placed turns red if it exceeds the Pool."</f>
        <v>Scenario: Active + Prospective  |  Rows appear automatically for each staff member with hours on Projects. Type hours into the weeks they work; Placed turns red if it exceeds the Pool.</v>
      </c>
    </row>
    <row r="3" spans="1:59" x14ac:dyDescent="0.25">
      <c r="A3" s="34"/>
      <c r="B3" s="32"/>
      <c r="C3" s="32"/>
      <c r="D3" s="32"/>
      <c r="E3" s="32"/>
      <c r="F3" s="32"/>
      <c r="G3" s="32"/>
      <c r="H3" s="34" t="str">
        <f>TEXT(H5,"mmm yy")</f>
        <v>Oct 26</v>
      </c>
      <c r="I3" s="34" t="str">
        <f t="shared" ref="I3:AN3" si="0">IF(MONTH(I5)&lt;&gt;MONTH(H5),TEXT(I5,"mmm yy"),"")</f>
        <v/>
      </c>
      <c r="J3" s="34" t="str">
        <f t="shared" si="0"/>
        <v/>
      </c>
      <c r="K3" s="34" t="str">
        <f t="shared" si="0"/>
        <v/>
      </c>
      <c r="L3" s="34" t="str">
        <f t="shared" si="0"/>
        <v>Nov 26</v>
      </c>
      <c r="M3" s="34" t="str">
        <f t="shared" si="0"/>
        <v/>
      </c>
      <c r="N3" s="34" t="str">
        <f t="shared" si="0"/>
        <v/>
      </c>
      <c r="O3" s="34" t="str">
        <f t="shared" si="0"/>
        <v/>
      </c>
      <c r="P3" s="34" t="str">
        <f t="shared" si="0"/>
        <v/>
      </c>
      <c r="Q3" s="34" t="str">
        <f t="shared" si="0"/>
        <v>Dec 26</v>
      </c>
      <c r="R3" s="34" t="str">
        <f t="shared" si="0"/>
        <v/>
      </c>
      <c r="S3" s="34" t="str">
        <f t="shared" si="0"/>
        <v/>
      </c>
      <c r="T3" s="34" t="str">
        <f t="shared" si="0"/>
        <v/>
      </c>
      <c r="U3" s="34" t="str">
        <f t="shared" si="0"/>
        <v>Jan 27</v>
      </c>
      <c r="V3" s="34" t="str">
        <f t="shared" si="0"/>
        <v/>
      </c>
      <c r="W3" s="34" t="str">
        <f t="shared" si="0"/>
        <v/>
      </c>
      <c r="X3" s="34" t="str">
        <f t="shared" si="0"/>
        <v/>
      </c>
      <c r="Y3" s="34" t="str">
        <f t="shared" si="0"/>
        <v>Feb 27</v>
      </c>
      <c r="Z3" s="34" t="str">
        <f t="shared" si="0"/>
        <v/>
      </c>
      <c r="AA3" s="34" t="str">
        <f t="shared" si="0"/>
        <v/>
      </c>
      <c r="AB3" s="34" t="str">
        <f t="shared" si="0"/>
        <v/>
      </c>
      <c r="AC3" s="34" t="str">
        <f t="shared" si="0"/>
        <v>Mar 27</v>
      </c>
      <c r="AD3" s="34" t="str">
        <f t="shared" si="0"/>
        <v/>
      </c>
      <c r="AE3" s="34" t="str">
        <f t="shared" si="0"/>
        <v/>
      </c>
      <c r="AF3" s="34" t="str">
        <f t="shared" si="0"/>
        <v/>
      </c>
      <c r="AG3" s="34" t="str">
        <f t="shared" si="0"/>
        <v/>
      </c>
      <c r="AH3" s="34" t="str">
        <f t="shared" si="0"/>
        <v>Apr 27</v>
      </c>
      <c r="AI3" s="34" t="str">
        <f t="shared" si="0"/>
        <v/>
      </c>
      <c r="AJ3" s="34" t="str">
        <f t="shared" si="0"/>
        <v/>
      </c>
      <c r="AK3" s="34" t="str">
        <f t="shared" si="0"/>
        <v/>
      </c>
      <c r="AL3" s="34" t="str">
        <f t="shared" si="0"/>
        <v>May 27</v>
      </c>
      <c r="AM3" s="34" t="str">
        <f t="shared" si="0"/>
        <v/>
      </c>
      <c r="AN3" s="34" t="str">
        <f t="shared" si="0"/>
        <v/>
      </c>
      <c r="AO3" s="34" t="str">
        <f t="shared" ref="AO3:BG3" si="1">IF(MONTH(AO5)&lt;&gt;MONTH(AN5),TEXT(AO5,"mmm yy"),"")</f>
        <v/>
      </c>
      <c r="AP3" s="34" t="str">
        <f t="shared" si="1"/>
        <v/>
      </c>
      <c r="AQ3" s="34" t="str">
        <f t="shared" si="1"/>
        <v>Jun 27</v>
      </c>
      <c r="AR3" s="34" t="str">
        <f t="shared" si="1"/>
        <v/>
      </c>
      <c r="AS3" s="34" t="str">
        <f t="shared" si="1"/>
        <v/>
      </c>
      <c r="AT3" s="34" t="str">
        <f t="shared" si="1"/>
        <v/>
      </c>
      <c r="AU3" s="34" t="str">
        <f t="shared" si="1"/>
        <v>Jul 27</v>
      </c>
      <c r="AV3" s="34" t="str">
        <f t="shared" si="1"/>
        <v/>
      </c>
      <c r="AW3" s="34" t="str">
        <f t="shared" si="1"/>
        <v/>
      </c>
      <c r="AX3" s="34" t="str">
        <f t="shared" si="1"/>
        <v/>
      </c>
      <c r="AY3" s="34" t="str">
        <f t="shared" si="1"/>
        <v>Aug 27</v>
      </c>
      <c r="AZ3" s="34" t="str">
        <f t="shared" si="1"/>
        <v/>
      </c>
      <c r="BA3" s="34" t="str">
        <f t="shared" si="1"/>
        <v/>
      </c>
      <c r="BB3" s="34" t="str">
        <f t="shared" si="1"/>
        <v/>
      </c>
      <c r="BC3" s="34" t="str">
        <f t="shared" si="1"/>
        <v/>
      </c>
      <c r="BD3" s="34" t="str">
        <f t="shared" si="1"/>
        <v>Sep 27</v>
      </c>
      <c r="BE3" s="34" t="str">
        <f t="shared" si="1"/>
        <v/>
      </c>
      <c r="BF3" s="34" t="str">
        <f t="shared" si="1"/>
        <v/>
      </c>
      <c r="BG3" s="34" t="str">
        <f t="shared" si="1"/>
        <v/>
      </c>
    </row>
    <row r="4" spans="1:59" x14ac:dyDescent="0.25">
      <c r="A4" s="34" t="s">
        <v>47</v>
      </c>
      <c r="B4" s="32"/>
      <c r="C4" s="32"/>
      <c r="D4" s="32"/>
      <c r="E4" s="32"/>
      <c r="F4" s="32"/>
      <c r="G4" s="32"/>
      <c r="H4" s="32">
        <f>Forecast!D4</f>
        <v>1</v>
      </c>
      <c r="I4" s="32">
        <f>Forecast!E4</f>
        <v>2</v>
      </c>
      <c r="J4" s="32">
        <f>Forecast!F4</f>
        <v>3</v>
      </c>
      <c r="K4" s="32">
        <f>Forecast!G4</f>
        <v>4</v>
      </c>
      <c r="L4" s="32">
        <f>Forecast!H4</f>
        <v>5</v>
      </c>
      <c r="M4" s="32">
        <f>Forecast!I4</f>
        <v>6</v>
      </c>
      <c r="N4" s="32">
        <f>Forecast!J4</f>
        <v>7</v>
      </c>
      <c r="O4" s="32">
        <f>Forecast!K4</f>
        <v>8</v>
      </c>
      <c r="P4" s="32">
        <f>Forecast!L4</f>
        <v>9</v>
      </c>
      <c r="Q4" s="32">
        <f>Forecast!M4</f>
        <v>10</v>
      </c>
      <c r="R4" s="32">
        <f>Forecast!N4</f>
        <v>11</v>
      </c>
      <c r="S4" s="32">
        <f>Forecast!O4</f>
        <v>12</v>
      </c>
      <c r="T4" s="32">
        <f>Forecast!P4</f>
        <v>13</v>
      </c>
      <c r="U4" s="32">
        <f>Forecast!Q4</f>
        <v>14</v>
      </c>
      <c r="V4" s="32">
        <f>Forecast!R4</f>
        <v>15</v>
      </c>
      <c r="W4" s="32">
        <f>Forecast!S4</f>
        <v>16</v>
      </c>
      <c r="X4" s="32">
        <f>Forecast!T4</f>
        <v>17</v>
      </c>
      <c r="Y4" s="32">
        <f>Forecast!U4</f>
        <v>18</v>
      </c>
      <c r="Z4" s="32">
        <f>Forecast!V4</f>
        <v>19</v>
      </c>
      <c r="AA4" s="32">
        <f>Forecast!W4</f>
        <v>20</v>
      </c>
      <c r="AB4" s="32">
        <f>Forecast!X4</f>
        <v>21</v>
      </c>
      <c r="AC4" s="32">
        <f>Forecast!Y4</f>
        <v>22</v>
      </c>
      <c r="AD4" s="32">
        <f>Forecast!Z4</f>
        <v>23</v>
      </c>
      <c r="AE4" s="32">
        <f>Forecast!AA4</f>
        <v>24</v>
      </c>
      <c r="AF4" s="32">
        <f>Forecast!AB4</f>
        <v>25</v>
      </c>
      <c r="AG4" s="32">
        <f>Forecast!AC4</f>
        <v>26</v>
      </c>
      <c r="AH4" s="32">
        <f>Forecast!AD4</f>
        <v>27</v>
      </c>
      <c r="AI4" s="32">
        <f>Forecast!AE4</f>
        <v>28</v>
      </c>
      <c r="AJ4" s="32">
        <f>Forecast!AF4</f>
        <v>29</v>
      </c>
      <c r="AK4" s="32">
        <f>Forecast!AG4</f>
        <v>30</v>
      </c>
      <c r="AL4" s="32">
        <f>Forecast!AH4</f>
        <v>31</v>
      </c>
      <c r="AM4" s="32">
        <f>Forecast!AI4</f>
        <v>32</v>
      </c>
      <c r="AN4" s="32">
        <f>Forecast!AJ4</f>
        <v>33</v>
      </c>
      <c r="AO4" s="32">
        <f>Forecast!AK4</f>
        <v>34</v>
      </c>
      <c r="AP4" s="32">
        <f>Forecast!AL4</f>
        <v>35</v>
      </c>
      <c r="AQ4" s="32">
        <f>Forecast!AM4</f>
        <v>36</v>
      </c>
      <c r="AR4" s="32">
        <f>Forecast!AN4</f>
        <v>37</v>
      </c>
      <c r="AS4" s="32">
        <f>Forecast!AO4</f>
        <v>38</v>
      </c>
      <c r="AT4" s="32">
        <f>Forecast!AP4</f>
        <v>39</v>
      </c>
      <c r="AU4" s="32">
        <f>Forecast!AQ4</f>
        <v>40</v>
      </c>
      <c r="AV4" s="32">
        <f>Forecast!AR4</f>
        <v>41</v>
      </c>
      <c r="AW4" s="32">
        <f>Forecast!AS4</f>
        <v>42</v>
      </c>
      <c r="AX4" s="32">
        <f>Forecast!AT4</f>
        <v>43</v>
      </c>
      <c r="AY4" s="32">
        <f>Forecast!AU4</f>
        <v>44</v>
      </c>
      <c r="AZ4" s="32">
        <f>Forecast!AV4</f>
        <v>45</v>
      </c>
      <c r="BA4" s="32">
        <f>Forecast!AW4</f>
        <v>46</v>
      </c>
      <c r="BB4" s="32">
        <f>Forecast!AX4</f>
        <v>47</v>
      </c>
      <c r="BC4" s="32">
        <f>Forecast!AY4</f>
        <v>48</v>
      </c>
      <c r="BD4" s="32">
        <f>Forecast!AZ4</f>
        <v>49</v>
      </c>
      <c r="BE4" s="32">
        <f>Forecast!BA4</f>
        <v>50</v>
      </c>
      <c r="BF4" s="32">
        <f>Forecast!BB4</f>
        <v>51</v>
      </c>
      <c r="BG4" s="32">
        <f>Forecast!BC4</f>
        <v>52</v>
      </c>
    </row>
    <row r="5" spans="1:59" x14ac:dyDescent="0.25">
      <c r="A5" s="34" t="s">
        <v>48</v>
      </c>
      <c r="B5" s="32"/>
      <c r="C5" s="32"/>
      <c r="D5" s="32"/>
      <c r="E5" s="32"/>
      <c r="F5" s="32"/>
      <c r="G5" s="32"/>
      <c r="H5" s="33">
        <f>Forecast!D5</f>
        <v>46300</v>
      </c>
      <c r="I5" s="33">
        <f>Forecast!E5</f>
        <v>46307</v>
      </c>
      <c r="J5" s="33">
        <f>Forecast!F5</f>
        <v>46314</v>
      </c>
      <c r="K5" s="33">
        <f>Forecast!G5</f>
        <v>46321</v>
      </c>
      <c r="L5" s="33">
        <f>Forecast!H5</f>
        <v>46328</v>
      </c>
      <c r="M5" s="33">
        <f>Forecast!I5</f>
        <v>46335</v>
      </c>
      <c r="N5" s="33">
        <f>Forecast!J5</f>
        <v>46342</v>
      </c>
      <c r="O5" s="33">
        <f>Forecast!K5</f>
        <v>46349</v>
      </c>
      <c r="P5" s="33">
        <f>Forecast!L5</f>
        <v>46356</v>
      </c>
      <c r="Q5" s="33">
        <f>Forecast!M5</f>
        <v>46363</v>
      </c>
      <c r="R5" s="33">
        <f>Forecast!N5</f>
        <v>46370</v>
      </c>
      <c r="S5" s="33">
        <f>Forecast!O5</f>
        <v>46377</v>
      </c>
      <c r="T5" s="33">
        <f>Forecast!P5</f>
        <v>46384</v>
      </c>
      <c r="U5" s="33">
        <f>Forecast!Q5</f>
        <v>46391</v>
      </c>
      <c r="V5" s="33">
        <f>Forecast!R5</f>
        <v>46398</v>
      </c>
      <c r="W5" s="33">
        <f>Forecast!S5</f>
        <v>46405</v>
      </c>
      <c r="X5" s="33">
        <f>Forecast!T5</f>
        <v>46412</v>
      </c>
      <c r="Y5" s="33">
        <f>Forecast!U5</f>
        <v>46419</v>
      </c>
      <c r="Z5" s="33">
        <f>Forecast!V5</f>
        <v>46426</v>
      </c>
      <c r="AA5" s="33">
        <f>Forecast!W5</f>
        <v>46433</v>
      </c>
      <c r="AB5" s="33">
        <f>Forecast!X5</f>
        <v>46440</v>
      </c>
      <c r="AC5" s="33">
        <f>Forecast!Y5</f>
        <v>46447</v>
      </c>
      <c r="AD5" s="33">
        <f>Forecast!Z5</f>
        <v>46454</v>
      </c>
      <c r="AE5" s="33">
        <f>Forecast!AA5</f>
        <v>46461</v>
      </c>
      <c r="AF5" s="33">
        <f>Forecast!AB5</f>
        <v>46468</v>
      </c>
      <c r="AG5" s="33">
        <f>Forecast!AC5</f>
        <v>46475</v>
      </c>
      <c r="AH5" s="33">
        <f>Forecast!AD5</f>
        <v>46482</v>
      </c>
      <c r="AI5" s="33">
        <f>Forecast!AE5</f>
        <v>46489</v>
      </c>
      <c r="AJ5" s="33">
        <f>Forecast!AF5</f>
        <v>46496</v>
      </c>
      <c r="AK5" s="33">
        <f>Forecast!AG5</f>
        <v>46503</v>
      </c>
      <c r="AL5" s="33">
        <f>Forecast!AH5</f>
        <v>46510</v>
      </c>
      <c r="AM5" s="33">
        <f>Forecast!AI5</f>
        <v>46517</v>
      </c>
      <c r="AN5" s="33">
        <f>Forecast!AJ5</f>
        <v>46524</v>
      </c>
      <c r="AO5" s="33">
        <f>Forecast!AK5</f>
        <v>46531</v>
      </c>
      <c r="AP5" s="33">
        <f>Forecast!AL5</f>
        <v>46538</v>
      </c>
      <c r="AQ5" s="33">
        <f>Forecast!AM5</f>
        <v>46545</v>
      </c>
      <c r="AR5" s="33">
        <f>Forecast!AN5</f>
        <v>46552</v>
      </c>
      <c r="AS5" s="33">
        <f>Forecast!AO5</f>
        <v>46559</v>
      </c>
      <c r="AT5" s="33">
        <f>Forecast!AP5</f>
        <v>46566</v>
      </c>
      <c r="AU5" s="33">
        <f>Forecast!AQ5</f>
        <v>46573</v>
      </c>
      <c r="AV5" s="33">
        <f>Forecast!AR5</f>
        <v>46580</v>
      </c>
      <c r="AW5" s="33">
        <f>Forecast!AS5</f>
        <v>46587</v>
      </c>
      <c r="AX5" s="33">
        <f>Forecast!AT5</f>
        <v>46594</v>
      </c>
      <c r="AY5" s="33">
        <f>Forecast!AU5</f>
        <v>46601</v>
      </c>
      <c r="AZ5" s="33">
        <f>Forecast!AV5</f>
        <v>46608</v>
      </c>
      <c r="BA5" s="33">
        <f>Forecast!AW5</f>
        <v>46615</v>
      </c>
      <c r="BB5" s="33">
        <f>Forecast!AX5</f>
        <v>46622</v>
      </c>
      <c r="BC5" s="33">
        <f>Forecast!AY5</f>
        <v>46629</v>
      </c>
      <c r="BD5" s="33">
        <f>Forecast!AZ5</f>
        <v>46636</v>
      </c>
      <c r="BE5" s="33">
        <f>Forecast!BA5</f>
        <v>46643</v>
      </c>
      <c r="BF5" s="33">
        <f>Forecast!BB5</f>
        <v>46650</v>
      </c>
      <c r="BG5" s="33">
        <f>Forecast!BC5</f>
        <v>46657</v>
      </c>
    </row>
    <row r="6" spans="1:59" x14ac:dyDescent="0.25">
      <c r="A6" s="34" t="s">
        <v>117</v>
      </c>
      <c r="B6" s="32"/>
      <c r="C6" s="32"/>
      <c r="D6" s="32"/>
      <c r="E6" s="32"/>
      <c r="F6" s="32"/>
      <c r="G6" s="32"/>
      <c r="H6" s="32" t="str">
        <f>IF(H4&lt;=Assumptions!$K$5,"Near",IF(H4&lt;=Assumptions!$K$6,"Mid","Long"))</f>
        <v>Near</v>
      </c>
      <c r="I6" s="32" t="str">
        <f>IF(I4&lt;=Assumptions!$K$5,"Near",IF(I4&lt;=Assumptions!$K$6,"Mid","Long"))</f>
        <v>Near</v>
      </c>
      <c r="J6" s="32" t="str">
        <f>IF(J4&lt;=Assumptions!$K$5,"Near",IF(J4&lt;=Assumptions!$K$6,"Mid","Long"))</f>
        <v>Near</v>
      </c>
      <c r="K6" s="32" t="str">
        <f>IF(K4&lt;=Assumptions!$K$5,"Near",IF(K4&lt;=Assumptions!$K$6,"Mid","Long"))</f>
        <v>Near</v>
      </c>
      <c r="L6" s="32" t="str">
        <f>IF(L4&lt;=Assumptions!$K$5,"Near",IF(L4&lt;=Assumptions!$K$6,"Mid","Long"))</f>
        <v>Near</v>
      </c>
      <c r="M6" s="32" t="str">
        <f>IF(M4&lt;=Assumptions!$K$5,"Near",IF(M4&lt;=Assumptions!$K$6,"Mid","Long"))</f>
        <v>Near</v>
      </c>
      <c r="N6" s="32" t="str">
        <f>IF(N4&lt;=Assumptions!$K$5,"Near",IF(N4&lt;=Assumptions!$K$6,"Mid","Long"))</f>
        <v>Near</v>
      </c>
      <c r="O6" s="32" t="str">
        <f>IF(O4&lt;=Assumptions!$K$5,"Near",IF(O4&lt;=Assumptions!$K$6,"Mid","Long"))</f>
        <v>Near</v>
      </c>
      <c r="P6" s="32" t="str">
        <f>IF(P4&lt;=Assumptions!$K$5,"Near",IF(P4&lt;=Assumptions!$K$6,"Mid","Long"))</f>
        <v>Near</v>
      </c>
      <c r="Q6" s="32" t="str">
        <f>IF(Q4&lt;=Assumptions!$K$5,"Near",IF(Q4&lt;=Assumptions!$K$6,"Mid","Long"))</f>
        <v>Near</v>
      </c>
      <c r="R6" s="32" t="str">
        <f>IF(R4&lt;=Assumptions!$K$5,"Near",IF(R4&lt;=Assumptions!$K$6,"Mid","Long"))</f>
        <v>Near</v>
      </c>
      <c r="S6" s="32" t="str">
        <f>IF(S4&lt;=Assumptions!$K$5,"Near",IF(S4&lt;=Assumptions!$K$6,"Mid","Long"))</f>
        <v>Near</v>
      </c>
      <c r="T6" s="32" t="str">
        <f>IF(T4&lt;=Assumptions!$K$5,"Near",IF(T4&lt;=Assumptions!$K$6,"Mid","Long"))</f>
        <v>Mid</v>
      </c>
      <c r="U6" s="32" t="str">
        <f>IF(U4&lt;=Assumptions!$K$5,"Near",IF(U4&lt;=Assumptions!$K$6,"Mid","Long"))</f>
        <v>Mid</v>
      </c>
      <c r="V6" s="32" t="str">
        <f>IF(V4&lt;=Assumptions!$K$5,"Near",IF(V4&lt;=Assumptions!$K$6,"Mid","Long"))</f>
        <v>Mid</v>
      </c>
      <c r="W6" s="32" t="str">
        <f>IF(W4&lt;=Assumptions!$K$5,"Near",IF(W4&lt;=Assumptions!$K$6,"Mid","Long"))</f>
        <v>Mid</v>
      </c>
      <c r="X6" s="32" t="str">
        <f>IF(X4&lt;=Assumptions!$K$5,"Near",IF(X4&lt;=Assumptions!$K$6,"Mid","Long"))</f>
        <v>Mid</v>
      </c>
      <c r="Y6" s="32" t="str">
        <f>IF(Y4&lt;=Assumptions!$K$5,"Near",IF(Y4&lt;=Assumptions!$K$6,"Mid","Long"))</f>
        <v>Mid</v>
      </c>
      <c r="Z6" s="32" t="str">
        <f>IF(Z4&lt;=Assumptions!$K$5,"Near",IF(Z4&lt;=Assumptions!$K$6,"Mid","Long"))</f>
        <v>Mid</v>
      </c>
      <c r="AA6" s="32" t="str">
        <f>IF(AA4&lt;=Assumptions!$K$5,"Near",IF(AA4&lt;=Assumptions!$K$6,"Mid","Long"))</f>
        <v>Mid</v>
      </c>
      <c r="AB6" s="32" t="str">
        <f>IF(AB4&lt;=Assumptions!$K$5,"Near",IF(AB4&lt;=Assumptions!$K$6,"Mid","Long"))</f>
        <v>Mid</v>
      </c>
      <c r="AC6" s="32" t="str">
        <f>IF(AC4&lt;=Assumptions!$K$5,"Near",IF(AC4&lt;=Assumptions!$K$6,"Mid","Long"))</f>
        <v>Mid</v>
      </c>
      <c r="AD6" s="32" t="str">
        <f>IF(AD4&lt;=Assumptions!$K$5,"Near",IF(AD4&lt;=Assumptions!$K$6,"Mid","Long"))</f>
        <v>Mid</v>
      </c>
      <c r="AE6" s="32" t="str">
        <f>IF(AE4&lt;=Assumptions!$K$5,"Near",IF(AE4&lt;=Assumptions!$K$6,"Mid","Long"))</f>
        <v>Mid</v>
      </c>
      <c r="AF6" s="32" t="str">
        <f>IF(AF4&lt;=Assumptions!$K$5,"Near",IF(AF4&lt;=Assumptions!$K$6,"Mid","Long"))</f>
        <v>Long</v>
      </c>
      <c r="AG6" s="32" t="str">
        <f>IF(AG4&lt;=Assumptions!$K$5,"Near",IF(AG4&lt;=Assumptions!$K$6,"Mid","Long"))</f>
        <v>Long</v>
      </c>
      <c r="AH6" s="32" t="str">
        <f>IF(AH4&lt;=Assumptions!$K$5,"Near",IF(AH4&lt;=Assumptions!$K$6,"Mid","Long"))</f>
        <v>Long</v>
      </c>
      <c r="AI6" s="32" t="str">
        <f>IF(AI4&lt;=Assumptions!$K$5,"Near",IF(AI4&lt;=Assumptions!$K$6,"Mid","Long"))</f>
        <v>Long</v>
      </c>
      <c r="AJ6" s="32" t="str">
        <f>IF(AJ4&lt;=Assumptions!$K$5,"Near",IF(AJ4&lt;=Assumptions!$K$6,"Mid","Long"))</f>
        <v>Long</v>
      </c>
      <c r="AK6" s="32" t="str">
        <f>IF(AK4&lt;=Assumptions!$K$5,"Near",IF(AK4&lt;=Assumptions!$K$6,"Mid","Long"))</f>
        <v>Long</v>
      </c>
      <c r="AL6" s="32" t="str">
        <f>IF(AL4&lt;=Assumptions!$K$5,"Near",IF(AL4&lt;=Assumptions!$K$6,"Mid","Long"))</f>
        <v>Long</v>
      </c>
      <c r="AM6" s="32" t="str">
        <f>IF(AM4&lt;=Assumptions!$K$5,"Near",IF(AM4&lt;=Assumptions!$K$6,"Mid","Long"))</f>
        <v>Long</v>
      </c>
      <c r="AN6" s="32" t="str">
        <f>IF(AN4&lt;=Assumptions!$K$5,"Near",IF(AN4&lt;=Assumptions!$K$6,"Mid","Long"))</f>
        <v>Long</v>
      </c>
      <c r="AO6" s="32" t="str">
        <f>IF(AO4&lt;=Assumptions!$K$5,"Near",IF(AO4&lt;=Assumptions!$K$6,"Mid","Long"))</f>
        <v>Long</v>
      </c>
      <c r="AP6" s="32" t="str">
        <f>IF(AP4&lt;=Assumptions!$K$5,"Near",IF(AP4&lt;=Assumptions!$K$6,"Mid","Long"))</f>
        <v>Long</v>
      </c>
      <c r="AQ6" s="32" t="str">
        <f>IF(AQ4&lt;=Assumptions!$K$5,"Near",IF(AQ4&lt;=Assumptions!$K$6,"Mid","Long"))</f>
        <v>Long</v>
      </c>
      <c r="AR6" s="32" t="str">
        <f>IF(AR4&lt;=Assumptions!$K$5,"Near",IF(AR4&lt;=Assumptions!$K$6,"Mid","Long"))</f>
        <v>Long</v>
      </c>
      <c r="AS6" s="32" t="str">
        <f>IF(AS4&lt;=Assumptions!$K$5,"Near",IF(AS4&lt;=Assumptions!$K$6,"Mid","Long"))</f>
        <v>Long</v>
      </c>
      <c r="AT6" s="32" t="str">
        <f>IF(AT4&lt;=Assumptions!$K$5,"Near",IF(AT4&lt;=Assumptions!$K$6,"Mid","Long"))</f>
        <v>Long</v>
      </c>
      <c r="AU6" s="32" t="str">
        <f>IF(AU4&lt;=Assumptions!$K$5,"Near",IF(AU4&lt;=Assumptions!$K$6,"Mid","Long"))</f>
        <v>Long</v>
      </c>
      <c r="AV6" s="32" t="str">
        <f>IF(AV4&lt;=Assumptions!$K$5,"Near",IF(AV4&lt;=Assumptions!$K$6,"Mid","Long"))</f>
        <v>Long</v>
      </c>
      <c r="AW6" s="32" t="str">
        <f>IF(AW4&lt;=Assumptions!$K$5,"Near",IF(AW4&lt;=Assumptions!$K$6,"Mid","Long"))</f>
        <v>Long</v>
      </c>
      <c r="AX6" s="32" t="str">
        <f>IF(AX4&lt;=Assumptions!$K$5,"Near",IF(AX4&lt;=Assumptions!$K$6,"Mid","Long"))</f>
        <v>Long</v>
      </c>
      <c r="AY6" s="32" t="str">
        <f>IF(AY4&lt;=Assumptions!$K$5,"Near",IF(AY4&lt;=Assumptions!$K$6,"Mid","Long"))</f>
        <v>Long</v>
      </c>
      <c r="AZ6" s="32" t="str">
        <f>IF(AZ4&lt;=Assumptions!$K$5,"Near",IF(AZ4&lt;=Assumptions!$K$6,"Mid","Long"))</f>
        <v>Long</v>
      </c>
      <c r="BA6" s="32" t="str">
        <f>IF(BA4&lt;=Assumptions!$K$5,"Near",IF(BA4&lt;=Assumptions!$K$6,"Mid","Long"))</f>
        <v>Long</v>
      </c>
      <c r="BB6" s="32" t="str">
        <f>IF(BB4&lt;=Assumptions!$K$5,"Near",IF(BB4&lt;=Assumptions!$K$6,"Mid","Long"))</f>
        <v>Long</v>
      </c>
      <c r="BC6" s="32" t="str">
        <f>IF(BC4&lt;=Assumptions!$K$5,"Near",IF(BC4&lt;=Assumptions!$K$6,"Mid","Long"))</f>
        <v>Long</v>
      </c>
      <c r="BD6" s="32" t="str">
        <f>IF(BD4&lt;=Assumptions!$K$5,"Near",IF(BD4&lt;=Assumptions!$K$6,"Mid","Long"))</f>
        <v>Long</v>
      </c>
      <c r="BE6" s="32" t="str">
        <f>IF(BE4&lt;=Assumptions!$K$5,"Near",IF(BE4&lt;=Assumptions!$K$6,"Mid","Long"))</f>
        <v>Long</v>
      </c>
      <c r="BF6" s="32" t="str">
        <f>IF(BF4&lt;=Assumptions!$K$5,"Near",IF(BF4&lt;=Assumptions!$K$6,"Mid","Long"))</f>
        <v>Long</v>
      </c>
      <c r="BG6" s="32" t="str">
        <f>IF(BG4&lt;=Assumptions!$K$5,"Near",IF(BG4&lt;=Assumptions!$K$6,"Mid","Long"))</f>
        <v>Long</v>
      </c>
    </row>
    <row r="7" spans="1:59" x14ac:dyDescent="0.25">
      <c r="A7" s="153" t="str">
        <f>IF(COUNTIF(BP20:BP67,"&gt;0")&gt;12,"⚠ More new projects than spare Timeline blocks — ask to add more",IF(COUNTIF(BP20:BP67,"&gt;0")&gt;0,"New projects auto-listed at the bottom of the Timeline grid: "&amp;COUNTIF(BP20:BP67,"&gt;0"),""))</f>
        <v/>
      </c>
    </row>
    <row r="8" spans="1:59" hidden="1" outlineLevel="1" x14ac:dyDescent="0.25">
      <c r="A8" s="24" t="s">
        <v>118</v>
      </c>
      <c r="B8" s="24"/>
      <c r="C8" s="24"/>
      <c r="D8" s="24"/>
      <c r="E8" s="24"/>
      <c r="F8" s="24"/>
      <c r="G8" s="35" t="s">
        <v>119</v>
      </c>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row>
    <row r="9" spans="1:59" hidden="1" outlineLevel="1" x14ac:dyDescent="0.25">
      <c r="A9" s="120" t="s">
        <v>24</v>
      </c>
      <c r="B9" s="65"/>
      <c r="C9" s="65"/>
      <c r="D9" s="65"/>
      <c r="E9" s="65"/>
      <c r="F9" s="65"/>
      <c r="G9" s="117">
        <f>Forecast!C80</f>
        <v>1.5833333333333333</v>
      </c>
      <c r="H9" s="67">
        <f>Forecast!D80</f>
        <v>1.3666666666666667</v>
      </c>
      <c r="I9" s="67">
        <f>Forecast!E80</f>
        <v>1.4333333333333333</v>
      </c>
      <c r="J9" s="67">
        <f>Forecast!F80</f>
        <v>1.3166666666666667</v>
      </c>
      <c r="K9" s="67">
        <f>Forecast!G80</f>
        <v>1.5833333333333333</v>
      </c>
      <c r="L9" s="67">
        <f>Forecast!H80</f>
        <v>1.3166666666666667</v>
      </c>
      <c r="M9" s="67">
        <f>Forecast!I80</f>
        <v>1.05</v>
      </c>
      <c r="N9" s="67">
        <f>Forecast!J80</f>
        <v>0.91666666666666663</v>
      </c>
      <c r="O9" s="67">
        <f>Forecast!K80</f>
        <v>0.91666666666666663</v>
      </c>
      <c r="P9" s="67">
        <f>Forecast!L80</f>
        <v>0.9</v>
      </c>
      <c r="Q9" s="67">
        <f>Forecast!M80</f>
        <v>0.6333333333333333</v>
      </c>
      <c r="R9" s="67">
        <f>Forecast!N80</f>
        <v>0.6333333333333333</v>
      </c>
      <c r="S9" s="67">
        <f>Forecast!O80</f>
        <v>0.56666666666666665</v>
      </c>
      <c r="T9" s="67">
        <f>Forecast!P80</f>
        <v>0.56666666666666665</v>
      </c>
      <c r="U9" s="67">
        <f>Forecast!Q80</f>
        <v>0.56666666666666665</v>
      </c>
      <c r="V9" s="67">
        <f>Forecast!R80</f>
        <v>0.56666666666666665</v>
      </c>
      <c r="W9" s="67">
        <f>Forecast!S80</f>
        <v>0.4</v>
      </c>
      <c r="X9" s="67">
        <f>Forecast!T80</f>
        <v>0.46666666666666667</v>
      </c>
      <c r="Y9" s="67">
        <f>Forecast!U80</f>
        <v>0.26666666666666666</v>
      </c>
      <c r="Z9" s="67">
        <f>Forecast!V80</f>
        <v>0.4</v>
      </c>
      <c r="AA9" s="67">
        <f>Forecast!W80</f>
        <v>0.46666666666666667</v>
      </c>
      <c r="AB9" s="67">
        <f>Forecast!X80</f>
        <v>0.53333333333333333</v>
      </c>
      <c r="AC9" s="67">
        <f>Forecast!Y80</f>
        <v>0.53333333333333333</v>
      </c>
      <c r="AD9" s="67">
        <f>Forecast!Z80</f>
        <v>0.46666666666666667</v>
      </c>
      <c r="AE9" s="67">
        <f>Forecast!AA80</f>
        <v>0</v>
      </c>
      <c r="AF9" s="67">
        <f>Forecast!AB80</f>
        <v>0</v>
      </c>
      <c r="AG9" s="67">
        <f>Forecast!AC80</f>
        <v>0</v>
      </c>
      <c r="AH9" s="67">
        <f>Forecast!AD80</f>
        <v>3.3333333333333333E-2</v>
      </c>
      <c r="AI9" s="67">
        <f>Forecast!AE80</f>
        <v>3.3333333333333333E-2</v>
      </c>
      <c r="AJ9" s="67">
        <f>Forecast!AF80</f>
        <v>3.3333333333333333E-2</v>
      </c>
      <c r="AK9" s="67">
        <f>Forecast!AG80</f>
        <v>3.3333333333333333E-2</v>
      </c>
      <c r="AL9" s="67">
        <f>Forecast!AH80</f>
        <v>3.3333333333333333E-2</v>
      </c>
      <c r="AM9" s="67">
        <f>Forecast!AI80</f>
        <v>3.3333333333333333E-2</v>
      </c>
      <c r="AN9" s="67">
        <f>Forecast!AJ80</f>
        <v>3.3333333333333333E-2</v>
      </c>
      <c r="AO9" s="67">
        <f>Forecast!AK80</f>
        <v>3.3333333333333333E-2</v>
      </c>
      <c r="AP9" s="67">
        <f>Forecast!AL80</f>
        <v>3.3333333333333333E-2</v>
      </c>
      <c r="AQ9" s="67">
        <f>Forecast!AM80</f>
        <v>3.3333333333333333E-2</v>
      </c>
      <c r="AR9" s="67">
        <f>Forecast!AN80</f>
        <v>3.3333333333333333E-2</v>
      </c>
      <c r="AS9" s="67">
        <f>Forecast!AO80</f>
        <v>3.3333333333333333E-2</v>
      </c>
      <c r="AT9" s="67">
        <f>Forecast!AP80</f>
        <v>3.3333333333333333E-2</v>
      </c>
      <c r="AU9" s="67">
        <f>Forecast!AQ80</f>
        <v>0</v>
      </c>
      <c r="AV9" s="67">
        <f>Forecast!AR80</f>
        <v>0</v>
      </c>
      <c r="AW9" s="67">
        <f>Forecast!AS80</f>
        <v>0</v>
      </c>
      <c r="AX9" s="67">
        <f>Forecast!AT80</f>
        <v>0</v>
      </c>
      <c r="AY9" s="67">
        <f>Forecast!AU80</f>
        <v>0</v>
      </c>
      <c r="AZ9" s="67">
        <f>Forecast!AV80</f>
        <v>0</v>
      </c>
      <c r="BA9" s="67">
        <f>Forecast!AW80</f>
        <v>0</v>
      </c>
      <c r="BB9" s="67">
        <f>Forecast!AX80</f>
        <v>0</v>
      </c>
      <c r="BC9" s="67">
        <f>Forecast!AY80</f>
        <v>0</v>
      </c>
      <c r="BD9" s="67">
        <f>Forecast!AZ80</f>
        <v>0</v>
      </c>
      <c r="BE9" s="67">
        <f>Forecast!BA80</f>
        <v>0</v>
      </c>
      <c r="BF9" s="67">
        <f>Forecast!BB80</f>
        <v>0</v>
      </c>
      <c r="BG9" s="67">
        <f>Forecast!BC80</f>
        <v>0</v>
      </c>
    </row>
    <row r="10" spans="1:59" hidden="1" outlineLevel="1" x14ac:dyDescent="0.25">
      <c r="A10" s="120" t="s">
        <v>25</v>
      </c>
      <c r="B10" s="65"/>
      <c r="C10" s="65"/>
      <c r="D10" s="65"/>
      <c r="E10" s="65"/>
      <c r="F10" s="65"/>
      <c r="G10" s="117">
        <f>Forecast!C81</f>
        <v>1.1875</v>
      </c>
      <c r="H10" s="67">
        <f>Forecast!D81</f>
        <v>0.5625</v>
      </c>
      <c r="I10" s="67">
        <f>Forecast!E81</f>
        <v>0.8125</v>
      </c>
      <c r="J10" s="67">
        <f>Forecast!F81</f>
        <v>0.8125</v>
      </c>
      <c r="K10" s="67">
        <f>Forecast!G81</f>
        <v>0.8125</v>
      </c>
      <c r="L10" s="67">
        <f>Forecast!H81</f>
        <v>0.8125</v>
      </c>
      <c r="M10" s="67">
        <f>Forecast!I81</f>
        <v>0.8125</v>
      </c>
      <c r="N10" s="67">
        <f>Forecast!J81</f>
        <v>0.8125</v>
      </c>
      <c r="O10" s="67">
        <f>Forecast!K81</f>
        <v>1.1875</v>
      </c>
      <c r="P10" s="67">
        <f>Forecast!L81</f>
        <v>1.1875</v>
      </c>
      <c r="Q10" s="67">
        <f>Forecast!M81</f>
        <v>0.71875</v>
      </c>
      <c r="R10" s="67">
        <f>Forecast!N81</f>
        <v>0.71875</v>
      </c>
      <c r="S10" s="67">
        <f>Forecast!O81</f>
        <v>0.46875</v>
      </c>
      <c r="T10" s="67">
        <f>Forecast!P81</f>
        <v>0.46875</v>
      </c>
      <c r="U10" s="67">
        <f>Forecast!Q81</f>
        <v>0.46875</v>
      </c>
      <c r="V10" s="67">
        <f>Forecast!R81</f>
        <v>0.9375</v>
      </c>
      <c r="W10" s="67">
        <f>Forecast!S81</f>
        <v>0.875</v>
      </c>
      <c r="X10" s="67">
        <f>Forecast!T81</f>
        <v>1.125</v>
      </c>
      <c r="Y10" s="67">
        <f>Forecast!U81</f>
        <v>0.75</v>
      </c>
      <c r="Z10" s="67">
        <f>Forecast!V81</f>
        <v>0.28125</v>
      </c>
      <c r="AA10" s="67">
        <f>Forecast!W81</f>
        <v>0.28125</v>
      </c>
      <c r="AB10" s="67">
        <f>Forecast!X81</f>
        <v>0.28125</v>
      </c>
      <c r="AC10" s="67">
        <f>Forecast!Y81</f>
        <v>0.28125</v>
      </c>
      <c r="AD10" s="67">
        <f>Forecast!Z81</f>
        <v>0.28125</v>
      </c>
      <c r="AE10" s="67">
        <f>Forecast!AA81</f>
        <v>0.15625</v>
      </c>
      <c r="AF10" s="67">
        <f>Forecast!AB81</f>
        <v>3.125E-2</v>
      </c>
      <c r="AG10" s="67">
        <f>Forecast!AC81</f>
        <v>3.125E-2</v>
      </c>
      <c r="AH10" s="67">
        <f>Forecast!AD81</f>
        <v>0.15625</v>
      </c>
      <c r="AI10" s="67">
        <f>Forecast!AE81</f>
        <v>0.15625</v>
      </c>
      <c r="AJ10" s="67">
        <f>Forecast!AF81</f>
        <v>0.15625</v>
      </c>
      <c r="AK10" s="67">
        <f>Forecast!AG81</f>
        <v>0.15625</v>
      </c>
      <c r="AL10" s="67">
        <f>Forecast!AH81</f>
        <v>0.625</v>
      </c>
      <c r="AM10" s="67">
        <f>Forecast!AI81</f>
        <v>0.625</v>
      </c>
      <c r="AN10" s="67">
        <f>Forecast!AJ81</f>
        <v>0.625</v>
      </c>
      <c r="AO10" s="67">
        <f>Forecast!AK81</f>
        <v>0.125</v>
      </c>
      <c r="AP10" s="67">
        <f>Forecast!AL81</f>
        <v>0.125</v>
      </c>
      <c r="AQ10" s="67">
        <f>Forecast!AM81</f>
        <v>0.125</v>
      </c>
      <c r="AR10" s="67">
        <f>Forecast!AN81</f>
        <v>0.125</v>
      </c>
      <c r="AS10" s="67">
        <f>Forecast!AO81</f>
        <v>0.125</v>
      </c>
      <c r="AT10" s="67">
        <f>Forecast!AP81</f>
        <v>0.125</v>
      </c>
      <c r="AU10" s="67">
        <f>Forecast!AQ81</f>
        <v>6.25E-2</v>
      </c>
      <c r="AV10" s="67">
        <f>Forecast!AR81</f>
        <v>0</v>
      </c>
      <c r="AW10" s="67">
        <f>Forecast!AS81</f>
        <v>0</v>
      </c>
      <c r="AX10" s="67">
        <f>Forecast!AT81</f>
        <v>0</v>
      </c>
      <c r="AY10" s="67">
        <f>Forecast!AU81</f>
        <v>0</v>
      </c>
      <c r="AZ10" s="67">
        <f>Forecast!AV81</f>
        <v>0</v>
      </c>
      <c r="BA10" s="67">
        <f>Forecast!AW81</f>
        <v>0</v>
      </c>
      <c r="BB10" s="67">
        <f>Forecast!AX81</f>
        <v>0</v>
      </c>
      <c r="BC10" s="67">
        <f>Forecast!AY81</f>
        <v>0</v>
      </c>
      <c r="BD10" s="67">
        <f>Forecast!AZ81</f>
        <v>0</v>
      </c>
      <c r="BE10" s="67">
        <f>Forecast!BA81</f>
        <v>0</v>
      </c>
      <c r="BF10" s="67">
        <f>Forecast!BB81</f>
        <v>0</v>
      </c>
      <c r="BG10" s="67">
        <f>Forecast!BC81</f>
        <v>0</v>
      </c>
    </row>
    <row r="11" spans="1:59" hidden="1" outlineLevel="1" x14ac:dyDescent="0.25">
      <c r="A11" s="120" t="s">
        <v>26</v>
      </c>
      <c r="B11" s="65"/>
      <c r="C11" s="65"/>
      <c r="D11" s="65"/>
      <c r="E11" s="65"/>
      <c r="F11" s="65"/>
      <c r="G11" s="117">
        <f>Forecast!C82</f>
        <v>1.4444444444444444</v>
      </c>
      <c r="H11" s="67">
        <f>Forecast!D82</f>
        <v>1.4444444444444444</v>
      </c>
      <c r="I11" s="67">
        <f>Forecast!E82</f>
        <v>1.4444444444444444</v>
      </c>
      <c r="J11" s="67">
        <f>Forecast!F82</f>
        <v>1.4444444444444444</v>
      </c>
      <c r="K11" s="67">
        <f>Forecast!G82</f>
        <v>1.4444444444444444</v>
      </c>
      <c r="L11" s="67">
        <f>Forecast!H82</f>
        <v>1.1111111111111112</v>
      </c>
      <c r="M11" s="67">
        <f>Forecast!I82</f>
        <v>1.1111111111111112</v>
      </c>
      <c r="N11" s="67">
        <f>Forecast!J82</f>
        <v>0.66666666666666663</v>
      </c>
      <c r="O11" s="67">
        <f>Forecast!K82</f>
        <v>0.44444444444444442</v>
      </c>
      <c r="P11" s="67">
        <f>Forecast!L82</f>
        <v>0.44444444444444442</v>
      </c>
      <c r="Q11" s="67">
        <f>Forecast!M82</f>
        <v>0.44444444444444442</v>
      </c>
      <c r="R11" s="67">
        <f>Forecast!N82</f>
        <v>0.44444444444444442</v>
      </c>
      <c r="S11" s="67">
        <f>Forecast!O82</f>
        <v>0.44444444444444442</v>
      </c>
      <c r="T11" s="67">
        <f>Forecast!P82</f>
        <v>0.44444444444444442</v>
      </c>
      <c r="U11" s="67">
        <f>Forecast!Q82</f>
        <v>0.44444444444444442</v>
      </c>
      <c r="V11" s="67">
        <f>Forecast!R82</f>
        <v>0.44444444444444442</v>
      </c>
      <c r="W11" s="67">
        <f>Forecast!S82</f>
        <v>0.44444444444444442</v>
      </c>
      <c r="X11" s="67">
        <f>Forecast!T82</f>
        <v>0.44444444444444442</v>
      </c>
      <c r="Y11" s="67">
        <f>Forecast!U82</f>
        <v>0</v>
      </c>
      <c r="Z11" s="67">
        <f>Forecast!V82</f>
        <v>0</v>
      </c>
      <c r="AA11" s="67">
        <f>Forecast!W82</f>
        <v>0</v>
      </c>
      <c r="AB11" s="67">
        <f>Forecast!X82</f>
        <v>0</v>
      </c>
      <c r="AC11" s="67">
        <f>Forecast!Y82</f>
        <v>0</v>
      </c>
      <c r="AD11" s="67">
        <f>Forecast!Z82</f>
        <v>0</v>
      </c>
      <c r="AE11" s="67">
        <f>Forecast!AA82</f>
        <v>0</v>
      </c>
      <c r="AF11" s="67">
        <f>Forecast!AB82</f>
        <v>0</v>
      </c>
      <c r="AG11" s="67">
        <f>Forecast!AC82</f>
        <v>0</v>
      </c>
      <c r="AH11" s="67">
        <f>Forecast!AD82</f>
        <v>0</v>
      </c>
      <c r="AI11" s="67">
        <f>Forecast!AE82</f>
        <v>0</v>
      </c>
      <c r="AJ11" s="67">
        <f>Forecast!AF82</f>
        <v>0</v>
      </c>
      <c r="AK11" s="67">
        <f>Forecast!AG82</f>
        <v>0</v>
      </c>
      <c r="AL11" s="67">
        <f>Forecast!AH82</f>
        <v>0</v>
      </c>
      <c r="AM11" s="67">
        <f>Forecast!AI82</f>
        <v>0</v>
      </c>
      <c r="AN11" s="67">
        <f>Forecast!AJ82</f>
        <v>0</v>
      </c>
      <c r="AO11" s="67">
        <f>Forecast!AK82</f>
        <v>0</v>
      </c>
      <c r="AP11" s="67">
        <f>Forecast!AL82</f>
        <v>0</v>
      </c>
      <c r="AQ11" s="67">
        <f>Forecast!AM82</f>
        <v>0</v>
      </c>
      <c r="AR11" s="67">
        <f>Forecast!AN82</f>
        <v>0</v>
      </c>
      <c r="AS11" s="67">
        <f>Forecast!AO82</f>
        <v>0</v>
      </c>
      <c r="AT11" s="67">
        <f>Forecast!AP82</f>
        <v>0</v>
      </c>
      <c r="AU11" s="67">
        <f>Forecast!AQ82</f>
        <v>0</v>
      </c>
      <c r="AV11" s="67">
        <f>Forecast!AR82</f>
        <v>0</v>
      </c>
      <c r="AW11" s="67">
        <f>Forecast!AS82</f>
        <v>0</v>
      </c>
      <c r="AX11" s="67">
        <f>Forecast!AT82</f>
        <v>0</v>
      </c>
      <c r="AY11" s="67">
        <f>Forecast!AU82</f>
        <v>0</v>
      </c>
      <c r="AZ11" s="67">
        <f>Forecast!AV82</f>
        <v>0</v>
      </c>
      <c r="BA11" s="67">
        <f>Forecast!AW82</f>
        <v>0</v>
      </c>
      <c r="BB11" s="67">
        <f>Forecast!AX82</f>
        <v>0</v>
      </c>
      <c r="BC11" s="67">
        <f>Forecast!AY82</f>
        <v>0</v>
      </c>
      <c r="BD11" s="67">
        <f>Forecast!AZ82</f>
        <v>0</v>
      </c>
      <c r="BE11" s="67">
        <f>Forecast!BA82</f>
        <v>0</v>
      </c>
      <c r="BF11" s="67">
        <f>Forecast!BB82</f>
        <v>0</v>
      </c>
      <c r="BG11" s="67">
        <f>Forecast!BC82</f>
        <v>0</v>
      </c>
    </row>
    <row r="12" spans="1:59" hidden="1" outlineLevel="1" x14ac:dyDescent="0.25">
      <c r="A12" s="120" t="s">
        <v>172</v>
      </c>
      <c r="B12" s="65"/>
      <c r="C12" s="65"/>
      <c r="D12" s="65"/>
      <c r="E12" s="65"/>
      <c r="F12" s="65"/>
      <c r="G12" s="117">
        <f>Forecast!C83</f>
        <v>0.90277777777777779</v>
      </c>
      <c r="H12" s="67">
        <f>Forecast!D83</f>
        <v>0.56944444444444442</v>
      </c>
      <c r="I12" s="67">
        <f>Forecast!E83</f>
        <v>0.79166666666666663</v>
      </c>
      <c r="J12" s="67">
        <f>Forecast!F83</f>
        <v>0.79166666666666663</v>
      </c>
      <c r="K12" s="67">
        <f>Forecast!G83</f>
        <v>0.90277777777777779</v>
      </c>
      <c r="L12" s="67">
        <f>Forecast!H83</f>
        <v>0.66666666666666663</v>
      </c>
      <c r="M12" s="67">
        <f>Forecast!I83</f>
        <v>0.61111111111111116</v>
      </c>
      <c r="N12" s="67">
        <f>Forecast!J83</f>
        <v>0.66666666666666663</v>
      </c>
      <c r="O12" s="67">
        <f>Forecast!K83</f>
        <v>0.66666666666666663</v>
      </c>
      <c r="P12" s="67">
        <f>Forecast!L83</f>
        <v>0.66666666666666663</v>
      </c>
      <c r="Q12" s="67">
        <f>Forecast!M83</f>
        <v>0.5</v>
      </c>
      <c r="R12" s="67">
        <f>Forecast!N83</f>
        <v>0.5</v>
      </c>
      <c r="S12" s="67">
        <f>Forecast!O83</f>
        <v>0.22222222222222221</v>
      </c>
      <c r="T12" s="67">
        <f>Forecast!P83</f>
        <v>0.22222222222222221</v>
      </c>
      <c r="U12" s="67">
        <f>Forecast!Q83</f>
        <v>0.22222222222222221</v>
      </c>
      <c r="V12" s="67">
        <f>Forecast!R83</f>
        <v>0.44444444444444442</v>
      </c>
      <c r="W12" s="67">
        <f>Forecast!S83</f>
        <v>0.44444444444444442</v>
      </c>
      <c r="X12" s="67">
        <f>Forecast!T83</f>
        <v>0.44444444444444442</v>
      </c>
      <c r="Y12" s="67">
        <f>Forecast!U83</f>
        <v>0.22222222222222221</v>
      </c>
      <c r="Z12" s="67">
        <f>Forecast!V83</f>
        <v>0</v>
      </c>
      <c r="AA12" s="67">
        <f>Forecast!W83</f>
        <v>0</v>
      </c>
      <c r="AB12" s="67">
        <f>Forecast!X83</f>
        <v>0</v>
      </c>
      <c r="AC12" s="67">
        <f>Forecast!Y83</f>
        <v>0</v>
      </c>
      <c r="AD12" s="67">
        <f>Forecast!Z83</f>
        <v>0</v>
      </c>
      <c r="AE12" s="67">
        <f>Forecast!AA83</f>
        <v>0</v>
      </c>
      <c r="AF12" s="67">
        <f>Forecast!AB83</f>
        <v>0</v>
      </c>
      <c r="AG12" s="67">
        <f>Forecast!AC83</f>
        <v>0</v>
      </c>
      <c r="AH12" s="67">
        <f>Forecast!AD83</f>
        <v>0</v>
      </c>
      <c r="AI12" s="67">
        <f>Forecast!AE83</f>
        <v>0</v>
      </c>
      <c r="AJ12" s="67">
        <f>Forecast!AF83</f>
        <v>0</v>
      </c>
      <c r="AK12" s="67">
        <f>Forecast!AG83</f>
        <v>0</v>
      </c>
      <c r="AL12" s="67">
        <f>Forecast!AH83</f>
        <v>0.27777777777777779</v>
      </c>
      <c r="AM12" s="67">
        <f>Forecast!AI83</f>
        <v>0.27777777777777779</v>
      </c>
      <c r="AN12" s="67">
        <f>Forecast!AJ83</f>
        <v>0.27777777777777779</v>
      </c>
      <c r="AO12" s="67">
        <f>Forecast!AK83</f>
        <v>0</v>
      </c>
      <c r="AP12" s="67">
        <f>Forecast!AL83</f>
        <v>0</v>
      </c>
      <c r="AQ12" s="67">
        <f>Forecast!AM83</f>
        <v>0</v>
      </c>
      <c r="AR12" s="67">
        <f>Forecast!AN83</f>
        <v>0</v>
      </c>
      <c r="AS12" s="67">
        <f>Forecast!AO83</f>
        <v>0</v>
      </c>
      <c r="AT12" s="67">
        <f>Forecast!AP83</f>
        <v>0</v>
      </c>
      <c r="AU12" s="67">
        <f>Forecast!AQ83</f>
        <v>0</v>
      </c>
      <c r="AV12" s="67">
        <f>Forecast!AR83</f>
        <v>0</v>
      </c>
      <c r="AW12" s="67">
        <f>Forecast!AS83</f>
        <v>0</v>
      </c>
      <c r="AX12" s="67">
        <f>Forecast!AT83</f>
        <v>0</v>
      </c>
      <c r="AY12" s="67">
        <f>Forecast!AU83</f>
        <v>0</v>
      </c>
      <c r="AZ12" s="67">
        <f>Forecast!AV83</f>
        <v>0</v>
      </c>
      <c r="BA12" s="67">
        <f>Forecast!AW83</f>
        <v>0</v>
      </c>
      <c r="BB12" s="67">
        <f>Forecast!AX83</f>
        <v>0</v>
      </c>
      <c r="BC12" s="67">
        <f>Forecast!AY83</f>
        <v>0</v>
      </c>
      <c r="BD12" s="67">
        <f>Forecast!AZ83</f>
        <v>0</v>
      </c>
      <c r="BE12" s="67">
        <f>Forecast!BA83</f>
        <v>0</v>
      </c>
      <c r="BF12" s="67">
        <f>Forecast!BB83</f>
        <v>0</v>
      </c>
      <c r="BG12" s="67">
        <f>Forecast!BC83</f>
        <v>0</v>
      </c>
    </row>
    <row r="13" spans="1:59" hidden="1" outlineLevel="1" x14ac:dyDescent="0.25">
      <c r="A13" s="120" t="s">
        <v>27</v>
      </c>
      <c r="B13" s="65"/>
      <c r="C13" s="65"/>
      <c r="D13" s="65"/>
      <c r="E13" s="65"/>
      <c r="F13" s="65"/>
      <c r="G13" s="117">
        <f>Forecast!C84</f>
        <v>1.6666666666666667</v>
      </c>
      <c r="H13" s="67">
        <f>Forecast!D84</f>
        <v>1.0555555555555556</v>
      </c>
      <c r="I13" s="67">
        <f>Forecast!E84</f>
        <v>1.0555555555555556</v>
      </c>
      <c r="J13" s="67">
        <f>Forecast!F84</f>
        <v>1.2777777777777777</v>
      </c>
      <c r="K13" s="67">
        <f>Forecast!G84</f>
        <v>1.2777777777777777</v>
      </c>
      <c r="L13" s="67">
        <f>Forecast!H84</f>
        <v>1.0555555555555556</v>
      </c>
      <c r="M13" s="67">
        <f>Forecast!I84</f>
        <v>1.0555555555555556</v>
      </c>
      <c r="N13" s="67">
        <f>Forecast!J84</f>
        <v>1.0555555555555556</v>
      </c>
      <c r="O13" s="67">
        <f>Forecast!K84</f>
        <v>1.5555555555555556</v>
      </c>
      <c r="P13" s="67">
        <f>Forecast!L84</f>
        <v>1.5555555555555556</v>
      </c>
      <c r="Q13" s="67">
        <f>Forecast!M84</f>
        <v>1.1111111111111112</v>
      </c>
      <c r="R13" s="67">
        <f>Forecast!N84</f>
        <v>1.1111111111111112</v>
      </c>
      <c r="S13" s="67">
        <f>Forecast!O84</f>
        <v>1.2222222222222223</v>
      </c>
      <c r="T13" s="67">
        <f>Forecast!P84</f>
        <v>1.1111111111111112</v>
      </c>
      <c r="U13" s="67">
        <f>Forecast!Q84</f>
        <v>1.1111111111111112</v>
      </c>
      <c r="V13" s="67">
        <f>Forecast!R84</f>
        <v>1.3333333333333333</v>
      </c>
      <c r="W13" s="67">
        <f>Forecast!S84</f>
        <v>1.6666666666666667</v>
      </c>
      <c r="X13" s="67">
        <f>Forecast!T84</f>
        <v>1.6666666666666667</v>
      </c>
      <c r="Y13" s="67">
        <f>Forecast!U84</f>
        <v>0.55555555555555558</v>
      </c>
      <c r="Z13" s="67">
        <f>Forecast!V84</f>
        <v>0</v>
      </c>
      <c r="AA13" s="67">
        <f>Forecast!W84</f>
        <v>0</v>
      </c>
      <c r="AB13" s="67">
        <f>Forecast!X84</f>
        <v>0</v>
      </c>
      <c r="AC13" s="67">
        <f>Forecast!Y84</f>
        <v>0</v>
      </c>
      <c r="AD13" s="67">
        <f>Forecast!Z84</f>
        <v>0</v>
      </c>
      <c r="AE13" s="67">
        <f>Forecast!AA84</f>
        <v>0</v>
      </c>
      <c r="AF13" s="67">
        <f>Forecast!AB84</f>
        <v>0</v>
      </c>
      <c r="AG13" s="67">
        <f>Forecast!AC84</f>
        <v>0</v>
      </c>
      <c r="AH13" s="67">
        <f>Forecast!AD84</f>
        <v>0</v>
      </c>
      <c r="AI13" s="67">
        <f>Forecast!AE84</f>
        <v>0</v>
      </c>
      <c r="AJ13" s="67">
        <f>Forecast!AF84</f>
        <v>0</v>
      </c>
      <c r="AK13" s="67">
        <f>Forecast!AG84</f>
        <v>0</v>
      </c>
      <c r="AL13" s="67">
        <f>Forecast!AH84</f>
        <v>0.1111111111111111</v>
      </c>
      <c r="AM13" s="67">
        <f>Forecast!AI84</f>
        <v>0</v>
      </c>
      <c r="AN13" s="67">
        <f>Forecast!AJ84</f>
        <v>0</v>
      </c>
      <c r="AO13" s="67">
        <f>Forecast!AK84</f>
        <v>0</v>
      </c>
      <c r="AP13" s="67">
        <f>Forecast!AL84</f>
        <v>0</v>
      </c>
      <c r="AQ13" s="67">
        <f>Forecast!AM84</f>
        <v>0</v>
      </c>
      <c r="AR13" s="67">
        <f>Forecast!AN84</f>
        <v>0</v>
      </c>
      <c r="AS13" s="67">
        <f>Forecast!AO84</f>
        <v>0</v>
      </c>
      <c r="AT13" s="67">
        <f>Forecast!AP84</f>
        <v>0</v>
      </c>
      <c r="AU13" s="67">
        <f>Forecast!AQ84</f>
        <v>0</v>
      </c>
      <c r="AV13" s="67">
        <f>Forecast!AR84</f>
        <v>0</v>
      </c>
      <c r="AW13" s="67">
        <f>Forecast!AS84</f>
        <v>0</v>
      </c>
      <c r="AX13" s="67">
        <f>Forecast!AT84</f>
        <v>0</v>
      </c>
      <c r="AY13" s="67">
        <f>Forecast!AU84</f>
        <v>0</v>
      </c>
      <c r="AZ13" s="67">
        <f>Forecast!AV84</f>
        <v>0</v>
      </c>
      <c r="BA13" s="67">
        <f>Forecast!AW84</f>
        <v>0</v>
      </c>
      <c r="BB13" s="67">
        <f>Forecast!AX84</f>
        <v>0</v>
      </c>
      <c r="BC13" s="67">
        <f>Forecast!AY84</f>
        <v>0</v>
      </c>
      <c r="BD13" s="67">
        <f>Forecast!AZ84</f>
        <v>0</v>
      </c>
      <c r="BE13" s="67">
        <f>Forecast!BA84</f>
        <v>0</v>
      </c>
      <c r="BF13" s="67">
        <f>Forecast!BB84</f>
        <v>0</v>
      </c>
      <c r="BG13" s="67">
        <f>Forecast!BC84</f>
        <v>0</v>
      </c>
    </row>
    <row r="14" spans="1:59" hidden="1" outlineLevel="1" x14ac:dyDescent="0.25">
      <c r="A14" s="121" t="s">
        <v>120</v>
      </c>
      <c r="B14" s="65"/>
      <c r="C14" s="65"/>
      <c r="D14" s="65"/>
      <c r="E14" s="65"/>
      <c r="F14" s="65"/>
      <c r="G14" s="118">
        <f>Forecast!C85</f>
        <v>1.2033898305084745</v>
      </c>
      <c r="H14" s="69">
        <f>Forecast!D85</f>
        <v>0.97881355932203384</v>
      </c>
      <c r="I14" s="69">
        <f>Forecast!E85</f>
        <v>1.097457627118644</v>
      </c>
      <c r="J14" s="69">
        <f>Forecast!F85</f>
        <v>1.1016949152542372</v>
      </c>
      <c r="K14" s="69">
        <f>Forecast!G85</f>
        <v>1.2033898305084745</v>
      </c>
      <c r="L14" s="69">
        <f>Forecast!H85</f>
        <v>0.97881355932203384</v>
      </c>
      <c r="M14" s="69">
        <f>Forecast!I85</f>
        <v>0.89406779661016944</v>
      </c>
      <c r="N14" s="69">
        <f>Forecast!J85</f>
        <v>0.80932203389830504</v>
      </c>
      <c r="O14" s="69">
        <f>Forecast!K85</f>
        <v>0.90254237288135597</v>
      </c>
      <c r="P14" s="69">
        <f>Forecast!L85</f>
        <v>0.89830508474576276</v>
      </c>
      <c r="Q14" s="69">
        <f>Forecast!M85</f>
        <v>0.64830508474576276</v>
      </c>
      <c r="R14" s="69">
        <f>Forecast!N85</f>
        <v>0.64830508474576276</v>
      </c>
      <c r="S14" s="69">
        <f>Forecast!O85</f>
        <v>0.52966101694915257</v>
      </c>
      <c r="T14" s="69">
        <f>Forecast!P85</f>
        <v>0.51271186440677963</v>
      </c>
      <c r="U14" s="69">
        <f>Forecast!Q85</f>
        <v>0.51271186440677963</v>
      </c>
      <c r="V14" s="69">
        <f>Forecast!R85</f>
        <v>0.67796610169491522</v>
      </c>
      <c r="W14" s="69">
        <f>Forecast!S85</f>
        <v>0.67796610169491522</v>
      </c>
      <c r="X14" s="69">
        <f>Forecast!T85</f>
        <v>0.72881355932203384</v>
      </c>
      <c r="Y14" s="69">
        <f>Forecast!U85</f>
        <v>0.32203389830508472</v>
      </c>
      <c r="Z14" s="69">
        <f>Forecast!V85</f>
        <v>0.13983050847457626</v>
      </c>
      <c r="AA14" s="69">
        <f>Forecast!W85</f>
        <v>0.15677966101694915</v>
      </c>
      <c r="AB14" s="69">
        <f>Forecast!X85</f>
        <v>0.17372881355932204</v>
      </c>
      <c r="AC14" s="69">
        <f>Forecast!Y85</f>
        <v>0.17372881355932204</v>
      </c>
      <c r="AD14" s="69">
        <f>Forecast!Z85</f>
        <v>0.15677966101694915</v>
      </c>
      <c r="AE14" s="69">
        <f>Forecast!AA85</f>
        <v>2.1186440677966101E-2</v>
      </c>
      <c r="AF14" s="69">
        <f>Forecast!AB85</f>
        <v>4.2372881355932203E-3</v>
      </c>
      <c r="AG14" s="69">
        <f>Forecast!AC85</f>
        <v>4.2372881355932203E-3</v>
      </c>
      <c r="AH14" s="69">
        <f>Forecast!AD85</f>
        <v>2.9661016949152543E-2</v>
      </c>
      <c r="AI14" s="69">
        <f>Forecast!AE85</f>
        <v>2.9661016949152543E-2</v>
      </c>
      <c r="AJ14" s="69">
        <f>Forecast!AF85</f>
        <v>2.9661016949152543E-2</v>
      </c>
      <c r="AK14" s="69">
        <f>Forecast!AG85</f>
        <v>2.9661016949152543E-2</v>
      </c>
      <c r="AL14" s="69">
        <f>Forecast!AH85</f>
        <v>0.19491525423728814</v>
      </c>
      <c r="AM14" s="69">
        <f>Forecast!AI85</f>
        <v>0.17796610169491525</v>
      </c>
      <c r="AN14" s="69">
        <f>Forecast!AJ85</f>
        <v>0.17796610169491525</v>
      </c>
      <c r="AO14" s="69">
        <f>Forecast!AK85</f>
        <v>2.5423728813559324E-2</v>
      </c>
      <c r="AP14" s="69">
        <f>Forecast!AL85</f>
        <v>2.5423728813559324E-2</v>
      </c>
      <c r="AQ14" s="69">
        <f>Forecast!AM85</f>
        <v>2.5423728813559324E-2</v>
      </c>
      <c r="AR14" s="69">
        <f>Forecast!AN85</f>
        <v>2.5423728813559324E-2</v>
      </c>
      <c r="AS14" s="69">
        <f>Forecast!AO85</f>
        <v>2.5423728813559324E-2</v>
      </c>
      <c r="AT14" s="69">
        <f>Forecast!AP85</f>
        <v>2.5423728813559324E-2</v>
      </c>
      <c r="AU14" s="69">
        <f>Forecast!AQ85</f>
        <v>8.4745762711864406E-3</v>
      </c>
      <c r="AV14" s="69">
        <f>Forecast!AR85</f>
        <v>0</v>
      </c>
      <c r="AW14" s="69">
        <f>Forecast!AS85</f>
        <v>0</v>
      </c>
      <c r="AX14" s="69">
        <f>Forecast!AT85</f>
        <v>0</v>
      </c>
      <c r="AY14" s="69">
        <f>Forecast!AU85</f>
        <v>0</v>
      </c>
      <c r="AZ14" s="69">
        <f>Forecast!AV85</f>
        <v>0</v>
      </c>
      <c r="BA14" s="69">
        <f>Forecast!AW85</f>
        <v>0</v>
      </c>
      <c r="BB14" s="69">
        <f>Forecast!AX85</f>
        <v>0</v>
      </c>
      <c r="BC14" s="69">
        <f>Forecast!AY85</f>
        <v>0</v>
      </c>
      <c r="BD14" s="69">
        <f>Forecast!AZ85</f>
        <v>0</v>
      </c>
      <c r="BE14" s="69">
        <f>Forecast!BA85</f>
        <v>0</v>
      </c>
      <c r="BF14" s="69">
        <f>Forecast!BB85</f>
        <v>0</v>
      </c>
      <c r="BG14" s="69">
        <f>Forecast!BC85</f>
        <v>0</v>
      </c>
    </row>
    <row r="15" spans="1:59" hidden="1" outlineLevel="1" x14ac:dyDescent="0.25">
      <c r="A15" s="120" t="s">
        <v>61</v>
      </c>
      <c r="B15" s="65"/>
      <c r="C15" s="65"/>
      <c r="D15" s="65"/>
      <c r="E15" s="65"/>
      <c r="F15" s="65"/>
      <c r="G15" s="119">
        <f>Forecast!C96</f>
        <v>3</v>
      </c>
      <c r="H15" s="70">
        <f>Forecast!D96</f>
        <v>3</v>
      </c>
      <c r="I15" s="70">
        <f>Forecast!E96</f>
        <v>3</v>
      </c>
      <c r="J15" s="70">
        <f>Forecast!F96</f>
        <v>3</v>
      </c>
      <c r="K15" s="70">
        <f>Forecast!G96</f>
        <v>3</v>
      </c>
      <c r="L15" s="70">
        <f>Forecast!H96</f>
        <v>3</v>
      </c>
      <c r="M15" s="70">
        <f>Forecast!I96</f>
        <v>3</v>
      </c>
      <c r="N15" s="70">
        <f>Forecast!J96</f>
        <v>1</v>
      </c>
      <c r="O15" s="70">
        <f>Forecast!K96</f>
        <v>2</v>
      </c>
      <c r="P15" s="70">
        <f>Forecast!L96</f>
        <v>2</v>
      </c>
      <c r="Q15" s="70">
        <f>Forecast!M96</f>
        <v>1</v>
      </c>
      <c r="R15" s="70">
        <f>Forecast!N96</f>
        <v>1</v>
      </c>
      <c r="S15" s="70">
        <f>Forecast!O96</f>
        <v>1</v>
      </c>
      <c r="T15" s="70">
        <f>Forecast!P96</f>
        <v>1</v>
      </c>
      <c r="U15" s="70">
        <f>Forecast!Q96</f>
        <v>1</v>
      </c>
      <c r="V15" s="70">
        <f>Forecast!R96</f>
        <v>1</v>
      </c>
      <c r="W15" s="70">
        <f>Forecast!S96</f>
        <v>1</v>
      </c>
      <c r="X15" s="70">
        <f>Forecast!T96</f>
        <v>2</v>
      </c>
      <c r="Y15" s="70">
        <f>Forecast!U96</f>
        <v>0</v>
      </c>
      <c r="Z15" s="70">
        <f>Forecast!V96</f>
        <v>0</v>
      </c>
      <c r="AA15" s="70">
        <f>Forecast!W96</f>
        <v>0</v>
      </c>
      <c r="AB15" s="70">
        <f>Forecast!X96</f>
        <v>0</v>
      </c>
      <c r="AC15" s="70">
        <f>Forecast!Y96</f>
        <v>0</v>
      </c>
      <c r="AD15" s="70">
        <f>Forecast!Z96</f>
        <v>0</v>
      </c>
      <c r="AE15" s="70">
        <f>Forecast!AA96</f>
        <v>0</v>
      </c>
      <c r="AF15" s="70">
        <f>Forecast!AB96</f>
        <v>0</v>
      </c>
      <c r="AG15" s="70">
        <f>Forecast!AC96</f>
        <v>0</v>
      </c>
      <c r="AH15" s="70">
        <f>Forecast!AD96</f>
        <v>0</v>
      </c>
      <c r="AI15" s="70">
        <f>Forecast!AE96</f>
        <v>0</v>
      </c>
      <c r="AJ15" s="70">
        <f>Forecast!AF96</f>
        <v>0</v>
      </c>
      <c r="AK15" s="70">
        <f>Forecast!AG96</f>
        <v>0</v>
      </c>
      <c r="AL15" s="70">
        <f>Forecast!AH96</f>
        <v>0</v>
      </c>
      <c r="AM15" s="70">
        <f>Forecast!AI96</f>
        <v>0</v>
      </c>
      <c r="AN15" s="70">
        <f>Forecast!AJ96</f>
        <v>0</v>
      </c>
      <c r="AO15" s="70">
        <f>Forecast!AK96</f>
        <v>0</v>
      </c>
      <c r="AP15" s="70">
        <f>Forecast!AL96</f>
        <v>0</v>
      </c>
      <c r="AQ15" s="70">
        <f>Forecast!AM96</f>
        <v>0</v>
      </c>
      <c r="AR15" s="70">
        <f>Forecast!AN96</f>
        <v>0</v>
      </c>
      <c r="AS15" s="70">
        <f>Forecast!AO96</f>
        <v>0</v>
      </c>
      <c r="AT15" s="70">
        <f>Forecast!AP96</f>
        <v>0</v>
      </c>
      <c r="AU15" s="70">
        <f>Forecast!AQ96</f>
        <v>0</v>
      </c>
      <c r="AV15" s="70">
        <f>Forecast!AR96</f>
        <v>0</v>
      </c>
      <c r="AW15" s="70">
        <f>Forecast!AS96</f>
        <v>0</v>
      </c>
      <c r="AX15" s="70">
        <f>Forecast!AT96</f>
        <v>0</v>
      </c>
      <c r="AY15" s="70">
        <f>Forecast!AU96</f>
        <v>0</v>
      </c>
      <c r="AZ15" s="70">
        <f>Forecast!AV96</f>
        <v>0</v>
      </c>
      <c r="BA15" s="70">
        <f>Forecast!AW96</f>
        <v>0</v>
      </c>
      <c r="BB15" s="70">
        <f>Forecast!AX96</f>
        <v>0</v>
      </c>
      <c r="BC15" s="70">
        <f>Forecast!AY96</f>
        <v>0</v>
      </c>
      <c r="BD15" s="70">
        <f>Forecast!AZ96</f>
        <v>0</v>
      </c>
      <c r="BE15" s="70">
        <f>Forecast!BA96</f>
        <v>0</v>
      </c>
      <c r="BF15" s="70">
        <f>Forecast!BB96</f>
        <v>0</v>
      </c>
      <c r="BG15" s="70">
        <f>Forecast!BC96</f>
        <v>0</v>
      </c>
    </row>
    <row r="16" spans="1:59" collapsed="1" x14ac:dyDescent="0.25">
      <c r="A16" s="37" t="s">
        <v>123</v>
      </c>
      <c r="B16" s="39"/>
      <c r="C16" s="39"/>
      <c r="D16" s="39"/>
      <c r="E16" s="39"/>
      <c r="F16" s="39"/>
      <c r="H16" s="200" t="s">
        <v>77</v>
      </c>
      <c r="I16" s="200"/>
      <c r="J16" s="200"/>
      <c r="K16" s="200"/>
      <c r="L16" s="201" t="s">
        <v>104</v>
      </c>
      <c r="M16" s="201"/>
      <c r="N16" s="201"/>
      <c r="O16" s="201"/>
      <c r="P16" s="202" t="s">
        <v>105</v>
      </c>
      <c r="Q16" s="202"/>
      <c r="R16" s="202"/>
      <c r="S16" s="202"/>
      <c r="T16" s="203" t="s">
        <v>106</v>
      </c>
      <c r="U16" s="203"/>
      <c r="V16" s="203"/>
      <c r="W16" s="203"/>
      <c r="X16" s="204" t="s">
        <v>107</v>
      </c>
      <c r="Y16" s="204"/>
      <c r="Z16" s="204"/>
      <c r="AA16" s="204"/>
      <c r="AB16" s="205" t="s">
        <v>108</v>
      </c>
      <c r="AC16" s="205"/>
      <c r="AD16" s="205"/>
      <c r="AE16" s="205"/>
      <c r="AF16" s="197" t="s">
        <v>109</v>
      </c>
      <c r="AG16" s="197"/>
      <c r="AH16" s="197"/>
      <c r="AI16" s="197"/>
      <c r="AJ16" s="198" t="s">
        <v>110</v>
      </c>
      <c r="AK16" s="198"/>
      <c r="AL16" s="198"/>
      <c r="AM16" s="198"/>
      <c r="AN16" s="199" t="s">
        <v>124</v>
      </c>
      <c r="AO16" s="199"/>
      <c r="AP16" s="199"/>
      <c r="AQ16" s="199"/>
    </row>
    <row r="17" spans="1:68" x14ac:dyDescent="0.25">
      <c r="A17" s="24" t="s">
        <v>176</v>
      </c>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spans="1:68" x14ac:dyDescent="0.25">
      <c r="A18" s="165" t="s">
        <v>36</v>
      </c>
      <c r="B18" s="165" t="s">
        <v>37</v>
      </c>
      <c r="C18" s="165" t="s">
        <v>39</v>
      </c>
      <c r="D18" s="165" t="s">
        <v>155</v>
      </c>
      <c r="E18" s="165" t="s">
        <v>156</v>
      </c>
      <c r="F18" s="165" t="s">
        <v>157</v>
      </c>
      <c r="G18" s="165" t="s">
        <v>158</v>
      </c>
      <c r="H18" s="166">
        <f t="shared" ref="H18:AM18" si="2">H$5</f>
        <v>46300</v>
      </c>
      <c r="I18" s="166">
        <f t="shared" si="2"/>
        <v>46307</v>
      </c>
      <c r="J18" s="166">
        <f t="shared" si="2"/>
        <v>46314</v>
      </c>
      <c r="K18" s="166">
        <f t="shared" si="2"/>
        <v>46321</v>
      </c>
      <c r="L18" s="166">
        <f t="shared" si="2"/>
        <v>46328</v>
      </c>
      <c r="M18" s="166">
        <f t="shared" si="2"/>
        <v>46335</v>
      </c>
      <c r="N18" s="166">
        <f t="shared" si="2"/>
        <v>46342</v>
      </c>
      <c r="O18" s="166">
        <f t="shared" si="2"/>
        <v>46349</v>
      </c>
      <c r="P18" s="166">
        <f t="shared" si="2"/>
        <v>46356</v>
      </c>
      <c r="Q18" s="166">
        <f t="shared" si="2"/>
        <v>46363</v>
      </c>
      <c r="R18" s="166">
        <f t="shared" si="2"/>
        <v>46370</v>
      </c>
      <c r="S18" s="166">
        <f t="shared" si="2"/>
        <v>46377</v>
      </c>
      <c r="T18" s="166">
        <f t="shared" si="2"/>
        <v>46384</v>
      </c>
      <c r="U18" s="166">
        <f t="shared" si="2"/>
        <v>46391</v>
      </c>
      <c r="V18" s="166">
        <f t="shared" si="2"/>
        <v>46398</v>
      </c>
      <c r="W18" s="166">
        <f t="shared" si="2"/>
        <v>46405</v>
      </c>
      <c r="X18" s="166">
        <f t="shared" si="2"/>
        <v>46412</v>
      </c>
      <c r="Y18" s="166">
        <f t="shared" si="2"/>
        <v>46419</v>
      </c>
      <c r="Z18" s="166">
        <f t="shared" si="2"/>
        <v>46426</v>
      </c>
      <c r="AA18" s="166">
        <f t="shared" si="2"/>
        <v>46433</v>
      </c>
      <c r="AB18" s="166">
        <f t="shared" si="2"/>
        <v>46440</v>
      </c>
      <c r="AC18" s="166">
        <f t="shared" si="2"/>
        <v>46447</v>
      </c>
      <c r="AD18" s="166">
        <f t="shared" si="2"/>
        <v>46454</v>
      </c>
      <c r="AE18" s="166">
        <f t="shared" si="2"/>
        <v>46461</v>
      </c>
      <c r="AF18" s="166">
        <f t="shared" si="2"/>
        <v>46468</v>
      </c>
      <c r="AG18" s="166">
        <f t="shared" si="2"/>
        <v>46475</v>
      </c>
      <c r="AH18" s="166">
        <f t="shared" si="2"/>
        <v>46482</v>
      </c>
      <c r="AI18" s="166">
        <f t="shared" si="2"/>
        <v>46489</v>
      </c>
      <c r="AJ18" s="166">
        <f t="shared" si="2"/>
        <v>46496</v>
      </c>
      <c r="AK18" s="166">
        <f t="shared" si="2"/>
        <v>46503</v>
      </c>
      <c r="AL18" s="166">
        <f t="shared" si="2"/>
        <v>46510</v>
      </c>
      <c r="AM18" s="166">
        <f t="shared" si="2"/>
        <v>46517</v>
      </c>
      <c r="AN18" s="166">
        <f t="shared" ref="AN18:BG18" si="3">AN$5</f>
        <v>46524</v>
      </c>
      <c r="AO18" s="166">
        <f t="shared" si="3"/>
        <v>46531</v>
      </c>
      <c r="AP18" s="166">
        <f t="shared" si="3"/>
        <v>46538</v>
      </c>
      <c r="AQ18" s="166">
        <f t="shared" si="3"/>
        <v>46545</v>
      </c>
      <c r="AR18" s="166">
        <f t="shared" si="3"/>
        <v>46552</v>
      </c>
      <c r="AS18" s="166">
        <f t="shared" si="3"/>
        <v>46559</v>
      </c>
      <c r="AT18" s="166">
        <f t="shared" si="3"/>
        <v>46566</v>
      </c>
      <c r="AU18" s="166">
        <f t="shared" si="3"/>
        <v>46573</v>
      </c>
      <c r="AV18" s="166">
        <f t="shared" si="3"/>
        <v>46580</v>
      </c>
      <c r="AW18" s="166">
        <f t="shared" si="3"/>
        <v>46587</v>
      </c>
      <c r="AX18" s="166">
        <f t="shared" si="3"/>
        <v>46594</v>
      </c>
      <c r="AY18" s="166">
        <f t="shared" si="3"/>
        <v>46601</v>
      </c>
      <c r="AZ18" s="166">
        <f t="shared" si="3"/>
        <v>46608</v>
      </c>
      <c r="BA18" s="166">
        <f t="shared" si="3"/>
        <v>46615</v>
      </c>
      <c r="BB18" s="166">
        <f t="shared" si="3"/>
        <v>46622</v>
      </c>
      <c r="BC18" s="166">
        <f t="shared" si="3"/>
        <v>46629</v>
      </c>
      <c r="BD18" s="166">
        <f t="shared" si="3"/>
        <v>46636</v>
      </c>
      <c r="BE18" s="166">
        <f t="shared" si="3"/>
        <v>46643</v>
      </c>
      <c r="BF18" s="166">
        <f t="shared" si="3"/>
        <v>46650</v>
      </c>
      <c r="BG18" s="166">
        <f t="shared" si="3"/>
        <v>46657</v>
      </c>
      <c r="BI18" s="149" t="s">
        <v>168</v>
      </c>
      <c r="BJ18" s="149" t="s">
        <v>159</v>
      </c>
      <c r="BK18" s="149" t="s">
        <v>121</v>
      </c>
      <c r="BL18" s="149" t="s">
        <v>122</v>
      </c>
      <c r="BM18" s="149" t="s">
        <v>160</v>
      </c>
      <c r="BN18" s="149" t="s">
        <v>169</v>
      </c>
      <c r="BP18" s="149" t="s">
        <v>170</v>
      </c>
    </row>
    <row r="19" spans="1:68" x14ac:dyDescent="0.25">
      <c r="A19" s="171"/>
      <c r="B19" s="173" t="str">
        <f>IF(A20="","",A20&amp;" · "&amp;B20)</f>
        <v>2256 · Marigold Promenade</v>
      </c>
      <c r="C19" s="171" t="str">
        <f>IF(A20="","",C20)</f>
        <v>Active</v>
      </c>
      <c r="D19" s="171"/>
      <c r="E19" s="172">
        <f>SUM(E20:E27)</f>
        <v>81</v>
      </c>
      <c r="F19" s="172">
        <f>SUM(F20:F27)</f>
        <v>80</v>
      </c>
      <c r="G19" s="172">
        <f>IF(E19=0,"",E19-F19)</f>
        <v>1</v>
      </c>
      <c r="H19" s="174">
        <f t="shared" ref="H19:AM19" si="4">SUM(H20:H27)</f>
        <v>0</v>
      </c>
      <c r="I19" s="174">
        <f t="shared" si="4"/>
        <v>0</v>
      </c>
      <c r="J19" s="174">
        <f t="shared" si="4"/>
        <v>0</v>
      </c>
      <c r="K19" s="174">
        <f t="shared" si="4"/>
        <v>0</v>
      </c>
      <c r="L19" s="174">
        <f t="shared" si="4"/>
        <v>0</v>
      </c>
      <c r="M19" s="174">
        <f t="shared" si="4"/>
        <v>0</v>
      </c>
      <c r="N19" s="174">
        <f t="shared" si="4"/>
        <v>0</v>
      </c>
      <c r="O19" s="174">
        <f t="shared" si="4"/>
        <v>0</v>
      </c>
      <c r="P19" s="174">
        <f t="shared" si="4"/>
        <v>0</v>
      </c>
      <c r="Q19" s="174">
        <f t="shared" si="4"/>
        <v>0</v>
      </c>
      <c r="R19" s="174">
        <f t="shared" si="4"/>
        <v>0</v>
      </c>
      <c r="S19" s="174">
        <f t="shared" si="4"/>
        <v>0</v>
      </c>
      <c r="T19" s="174">
        <f t="shared" si="4"/>
        <v>0</v>
      </c>
      <c r="U19" s="174">
        <f t="shared" si="4"/>
        <v>0</v>
      </c>
      <c r="V19" s="174">
        <f t="shared" si="4"/>
        <v>0</v>
      </c>
      <c r="W19" s="174">
        <f t="shared" si="4"/>
        <v>0</v>
      </c>
      <c r="X19" s="174">
        <f t="shared" si="4"/>
        <v>0</v>
      </c>
      <c r="Y19" s="174">
        <f t="shared" si="4"/>
        <v>0</v>
      </c>
      <c r="Z19" s="174">
        <f t="shared" si="4"/>
        <v>0</v>
      </c>
      <c r="AA19" s="174">
        <f t="shared" si="4"/>
        <v>0</v>
      </c>
      <c r="AB19" s="174">
        <f t="shared" si="4"/>
        <v>0</v>
      </c>
      <c r="AC19" s="174">
        <f t="shared" si="4"/>
        <v>0</v>
      </c>
      <c r="AD19" s="174">
        <f t="shared" si="4"/>
        <v>0</v>
      </c>
      <c r="AE19" s="174">
        <f t="shared" si="4"/>
        <v>0</v>
      </c>
      <c r="AF19" s="174">
        <f t="shared" si="4"/>
        <v>0</v>
      </c>
      <c r="AG19" s="174">
        <f t="shared" si="4"/>
        <v>0</v>
      </c>
      <c r="AH19" s="174">
        <f t="shared" si="4"/>
        <v>6</v>
      </c>
      <c r="AI19" s="174">
        <f t="shared" si="4"/>
        <v>6</v>
      </c>
      <c r="AJ19" s="174">
        <f t="shared" si="4"/>
        <v>6</v>
      </c>
      <c r="AK19" s="174">
        <f t="shared" si="4"/>
        <v>6</v>
      </c>
      <c r="AL19" s="174">
        <f t="shared" si="4"/>
        <v>6</v>
      </c>
      <c r="AM19" s="174">
        <f t="shared" si="4"/>
        <v>6</v>
      </c>
      <c r="AN19" s="174">
        <f t="shared" ref="AN19:BG19" si="5">SUM(AN20:AN27)</f>
        <v>6</v>
      </c>
      <c r="AO19" s="174">
        <f t="shared" si="5"/>
        <v>6</v>
      </c>
      <c r="AP19" s="174">
        <f t="shared" si="5"/>
        <v>6</v>
      </c>
      <c r="AQ19" s="174">
        <f t="shared" si="5"/>
        <v>6</v>
      </c>
      <c r="AR19" s="174">
        <f t="shared" si="5"/>
        <v>6</v>
      </c>
      <c r="AS19" s="174">
        <f t="shared" si="5"/>
        <v>6</v>
      </c>
      <c r="AT19" s="174">
        <f t="shared" si="5"/>
        <v>6</v>
      </c>
      <c r="AU19" s="174">
        <f t="shared" si="5"/>
        <v>2</v>
      </c>
      <c r="AV19" s="174">
        <f t="shared" si="5"/>
        <v>0</v>
      </c>
      <c r="AW19" s="174">
        <f t="shared" si="5"/>
        <v>0</v>
      </c>
      <c r="AX19" s="174">
        <f t="shared" si="5"/>
        <v>0</v>
      </c>
      <c r="AY19" s="174">
        <f t="shared" si="5"/>
        <v>0</v>
      </c>
      <c r="AZ19" s="174">
        <f t="shared" si="5"/>
        <v>0</v>
      </c>
      <c r="BA19" s="174">
        <f t="shared" si="5"/>
        <v>0</v>
      </c>
      <c r="BB19" s="174">
        <f t="shared" si="5"/>
        <v>0</v>
      </c>
      <c r="BC19" s="174">
        <f t="shared" si="5"/>
        <v>0</v>
      </c>
      <c r="BD19" s="174">
        <f t="shared" si="5"/>
        <v>0</v>
      </c>
      <c r="BE19" s="174">
        <f t="shared" si="5"/>
        <v>0</v>
      </c>
      <c r="BF19" s="174">
        <f t="shared" si="5"/>
        <v>0</v>
      </c>
      <c r="BG19" s="174">
        <f t="shared" si="5"/>
        <v>0</v>
      </c>
      <c r="BI19" s="149"/>
      <c r="BJ19" s="149"/>
      <c r="BK19" s="149"/>
      <c r="BL19" s="149"/>
      <c r="BM19" s="149"/>
      <c r="BN19" s="149"/>
      <c r="BP19" s="149"/>
    </row>
    <row r="20" spans="1:68" outlineLevel="1" x14ac:dyDescent="0.25">
      <c r="A20" s="167">
        <v>2256</v>
      </c>
      <c r="B20" s="168" t="str" cm="1">
        <f t="array" ref="B20">IF(BI20="","",INDEX(pjName,BI20))</f>
        <v>Marigold Promenade</v>
      </c>
      <c r="C20" s="167" t="str" cm="1">
        <f t="array" ref="C20">IF(BI20="","",IF(INDEX(pjStatus,BI20)="","",INDEX(pjStatus,BI20)))</f>
        <v>Active</v>
      </c>
      <c r="D20" s="167" t="str" cm="1">
        <f t="array" ref="D20">IFERROR(INDEX(tblStaff[Initials],BN20),"")</f>
        <v>PK</v>
      </c>
      <c r="E20" s="169" cm="1">
        <f t="array" ref="E20">IF(OR(BI20="",D20=""),"",IFERROR(SUMPRODUCT((pjNo=A20)*(pjType="Phase")*INDEX(Projects!$I$5:$O$1188,0,MATCH(D20,Projects!$I$4:$O$4,0))*pjWk),0))</f>
        <v>27</v>
      </c>
      <c r="F20" s="169">
        <f t="shared" ref="F20:F27" si="6">IF(BI20="","",SUM(H20:BG20))</f>
        <v>26</v>
      </c>
      <c r="G20" s="169">
        <f t="shared" ref="G20:G27" si="7">IF(OR(E20="",F20=""),"",E20-F20)</f>
        <v>1</v>
      </c>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v>2</v>
      </c>
      <c r="AI20" s="170">
        <v>2</v>
      </c>
      <c r="AJ20" s="170">
        <v>2</v>
      </c>
      <c r="AK20" s="170">
        <v>2</v>
      </c>
      <c r="AL20" s="170">
        <v>2</v>
      </c>
      <c r="AM20" s="170">
        <v>2</v>
      </c>
      <c r="AN20" s="170">
        <v>2</v>
      </c>
      <c r="AO20" s="170">
        <v>2</v>
      </c>
      <c r="AP20" s="170">
        <v>2</v>
      </c>
      <c r="AQ20" s="170">
        <v>2</v>
      </c>
      <c r="AR20" s="170">
        <v>2</v>
      </c>
      <c r="AS20" s="170">
        <v>2</v>
      </c>
      <c r="AT20" s="170">
        <v>2</v>
      </c>
      <c r="AU20" s="170"/>
      <c r="AV20" s="170"/>
      <c r="AW20" s="170"/>
      <c r="AX20" s="170"/>
      <c r="AY20" s="170"/>
      <c r="AZ20" s="170"/>
      <c r="BA20" s="170"/>
      <c r="BB20" s="170"/>
      <c r="BC20" s="170"/>
      <c r="BD20" s="170"/>
      <c r="BE20" s="170"/>
      <c r="BF20" s="170"/>
      <c r="BG20" s="170"/>
      <c r="BH20" s="36"/>
      <c r="BI20" s="150" cm="1">
        <f t="array" ref="BI20">IF(A20="","",IFERROR(MATCH(1,INDEX((pjNo=A20)*(pjType="Project"),0),0),""))</f>
        <v>1</v>
      </c>
      <c r="BJ20" s="150" t="str">
        <f>IF(D20="","",IFERROR(INDEX(tblStaff[Staff Level],MATCH(D20,tblStaff[Initials],0)),"?"))</f>
        <v>Principal</v>
      </c>
      <c r="BK20" s="151" cm="1">
        <f t="array" ref="BK20">IF(BI20="","",INDEX(pjStart,BI20))</f>
        <v>46478</v>
      </c>
      <c r="BL20" s="151" cm="1">
        <f t="array" ref="BL20">IF(BI20="","",INDEX(pjEnd,BI20))</f>
        <v>46665</v>
      </c>
      <c r="BM20" s="150">
        <f>IF(BI20="",0,IF(C20="Active",1,IF(C20="Prospective",IF(Assumptions!$B$6="Active only",0,Assumptions!$B$7),0)))</f>
        <v>1</v>
      </c>
      <c r="BN20" s="150">
        <v>1</v>
      </c>
      <c r="BO20" s="36"/>
      <c r="BP20" s="36" t="str" cm="1">
        <f t="array" ref="BP20">IFERROR(_xlfn.LET(_xlpm.h,_xlfn._xlws.FILTER(pjNo,(pjType="Project")*(pjNo&lt;&gt;"")),_xlfn._xlws.FILTER(_xlpm.h,ISNA(MATCH(_xlpm.h,$A$20:$A$270,0)),"")),"")</f>
        <v/>
      </c>
    </row>
    <row r="21" spans="1:68" outlineLevel="1" x14ac:dyDescent="0.25">
      <c r="A21" s="167">
        <v>2256</v>
      </c>
      <c r="B21" s="168" t="str" cm="1">
        <f t="array" ref="B21">IF(BI21="","",INDEX(pjName,BI21))</f>
        <v>Marigold Promenade</v>
      </c>
      <c r="C21" s="167" t="str" cm="1">
        <f t="array" ref="C21">IF(BI21="","",IF(INDEX(pjStatus,BI21)="","",INDEX(pjStatus,BI21)))</f>
        <v>Active</v>
      </c>
      <c r="D21" s="167" t="str" cm="1">
        <f t="array" ref="D21">IFERROR(INDEX(tblStaff[Initials],BN21),"")</f>
        <v>DF</v>
      </c>
      <c r="E21" s="169" cm="1">
        <f t="array" ref="E21">IF(OR(BI21="",D21=""),"",IFERROR(SUMPRODUCT((pjNo=A21)*(pjType="Phase")*INDEX(Projects!$I$5:$O$1188,0,MATCH(D21,Projects!$I$4:$O$4,0))*pjWk),0))</f>
        <v>0</v>
      </c>
      <c r="F21" s="169">
        <f t="shared" si="6"/>
        <v>0</v>
      </c>
      <c r="G21" s="169">
        <f t="shared" si="7"/>
        <v>0</v>
      </c>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36"/>
      <c r="BI21" s="150" cm="1">
        <f t="array" ref="BI21">IF(A21="","",IFERROR(MATCH(1,INDEX((pjNo=A21)*(pjType="Project"),0),0),""))</f>
        <v>1</v>
      </c>
      <c r="BJ21" s="150" t="str">
        <f>IF(D21="","",IFERROR(INDEX(tblStaff[Staff Level],MATCH(D21,tblStaff[Initials],0)),"?"))</f>
        <v>Principal</v>
      </c>
      <c r="BK21" s="151" cm="1">
        <f t="array" ref="BK21">IF(BI21="","",INDEX(pjStart,BI21))</f>
        <v>46478</v>
      </c>
      <c r="BL21" s="151" cm="1">
        <f t="array" ref="BL21">IF(BI21="","",INDEX(pjEnd,BI21))</f>
        <v>46665</v>
      </c>
      <c r="BM21" s="150">
        <f>IF(BI21="",0,IF(C21="Active",1,IF(C21="Prospective",IF(Assumptions!$B$6="Active only",0,Assumptions!$B$7),0)))</f>
        <v>1</v>
      </c>
      <c r="BN21" s="150">
        <v>2</v>
      </c>
      <c r="BO21" s="36"/>
      <c r="BP21" s="36"/>
    </row>
    <row r="22" spans="1:68" outlineLevel="1" x14ac:dyDescent="0.25">
      <c r="A22" s="158">
        <v>2256</v>
      </c>
      <c r="B22" s="157" t="str" cm="1">
        <f t="array" ref="B22">IF(BI22="","",INDEX(pjName,BI22))</f>
        <v>Marigold Promenade</v>
      </c>
      <c r="C22" s="158" t="str" cm="1">
        <f t="array" ref="C22">IF(BI22="","",IF(INDEX(pjStatus,BI22)="","",INDEX(pjStatus,BI22)))</f>
        <v>Active</v>
      </c>
      <c r="D22" s="158" t="str" cm="1">
        <f t="array" ref="D22">IFERROR(INDEX(tblStaff[Initials],BN22),"")</f>
        <v>KJ</v>
      </c>
      <c r="E22" s="159" cm="1">
        <f t="array" ref="E22">IF(OR(BI22="",D22=""),"",IFERROR(SUMPRODUCT((pjNo=A22)*(pjType="Phase")*INDEX(Projects!$I$5:$O$1188,0,MATCH(D22,Projects!$I$4:$O$4,0))*pjWk),0))</f>
        <v>54</v>
      </c>
      <c r="F22" s="159">
        <f t="shared" si="6"/>
        <v>54</v>
      </c>
      <c r="G22" s="159">
        <f t="shared" si="7"/>
        <v>0</v>
      </c>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v>4</v>
      </c>
      <c r="AI22" s="160">
        <v>4</v>
      </c>
      <c r="AJ22" s="160">
        <v>4</v>
      </c>
      <c r="AK22" s="160">
        <v>4</v>
      </c>
      <c r="AL22" s="160">
        <v>4</v>
      </c>
      <c r="AM22" s="160">
        <v>4</v>
      </c>
      <c r="AN22" s="160">
        <v>4</v>
      </c>
      <c r="AO22" s="160">
        <v>4</v>
      </c>
      <c r="AP22" s="160">
        <v>4</v>
      </c>
      <c r="AQ22" s="160">
        <v>4</v>
      </c>
      <c r="AR22" s="160">
        <v>4</v>
      </c>
      <c r="AS22" s="160">
        <v>4</v>
      </c>
      <c r="AT22" s="160">
        <v>4</v>
      </c>
      <c r="AU22" s="160">
        <v>2</v>
      </c>
      <c r="AV22" s="160"/>
      <c r="AW22" s="160"/>
      <c r="AX22" s="160"/>
      <c r="AY22" s="160"/>
      <c r="AZ22" s="160"/>
      <c r="BA22" s="160"/>
      <c r="BB22" s="160"/>
      <c r="BC22" s="160"/>
      <c r="BD22" s="160"/>
      <c r="BE22" s="160"/>
      <c r="BF22" s="160"/>
      <c r="BG22" s="160"/>
      <c r="BH22" s="36"/>
      <c r="BI22" s="150" cm="1">
        <f t="array" ref="BI22">IF(A22="","",IFERROR(MATCH(1,INDEX((pjNo=A22)*(pjType="Project"),0),0),""))</f>
        <v>1</v>
      </c>
      <c r="BJ22" s="150" t="str">
        <f>IF(D22="","",IFERROR(INDEX(tblStaff[Staff Level],MATCH(D22,tblStaff[Initials],0)),"?"))</f>
        <v>Director</v>
      </c>
      <c r="BK22" s="151" cm="1">
        <f t="array" ref="BK22">IF(BI22="","",INDEX(pjStart,BI22))</f>
        <v>46478</v>
      </c>
      <c r="BL22" s="151" cm="1">
        <f t="array" ref="BL22">IF(BI22="","",INDEX(pjEnd,BI22))</f>
        <v>46665</v>
      </c>
      <c r="BM22" s="150">
        <f>IF(BI22="",0,IF(C22="Active",1,IF(C22="Prospective",IF(Assumptions!$B$6="Active only",0,Assumptions!$B$7),0)))</f>
        <v>1</v>
      </c>
      <c r="BN22" s="150">
        <v>3</v>
      </c>
      <c r="BO22" s="36"/>
      <c r="BP22" s="36"/>
    </row>
    <row r="23" spans="1:68" outlineLevel="1" x14ac:dyDescent="0.25">
      <c r="A23" s="158">
        <v>2256</v>
      </c>
      <c r="B23" s="157" t="str" cm="1">
        <f t="array" ref="B23">IF(BI23="","",INDEX(pjName,BI23))</f>
        <v>Marigold Promenade</v>
      </c>
      <c r="C23" s="158" t="str" cm="1">
        <f t="array" ref="C23">IF(BI23="","",IF(INDEX(pjStatus,BI23)="","",INDEX(pjStatus,BI23)))</f>
        <v>Active</v>
      </c>
      <c r="D23" s="158" t="str" cm="1">
        <f t="array" ref="D23">IFERROR(INDEX(tblStaff[Initials],BN23),"")</f>
        <v>HL</v>
      </c>
      <c r="E23" s="159" cm="1">
        <f t="array" ref="E23">IF(OR(BI23="",D23=""),"",IFERROR(SUMPRODUCT((pjNo=A23)*(pjType="Phase")*INDEX(Projects!$I$5:$O$1188,0,MATCH(D23,Projects!$I$4:$O$4,0))*pjWk),0))</f>
        <v>0</v>
      </c>
      <c r="F23" s="159">
        <f t="shared" si="6"/>
        <v>0</v>
      </c>
      <c r="G23" s="159">
        <f t="shared" si="7"/>
        <v>0</v>
      </c>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36"/>
      <c r="BI23" s="150" cm="1">
        <f t="array" ref="BI23">IF(A23="","",IFERROR(MATCH(1,INDEX((pjNo=A23)*(pjType="Project"),0),0),""))</f>
        <v>1</v>
      </c>
      <c r="BJ23" s="150" t="str">
        <f>IF(D23="","",IFERROR(INDEX(tblStaff[Staff Level],MATCH(D23,tblStaff[Initials],0)),"?"))</f>
        <v>Senior Designer</v>
      </c>
      <c r="BK23" s="151" cm="1">
        <f t="array" ref="BK23">IF(BI23="","",INDEX(pjStart,BI23))</f>
        <v>46478</v>
      </c>
      <c r="BL23" s="151" cm="1">
        <f t="array" ref="BL23">IF(BI23="","",INDEX(pjEnd,BI23))</f>
        <v>46665</v>
      </c>
      <c r="BM23" s="150">
        <f>IF(BI23="",0,IF(C23="Active",1,IF(C23="Prospective",IF(Assumptions!$B$6="Active only",0,Assumptions!$B$7),0)))</f>
        <v>1</v>
      </c>
      <c r="BN23" s="150">
        <v>4</v>
      </c>
      <c r="BO23" s="36"/>
      <c r="BP23" s="36"/>
    </row>
    <row r="24" spans="1:68" outlineLevel="1" x14ac:dyDescent="0.25">
      <c r="A24" s="158">
        <v>2256</v>
      </c>
      <c r="B24" s="157" t="str" cm="1">
        <f t="array" ref="B24">IF(BI24="","",INDEX(pjName,BI24))</f>
        <v>Marigold Promenade</v>
      </c>
      <c r="C24" s="158" t="str" cm="1">
        <f t="array" ref="C24">IF(BI24="","",IF(INDEX(pjStatus,BI24)="","",INDEX(pjStatus,BI24)))</f>
        <v>Active</v>
      </c>
      <c r="D24" s="158" t="str" cm="1">
        <f t="array" ref="D24">IFERROR(INDEX(tblStaff[Initials],BN24),"")</f>
        <v>EHH</v>
      </c>
      <c r="E24" s="159" cm="1">
        <f t="array" ref="E24">IF(OR(BI24="",D24=""),"",IFERROR(SUMPRODUCT((pjNo=A24)*(pjType="Phase")*INDEX(Projects!$I$5:$O$1188,0,MATCH(D24,Projects!$I$4:$O$4,0))*pjWk),0))</f>
        <v>0</v>
      </c>
      <c r="F24" s="159">
        <f t="shared" si="6"/>
        <v>0</v>
      </c>
      <c r="G24" s="159">
        <f t="shared" si="7"/>
        <v>0</v>
      </c>
      <c r="H24" s="160"/>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c r="AK24" s="160"/>
      <c r="AL24" s="160"/>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36"/>
      <c r="BI24" s="150" cm="1">
        <f t="array" ref="BI24">IF(A24="","",IFERROR(MATCH(1,INDEX((pjNo=A24)*(pjType="Project"),0),0),""))</f>
        <v>1</v>
      </c>
      <c r="BJ24" s="150" t="str">
        <f>IF(D24="","",IFERROR(INDEX(tblStaff[Staff Level],MATCH(D24,tblStaff[Initials],0)),"?"))</f>
        <v>Mid Level Designer</v>
      </c>
      <c r="BK24" s="151" cm="1">
        <f t="array" ref="BK24">IF(BI24="","",INDEX(pjStart,BI24))</f>
        <v>46478</v>
      </c>
      <c r="BL24" s="151" cm="1">
        <f t="array" ref="BL24">IF(BI24="","",INDEX(pjEnd,BI24))</f>
        <v>46665</v>
      </c>
      <c r="BM24" s="150">
        <f>IF(BI24="",0,IF(C24="Active",1,IF(C24="Prospective",IF(Assumptions!$B$6="Active only",0,Assumptions!$B$7),0)))</f>
        <v>1</v>
      </c>
      <c r="BN24" s="150">
        <v>5</v>
      </c>
      <c r="BO24" s="36"/>
      <c r="BP24" s="36"/>
    </row>
    <row r="25" spans="1:68" outlineLevel="1" x14ac:dyDescent="0.25">
      <c r="A25" s="158">
        <v>2256</v>
      </c>
      <c r="B25" s="157" t="str" cm="1">
        <f t="array" ref="B25">IF(BI25="","",INDEX(pjName,BI25))</f>
        <v>Marigold Promenade</v>
      </c>
      <c r="C25" s="158" t="str" cm="1">
        <f t="array" ref="C25">IF(BI25="","",IF(INDEX(pjStatus,BI25)="","",INDEX(pjStatus,BI25)))</f>
        <v>Active</v>
      </c>
      <c r="D25" s="158" t="str" cm="1">
        <f t="array" ref="D25">IFERROR(INDEX(tblStaff[Initials],BN25),"")</f>
        <v>KD</v>
      </c>
      <c r="E25" s="159" cm="1">
        <f t="array" ref="E25">IF(OR(BI25="",D25=""),"",IFERROR(SUMPRODUCT((pjNo=A25)*(pjType="Phase")*INDEX(Projects!$I$5:$O$1188,0,MATCH(D25,Projects!$I$4:$O$4,0))*pjWk),0))</f>
        <v>0</v>
      </c>
      <c r="F25" s="159">
        <f t="shared" si="6"/>
        <v>0</v>
      </c>
      <c r="G25" s="159">
        <f t="shared" si="7"/>
        <v>0</v>
      </c>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36"/>
      <c r="BI25" s="150" cm="1">
        <f t="array" ref="BI25">IF(A25="","",IFERROR(MATCH(1,INDEX((pjNo=A25)*(pjType="Project"),0),0),""))</f>
        <v>1</v>
      </c>
      <c r="BJ25" s="150" t="str">
        <f>IF(D25="","",IFERROR(INDEX(tblStaff[Staff Level],MATCH(D25,tblStaff[Initials],0)),"?"))</f>
        <v>Mid Level Designer</v>
      </c>
      <c r="BK25" s="151" cm="1">
        <f t="array" ref="BK25">IF(BI25="","",INDEX(pjStart,BI25))</f>
        <v>46478</v>
      </c>
      <c r="BL25" s="151" cm="1">
        <f t="array" ref="BL25">IF(BI25="","",INDEX(pjEnd,BI25))</f>
        <v>46665</v>
      </c>
      <c r="BM25" s="150">
        <f>IF(BI25="",0,IF(C25="Active",1,IF(C25="Prospective",IF(Assumptions!$B$6="Active only",0,Assumptions!$B$7),0)))</f>
        <v>1</v>
      </c>
      <c r="BN25" s="150">
        <v>6</v>
      </c>
      <c r="BO25" s="36"/>
      <c r="BP25" s="36"/>
    </row>
    <row r="26" spans="1:68" outlineLevel="1" x14ac:dyDescent="0.25">
      <c r="A26" s="158">
        <v>2256</v>
      </c>
      <c r="B26" s="157" t="str" cm="1">
        <f t="array" ref="B26">IF(BI26="","",INDEX(pjName,BI26))</f>
        <v>Marigold Promenade</v>
      </c>
      <c r="C26" s="158" t="str" cm="1">
        <f t="array" ref="C26">IF(BI26="","",IF(INDEX(pjStatus,BI26)="","",INDEX(pjStatus,BI26)))</f>
        <v>Active</v>
      </c>
      <c r="D26" s="158" t="str" cm="1">
        <f t="array" ref="D26">IFERROR(INDEX(tblStaff[Initials],BN26),"")</f>
        <v>XX</v>
      </c>
      <c r="E26" s="159" cm="1">
        <f t="array" ref="E26">IF(OR(BI26="",D26=""),"",IFERROR(SUMPRODUCT((pjNo=A26)*(pjType="Phase")*INDEX(Projects!$I$5:$O$1188,0,MATCH(D26,Projects!$I$4:$O$4,0))*pjWk),0))</f>
        <v>0</v>
      </c>
      <c r="F26" s="159">
        <f t="shared" si="6"/>
        <v>0</v>
      </c>
      <c r="G26" s="159">
        <f t="shared" si="7"/>
        <v>0</v>
      </c>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36"/>
      <c r="BI26" s="150" cm="1">
        <f t="array" ref="BI26">IF(A26="","",IFERROR(MATCH(1,INDEX((pjNo=A26)*(pjType="Project"),0),0),""))</f>
        <v>1</v>
      </c>
      <c r="BJ26" s="150" t="str">
        <f>IF(D26="","",IFERROR(INDEX(tblStaff[Staff Level],MATCH(D26,tblStaff[Initials],0)),"?"))</f>
        <v>Project Designer</v>
      </c>
      <c r="BK26" s="151" cm="1">
        <f t="array" ref="BK26">IF(BI26="","",INDEX(pjStart,BI26))</f>
        <v>46478</v>
      </c>
      <c r="BL26" s="151" cm="1">
        <f t="array" ref="BL26">IF(BI26="","",INDEX(pjEnd,BI26))</f>
        <v>46665</v>
      </c>
      <c r="BM26" s="150">
        <f>IF(BI26="",0,IF(C26="Active",1,IF(C26="Prospective",IF(Assumptions!$B$6="Active only",0,Assumptions!$B$7),0)))</f>
        <v>1</v>
      </c>
      <c r="BN26" s="150">
        <v>7</v>
      </c>
      <c r="BO26" s="36"/>
      <c r="BP26" s="36"/>
    </row>
    <row r="27" spans="1:68" outlineLevel="1" x14ac:dyDescent="0.25">
      <c r="A27" s="162">
        <v>2256</v>
      </c>
      <c r="B27" s="161" t="str" cm="1">
        <f t="array" ref="B27">IF(BI27="","",INDEX(pjName,BI27))</f>
        <v>Marigold Promenade</v>
      </c>
      <c r="C27" s="162" t="str" cm="1">
        <f t="array" ref="C27">IF(BI27="","",IF(INDEX(pjStatus,BI27)="","",INDEX(pjStatus,BI27)))</f>
        <v>Active</v>
      </c>
      <c r="D27" s="162" t="str" cm="1">
        <f t="array" ref="D27">IFERROR(INDEX(tblStaff[Initials],BN27),"")</f>
        <v/>
      </c>
      <c r="E27" s="163" t="str" cm="1">
        <f t="array" ref="E27">IF(OR(BI27="",D27=""),"",IFERROR(SUMPRODUCT((pjNo=A27)*(pjType="Phase")*INDEX(Projects!$I$5:$O$1188,0,MATCH(D27,Projects!$I$4:$O$4,0))*pjWk),0))</f>
        <v/>
      </c>
      <c r="F27" s="163">
        <f t="shared" si="6"/>
        <v>0</v>
      </c>
      <c r="G27" s="163" t="str">
        <f t="shared" si="7"/>
        <v/>
      </c>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36"/>
      <c r="BI27" s="150" cm="1">
        <f t="array" ref="BI27">IF(A27="","",IFERROR(MATCH(1,INDEX((pjNo=A27)*(pjType="Project"),0),0),""))</f>
        <v>1</v>
      </c>
      <c r="BJ27" s="150" t="str">
        <f>IF(D27="","",IFERROR(INDEX(tblStaff[Staff Level],MATCH(D27,tblStaff[Initials],0)),"?"))</f>
        <v/>
      </c>
      <c r="BK27" s="151" cm="1">
        <f t="array" ref="BK27">IF(BI27="","",INDEX(pjStart,BI27))</f>
        <v>46478</v>
      </c>
      <c r="BL27" s="151" cm="1">
        <f t="array" ref="BL27">IF(BI27="","",INDEX(pjEnd,BI27))</f>
        <v>46665</v>
      </c>
      <c r="BM27" s="150">
        <f>IF(BI27="",0,IF(C27="Active",1,IF(C27="Prospective",IF(Assumptions!$B$6="Active only",0,Assumptions!$B$7),0)))</f>
        <v>1</v>
      </c>
      <c r="BN27" s="150">
        <v>8</v>
      </c>
      <c r="BO27" s="36"/>
      <c r="BP27" s="36"/>
    </row>
    <row r="28" spans="1:68" x14ac:dyDescent="0.25">
      <c r="A28" s="171"/>
      <c r="B28" s="173" t="str">
        <f>IF(A29="","",A29&amp;" · "&amp;B29)</f>
        <v>2348 · Fairhaven Senior Housing</v>
      </c>
      <c r="C28" s="171" t="str">
        <f>IF(A29="","",C29)</f>
        <v>Inactive</v>
      </c>
      <c r="D28" s="171"/>
      <c r="E28" s="172">
        <f>SUM(E29:E36)</f>
        <v>0</v>
      </c>
      <c r="F28" s="172">
        <f>SUM(F29:F36)</f>
        <v>0</v>
      </c>
      <c r="G28" s="172" t="str">
        <f>IF(E28=0,"",E28-F28)</f>
        <v/>
      </c>
      <c r="H28" s="174">
        <f t="shared" ref="H28:AM28" si="8">SUM(H29:H36)</f>
        <v>0</v>
      </c>
      <c r="I28" s="174">
        <f t="shared" si="8"/>
        <v>0</v>
      </c>
      <c r="J28" s="174">
        <f t="shared" si="8"/>
        <v>0</v>
      </c>
      <c r="K28" s="174">
        <f t="shared" si="8"/>
        <v>0</v>
      </c>
      <c r="L28" s="174">
        <f t="shared" si="8"/>
        <v>0</v>
      </c>
      <c r="M28" s="174">
        <f t="shared" si="8"/>
        <v>0</v>
      </c>
      <c r="N28" s="174">
        <f t="shared" si="8"/>
        <v>0</v>
      </c>
      <c r="O28" s="174">
        <f t="shared" si="8"/>
        <v>0</v>
      </c>
      <c r="P28" s="174">
        <f t="shared" si="8"/>
        <v>0</v>
      </c>
      <c r="Q28" s="174">
        <f t="shared" si="8"/>
        <v>0</v>
      </c>
      <c r="R28" s="174">
        <f t="shared" si="8"/>
        <v>0</v>
      </c>
      <c r="S28" s="174">
        <f t="shared" si="8"/>
        <v>0</v>
      </c>
      <c r="T28" s="174">
        <f t="shared" si="8"/>
        <v>0</v>
      </c>
      <c r="U28" s="174">
        <f t="shared" si="8"/>
        <v>0</v>
      </c>
      <c r="V28" s="174">
        <f t="shared" si="8"/>
        <v>0</v>
      </c>
      <c r="W28" s="174">
        <f t="shared" si="8"/>
        <v>0</v>
      </c>
      <c r="X28" s="174">
        <f t="shared" si="8"/>
        <v>0</v>
      </c>
      <c r="Y28" s="174">
        <f t="shared" si="8"/>
        <v>0</v>
      </c>
      <c r="Z28" s="174">
        <f t="shared" si="8"/>
        <v>0</v>
      </c>
      <c r="AA28" s="174">
        <f t="shared" si="8"/>
        <v>0</v>
      </c>
      <c r="AB28" s="174">
        <f t="shared" si="8"/>
        <v>0</v>
      </c>
      <c r="AC28" s="174">
        <f t="shared" si="8"/>
        <v>0</v>
      </c>
      <c r="AD28" s="174">
        <f t="shared" si="8"/>
        <v>0</v>
      </c>
      <c r="AE28" s="174">
        <f t="shared" si="8"/>
        <v>0</v>
      </c>
      <c r="AF28" s="174">
        <f t="shared" si="8"/>
        <v>0</v>
      </c>
      <c r="AG28" s="174">
        <f t="shared" si="8"/>
        <v>0</v>
      </c>
      <c r="AH28" s="174">
        <f t="shared" si="8"/>
        <v>0</v>
      </c>
      <c r="AI28" s="174">
        <f t="shared" si="8"/>
        <v>0</v>
      </c>
      <c r="AJ28" s="174">
        <f t="shared" si="8"/>
        <v>0</v>
      </c>
      <c r="AK28" s="174">
        <f t="shared" si="8"/>
        <v>0</v>
      </c>
      <c r="AL28" s="174">
        <f t="shared" si="8"/>
        <v>0</v>
      </c>
      <c r="AM28" s="174">
        <f t="shared" si="8"/>
        <v>0</v>
      </c>
      <c r="AN28" s="174">
        <f t="shared" ref="AN28:BG28" si="9">SUM(AN29:AN36)</f>
        <v>0</v>
      </c>
      <c r="AO28" s="174">
        <f t="shared" si="9"/>
        <v>0</v>
      </c>
      <c r="AP28" s="174">
        <f t="shared" si="9"/>
        <v>0</v>
      </c>
      <c r="AQ28" s="174">
        <f t="shared" si="9"/>
        <v>0</v>
      </c>
      <c r="AR28" s="174">
        <f t="shared" si="9"/>
        <v>0</v>
      </c>
      <c r="AS28" s="174">
        <f t="shared" si="9"/>
        <v>0</v>
      </c>
      <c r="AT28" s="174">
        <f t="shared" si="9"/>
        <v>0</v>
      </c>
      <c r="AU28" s="174">
        <f t="shared" si="9"/>
        <v>0</v>
      </c>
      <c r="AV28" s="174">
        <f t="shared" si="9"/>
        <v>0</v>
      </c>
      <c r="AW28" s="174">
        <f t="shared" si="9"/>
        <v>0</v>
      </c>
      <c r="AX28" s="174">
        <f t="shared" si="9"/>
        <v>0</v>
      </c>
      <c r="AY28" s="174">
        <f t="shared" si="9"/>
        <v>0</v>
      </c>
      <c r="AZ28" s="174">
        <f t="shared" si="9"/>
        <v>0</v>
      </c>
      <c r="BA28" s="174">
        <f t="shared" si="9"/>
        <v>0</v>
      </c>
      <c r="BB28" s="174">
        <f t="shared" si="9"/>
        <v>0</v>
      </c>
      <c r="BC28" s="174">
        <f t="shared" si="9"/>
        <v>0</v>
      </c>
      <c r="BD28" s="174">
        <f t="shared" si="9"/>
        <v>0</v>
      </c>
      <c r="BE28" s="174">
        <f t="shared" si="9"/>
        <v>0</v>
      </c>
      <c r="BF28" s="174">
        <f t="shared" si="9"/>
        <v>0</v>
      </c>
      <c r="BG28" s="174">
        <f t="shared" si="9"/>
        <v>0</v>
      </c>
      <c r="BH28" s="36"/>
      <c r="BI28" s="150"/>
      <c r="BJ28" s="150"/>
      <c r="BK28" s="151"/>
      <c r="BL28" s="151"/>
      <c r="BM28" s="150"/>
      <c r="BN28" s="150"/>
      <c r="BO28" s="36"/>
      <c r="BP28" s="36"/>
    </row>
    <row r="29" spans="1:68" hidden="1" outlineLevel="1" x14ac:dyDescent="0.25">
      <c r="A29" s="167">
        <v>2348</v>
      </c>
      <c r="B29" s="168" t="str" cm="1">
        <f t="array" ref="B29">IF(BI29="","",INDEX(pjName,BI29))</f>
        <v>Fairhaven Senior Housing</v>
      </c>
      <c r="C29" s="167" t="str" cm="1">
        <f t="array" ref="C29">IF(BI29="","",IF(INDEX(pjStatus,BI29)="","",INDEX(pjStatus,BI29)))</f>
        <v>Inactive</v>
      </c>
      <c r="D29" s="167" t="str" cm="1">
        <f t="array" ref="D29">IFERROR(INDEX(tblStaff[Initials],BN29),"")</f>
        <v>PK</v>
      </c>
      <c r="E29" s="169" cm="1">
        <f t="array" ref="E29">IF(OR(BI29="",D29=""),"",IFERROR(SUMPRODUCT((pjNo=A29)*(pjType="Phase")*INDEX(Projects!$I$5:$O$1188,0,MATCH(D29,Projects!$I$4:$O$4,0))*pjWk),0))</f>
        <v>0</v>
      </c>
      <c r="F29" s="169">
        <f t="shared" ref="F29:F36" si="10">IF(BI29="","",SUM(H29:BG29))</f>
        <v>0</v>
      </c>
      <c r="G29" s="169">
        <f t="shared" ref="G29:G36" si="11">IF(OR(E29="",F29=""),"",E29-F29)</f>
        <v>0</v>
      </c>
      <c r="H29" s="170"/>
      <c r="I29" s="170"/>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170"/>
      <c r="BH29" s="36"/>
      <c r="BI29" s="150" cm="1">
        <f t="array" ref="BI29">IF(A29="","",IFERROR(MATCH(1,INDEX((pjNo=A29)*(pjType="Project"),0),0),""))</f>
        <v>3</v>
      </c>
      <c r="BJ29" s="150" t="str">
        <f>IF(D29="","",IFERROR(INDEX(tblStaff[Staff Level],MATCH(D29,tblStaff[Initials],0)),"?"))</f>
        <v>Principal</v>
      </c>
      <c r="BK29" s="151" t="str" cm="1">
        <f t="array" ref="BK29">IF(BI29="","",INDEX(pjStart,BI29))</f>
        <v/>
      </c>
      <c r="BL29" s="151" t="str" cm="1">
        <f t="array" ref="BL29">IF(BI29="","",INDEX(pjEnd,BI29))</f>
        <v/>
      </c>
      <c r="BM29" s="150">
        <f>IF(BI29="",0,IF(C29="Active",1,IF(C29="Prospective",IF(Assumptions!$B$6="Active only",0,Assumptions!$B$7),0)))</f>
        <v>0</v>
      </c>
      <c r="BN29" s="150">
        <v>1</v>
      </c>
      <c r="BO29" s="36"/>
      <c r="BP29" s="36"/>
    </row>
    <row r="30" spans="1:68" hidden="1" outlineLevel="1" x14ac:dyDescent="0.25">
      <c r="A30" s="167">
        <v>2348</v>
      </c>
      <c r="B30" s="168" t="str" cm="1">
        <f t="array" ref="B30">IF(BI30="","",INDEX(pjName,BI30))</f>
        <v>Fairhaven Senior Housing</v>
      </c>
      <c r="C30" s="167" t="str" cm="1">
        <f t="array" ref="C30">IF(BI30="","",IF(INDEX(pjStatus,BI30)="","",INDEX(pjStatus,BI30)))</f>
        <v>Inactive</v>
      </c>
      <c r="D30" s="167" t="str" cm="1">
        <f t="array" ref="D30">IFERROR(INDEX(tblStaff[Initials],BN30),"")</f>
        <v>DF</v>
      </c>
      <c r="E30" s="169" cm="1">
        <f t="array" ref="E30">IF(OR(BI30="",D30=""),"",IFERROR(SUMPRODUCT((pjNo=A30)*(pjType="Phase")*INDEX(Projects!$I$5:$O$1188,0,MATCH(D30,Projects!$I$4:$O$4,0))*pjWk),0))</f>
        <v>0</v>
      </c>
      <c r="F30" s="169">
        <f t="shared" si="10"/>
        <v>0</v>
      </c>
      <c r="G30" s="169">
        <f t="shared" si="11"/>
        <v>0</v>
      </c>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36"/>
      <c r="BI30" s="150" cm="1">
        <f t="array" ref="BI30">IF(A30="","",IFERROR(MATCH(1,INDEX((pjNo=A30)*(pjType="Project"),0),0),""))</f>
        <v>3</v>
      </c>
      <c r="BJ30" s="150" t="str">
        <f>IF(D30="","",IFERROR(INDEX(tblStaff[Staff Level],MATCH(D30,tblStaff[Initials],0)),"?"))</f>
        <v>Principal</v>
      </c>
      <c r="BK30" s="151" t="str" cm="1">
        <f t="array" ref="BK30">IF(BI30="","",INDEX(pjStart,BI30))</f>
        <v/>
      </c>
      <c r="BL30" s="151" t="str" cm="1">
        <f t="array" ref="BL30">IF(BI30="","",INDEX(pjEnd,BI30))</f>
        <v/>
      </c>
      <c r="BM30" s="150">
        <f>IF(BI30="",0,IF(C30="Active",1,IF(C30="Prospective",IF(Assumptions!$B$6="Active only",0,Assumptions!$B$7),0)))</f>
        <v>0</v>
      </c>
      <c r="BN30" s="150">
        <v>2</v>
      </c>
      <c r="BO30" s="36"/>
      <c r="BP30" s="36"/>
    </row>
    <row r="31" spans="1:68" hidden="1" outlineLevel="1" x14ac:dyDescent="0.25">
      <c r="A31" s="158">
        <v>2348</v>
      </c>
      <c r="B31" s="157" t="str" cm="1">
        <f t="array" ref="B31">IF(BI31="","",INDEX(pjName,BI31))</f>
        <v>Fairhaven Senior Housing</v>
      </c>
      <c r="C31" s="158" t="str" cm="1">
        <f t="array" ref="C31">IF(BI31="","",IF(INDEX(pjStatus,BI31)="","",INDEX(pjStatus,BI31)))</f>
        <v>Inactive</v>
      </c>
      <c r="D31" s="158" t="str" cm="1">
        <f t="array" ref="D31">IFERROR(INDEX(tblStaff[Initials],BN31),"")</f>
        <v>KJ</v>
      </c>
      <c r="E31" s="159" cm="1">
        <f t="array" ref="E31">IF(OR(BI31="",D31=""),"",IFERROR(SUMPRODUCT((pjNo=A31)*(pjType="Phase")*INDEX(Projects!$I$5:$O$1188,0,MATCH(D31,Projects!$I$4:$O$4,0))*pjWk),0))</f>
        <v>0</v>
      </c>
      <c r="F31" s="159">
        <f t="shared" si="10"/>
        <v>0</v>
      </c>
      <c r="G31" s="159">
        <f t="shared" si="11"/>
        <v>0</v>
      </c>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36"/>
      <c r="BI31" s="150" cm="1">
        <f t="array" ref="BI31">IF(A31="","",IFERROR(MATCH(1,INDEX((pjNo=A31)*(pjType="Project"),0),0),""))</f>
        <v>3</v>
      </c>
      <c r="BJ31" s="150" t="str">
        <f>IF(D31="","",IFERROR(INDEX(tblStaff[Staff Level],MATCH(D31,tblStaff[Initials],0)),"?"))</f>
        <v>Director</v>
      </c>
      <c r="BK31" s="151" t="str" cm="1">
        <f t="array" ref="BK31">IF(BI31="","",INDEX(pjStart,BI31))</f>
        <v/>
      </c>
      <c r="BL31" s="151" t="str" cm="1">
        <f t="array" ref="BL31">IF(BI31="","",INDEX(pjEnd,BI31))</f>
        <v/>
      </c>
      <c r="BM31" s="150">
        <f>IF(BI31="",0,IF(C31="Active",1,IF(C31="Prospective",IF(Assumptions!$B$6="Active only",0,Assumptions!$B$7),0)))</f>
        <v>0</v>
      </c>
      <c r="BN31" s="150">
        <v>3</v>
      </c>
      <c r="BO31" s="36"/>
      <c r="BP31" s="36"/>
    </row>
    <row r="32" spans="1:68" hidden="1" outlineLevel="1" x14ac:dyDescent="0.25">
      <c r="A32" s="158">
        <v>2348</v>
      </c>
      <c r="B32" s="157" t="str" cm="1">
        <f t="array" ref="B32">IF(BI32="","",INDEX(pjName,BI32))</f>
        <v>Fairhaven Senior Housing</v>
      </c>
      <c r="C32" s="158" t="str" cm="1">
        <f t="array" ref="C32">IF(BI32="","",IF(INDEX(pjStatus,BI32)="","",INDEX(pjStatus,BI32)))</f>
        <v>Inactive</v>
      </c>
      <c r="D32" s="158" t="str" cm="1">
        <f t="array" ref="D32">IFERROR(INDEX(tblStaff[Initials],BN32),"")</f>
        <v>HL</v>
      </c>
      <c r="E32" s="159" cm="1">
        <f t="array" ref="E32">IF(OR(BI32="",D32=""),"",IFERROR(SUMPRODUCT((pjNo=A32)*(pjType="Phase")*INDEX(Projects!$I$5:$O$1188,0,MATCH(D32,Projects!$I$4:$O$4,0))*pjWk),0))</f>
        <v>0</v>
      </c>
      <c r="F32" s="159">
        <f t="shared" si="10"/>
        <v>0</v>
      </c>
      <c r="G32" s="159">
        <f t="shared" si="11"/>
        <v>0</v>
      </c>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36"/>
      <c r="BI32" s="150" cm="1">
        <f t="array" ref="BI32">IF(A32="","",IFERROR(MATCH(1,INDEX((pjNo=A32)*(pjType="Project"),0),0),""))</f>
        <v>3</v>
      </c>
      <c r="BJ32" s="150" t="str">
        <f>IF(D32="","",IFERROR(INDEX(tblStaff[Staff Level],MATCH(D32,tblStaff[Initials],0)),"?"))</f>
        <v>Senior Designer</v>
      </c>
      <c r="BK32" s="151" t="str" cm="1">
        <f t="array" ref="BK32">IF(BI32="","",INDEX(pjStart,BI32))</f>
        <v/>
      </c>
      <c r="BL32" s="151" t="str" cm="1">
        <f t="array" ref="BL32">IF(BI32="","",INDEX(pjEnd,BI32))</f>
        <v/>
      </c>
      <c r="BM32" s="150">
        <f>IF(BI32="",0,IF(C32="Active",1,IF(C32="Prospective",IF(Assumptions!$B$6="Active only",0,Assumptions!$B$7),0)))</f>
        <v>0</v>
      </c>
      <c r="BN32" s="150">
        <v>4</v>
      </c>
      <c r="BO32" s="36"/>
      <c r="BP32" s="36"/>
    </row>
    <row r="33" spans="1:68" hidden="1" outlineLevel="1" x14ac:dyDescent="0.25">
      <c r="A33" s="158">
        <v>2348</v>
      </c>
      <c r="B33" s="157" t="str" cm="1">
        <f t="array" ref="B33">IF(BI33="","",INDEX(pjName,BI33))</f>
        <v>Fairhaven Senior Housing</v>
      </c>
      <c r="C33" s="158" t="str" cm="1">
        <f t="array" ref="C33">IF(BI33="","",IF(INDEX(pjStatus,BI33)="","",INDEX(pjStatus,BI33)))</f>
        <v>Inactive</v>
      </c>
      <c r="D33" s="158" t="str" cm="1">
        <f t="array" ref="D33">IFERROR(INDEX(tblStaff[Initials],BN33),"")</f>
        <v>EHH</v>
      </c>
      <c r="E33" s="159" cm="1">
        <f t="array" ref="E33">IF(OR(BI33="",D33=""),"",IFERROR(SUMPRODUCT((pjNo=A33)*(pjType="Phase")*INDEX(Projects!$I$5:$O$1188,0,MATCH(D33,Projects!$I$4:$O$4,0))*pjWk),0))</f>
        <v>0</v>
      </c>
      <c r="F33" s="159">
        <f t="shared" si="10"/>
        <v>0</v>
      </c>
      <c r="G33" s="159">
        <f t="shared" si="11"/>
        <v>0</v>
      </c>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36"/>
      <c r="BI33" s="150" cm="1">
        <f t="array" ref="BI33">IF(A33="","",IFERROR(MATCH(1,INDEX((pjNo=A33)*(pjType="Project"),0),0),""))</f>
        <v>3</v>
      </c>
      <c r="BJ33" s="150" t="str">
        <f>IF(D33="","",IFERROR(INDEX(tblStaff[Staff Level],MATCH(D33,tblStaff[Initials],0)),"?"))</f>
        <v>Mid Level Designer</v>
      </c>
      <c r="BK33" s="151" t="str" cm="1">
        <f t="array" ref="BK33">IF(BI33="","",INDEX(pjStart,BI33))</f>
        <v/>
      </c>
      <c r="BL33" s="151" t="str" cm="1">
        <f t="array" ref="BL33">IF(BI33="","",INDEX(pjEnd,BI33))</f>
        <v/>
      </c>
      <c r="BM33" s="150">
        <f>IF(BI33="",0,IF(C33="Active",1,IF(C33="Prospective",IF(Assumptions!$B$6="Active only",0,Assumptions!$B$7),0)))</f>
        <v>0</v>
      </c>
      <c r="BN33" s="150">
        <v>5</v>
      </c>
      <c r="BO33" s="36"/>
      <c r="BP33" s="36"/>
    </row>
    <row r="34" spans="1:68" hidden="1" outlineLevel="1" x14ac:dyDescent="0.25">
      <c r="A34" s="158">
        <v>2348</v>
      </c>
      <c r="B34" s="157" t="str" cm="1">
        <f t="array" ref="B34">IF(BI34="","",INDEX(pjName,BI34))</f>
        <v>Fairhaven Senior Housing</v>
      </c>
      <c r="C34" s="158" t="str" cm="1">
        <f t="array" ref="C34">IF(BI34="","",IF(INDEX(pjStatus,BI34)="","",INDEX(pjStatus,BI34)))</f>
        <v>Inactive</v>
      </c>
      <c r="D34" s="158" t="str" cm="1">
        <f t="array" ref="D34">IFERROR(INDEX(tblStaff[Initials],BN34),"")</f>
        <v>KD</v>
      </c>
      <c r="E34" s="159" cm="1">
        <f t="array" ref="E34">IF(OR(BI34="",D34=""),"",IFERROR(SUMPRODUCT((pjNo=A34)*(pjType="Phase")*INDEX(Projects!$I$5:$O$1188,0,MATCH(D34,Projects!$I$4:$O$4,0))*pjWk),0))</f>
        <v>0</v>
      </c>
      <c r="F34" s="159">
        <f t="shared" si="10"/>
        <v>0</v>
      </c>
      <c r="G34" s="159">
        <f t="shared" si="11"/>
        <v>0</v>
      </c>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36"/>
      <c r="BI34" s="150" cm="1">
        <f t="array" ref="BI34">IF(A34="","",IFERROR(MATCH(1,INDEX((pjNo=A34)*(pjType="Project"),0),0),""))</f>
        <v>3</v>
      </c>
      <c r="BJ34" s="150" t="str">
        <f>IF(D34="","",IFERROR(INDEX(tblStaff[Staff Level],MATCH(D34,tblStaff[Initials],0)),"?"))</f>
        <v>Mid Level Designer</v>
      </c>
      <c r="BK34" s="151" t="str" cm="1">
        <f t="array" ref="BK34">IF(BI34="","",INDEX(pjStart,BI34))</f>
        <v/>
      </c>
      <c r="BL34" s="151" t="str" cm="1">
        <f t="array" ref="BL34">IF(BI34="","",INDEX(pjEnd,BI34))</f>
        <v/>
      </c>
      <c r="BM34" s="150">
        <f>IF(BI34="",0,IF(C34="Active",1,IF(C34="Prospective",IF(Assumptions!$B$6="Active only",0,Assumptions!$B$7),0)))</f>
        <v>0</v>
      </c>
      <c r="BN34" s="150">
        <v>6</v>
      </c>
      <c r="BO34" s="36"/>
      <c r="BP34" s="36"/>
    </row>
    <row r="35" spans="1:68" hidden="1" outlineLevel="1" x14ac:dyDescent="0.25">
      <c r="A35" s="158">
        <v>2348</v>
      </c>
      <c r="B35" s="157" t="str" cm="1">
        <f t="array" ref="B35">IF(BI35="","",INDEX(pjName,BI35))</f>
        <v>Fairhaven Senior Housing</v>
      </c>
      <c r="C35" s="158" t="str" cm="1">
        <f t="array" ref="C35">IF(BI35="","",IF(INDEX(pjStatus,BI35)="","",INDEX(pjStatus,BI35)))</f>
        <v>Inactive</v>
      </c>
      <c r="D35" s="158" t="str" cm="1">
        <f t="array" ref="D35">IFERROR(INDEX(tblStaff[Initials],BN35),"")</f>
        <v>XX</v>
      </c>
      <c r="E35" s="159" cm="1">
        <f t="array" ref="E35">IF(OR(BI35="",D35=""),"",IFERROR(SUMPRODUCT((pjNo=A35)*(pjType="Phase")*INDEX(Projects!$I$5:$O$1188,0,MATCH(D35,Projects!$I$4:$O$4,0))*pjWk),0))</f>
        <v>0</v>
      </c>
      <c r="F35" s="159">
        <f t="shared" si="10"/>
        <v>0</v>
      </c>
      <c r="G35" s="159">
        <f t="shared" si="11"/>
        <v>0</v>
      </c>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36"/>
      <c r="BI35" s="150" cm="1">
        <f t="array" ref="BI35">IF(A35="","",IFERROR(MATCH(1,INDEX((pjNo=A35)*(pjType="Project"),0),0),""))</f>
        <v>3</v>
      </c>
      <c r="BJ35" s="150" t="str">
        <f>IF(D35="","",IFERROR(INDEX(tblStaff[Staff Level],MATCH(D35,tblStaff[Initials],0)),"?"))</f>
        <v>Project Designer</v>
      </c>
      <c r="BK35" s="151" t="str" cm="1">
        <f t="array" ref="BK35">IF(BI35="","",INDEX(pjStart,BI35))</f>
        <v/>
      </c>
      <c r="BL35" s="151" t="str" cm="1">
        <f t="array" ref="BL35">IF(BI35="","",INDEX(pjEnd,BI35))</f>
        <v/>
      </c>
      <c r="BM35" s="150">
        <f>IF(BI35="",0,IF(C35="Active",1,IF(C35="Prospective",IF(Assumptions!$B$6="Active only",0,Assumptions!$B$7),0)))</f>
        <v>0</v>
      </c>
      <c r="BN35" s="150">
        <v>7</v>
      </c>
      <c r="BO35" s="36"/>
      <c r="BP35" s="36"/>
    </row>
    <row r="36" spans="1:68" hidden="1" outlineLevel="1" x14ac:dyDescent="0.25">
      <c r="A36" s="162">
        <v>2348</v>
      </c>
      <c r="B36" s="161" t="str" cm="1">
        <f t="array" ref="B36">IF(BI36="","",INDEX(pjName,BI36))</f>
        <v>Fairhaven Senior Housing</v>
      </c>
      <c r="C36" s="162" t="str" cm="1">
        <f t="array" ref="C36">IF(BI36="","",IF(INDEX(pjStatus,BI36)="","",INDEX(pjStatus,BI36)))</f>
        <v>Inactive</v>
      </c>
      <c r="D36" s="162" t="str" cm="1">
        <f t="array" ref="D36">IFERROR(INDEX(tblStaff[Initials],BN36),"")</f>
        <v/>
      </c>
      <c r="E36" s="163" t="str" cm="1">
        <f t="array" ref="E36">IF(OR(BI36="",D36=""),"",IFERROR(SUMPRODUCT((pjNo=A36)*(pjType="Phase")*INDEX(Projects!$I$5:$O$1188,0,MATCH(D36,Projects!$I$4:$O$4,0))*pjWk),0))</f>
        <v/>
      </c>
      <c r="F36" s="163">
        <f t="shared" si="10"/>
        <v>0</v>
      </c>
      <c r="G36" s="163" t="str">
        <f t="shared" si="11"/>
        <v/>
      </c>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164"/>
      <c r="BB36" s="164"/>
      <c r="BC36" s="164"/>
      <c r="BD36" s="164"/>
      <c r="BE36" s="164"/>
      <c r="BF36" s="164"/>
      <c r="BG36" s="164"/>
      <c r="BH36" s="36"/>
      <c r="BI36" s="150" cm="1">
        <f t="array" ref="BI36">IF(A36="","",IFERROR(MATCH(1,INDEX((pjNo=A36)*(pjType="Project"),0),0),""))</f>
        <v>3</v>
      </c>
      <c r="BJ36" s="150" t="str">
        <f>IF(D36="","",IFERROR(INDEX(tblStaff[Staff Level],MATCH(D36,tblStaff[Initials],0)),"?"))</f>
        <v/>
      </c>
      <c r="BK36" s="151" t="str" cm="1">
        <f t="array" ref="BK36">IF(BI36="","",INDEX(pjStart,BI36))</f>
        <v/>
      </c>
      <c r="BL36" s="151" t="str" cm="1">
        <f t="array" ref="BL36">IF(BI36="","",INDEX(pjEnd,BI36))</f>
        <v/>
      </c>
      <c r="BM36" s="150">
        <f>IF(BI36="",0,IF(C36="Active",1,IF(C36="Prospective",IF(Assumptions!$B$6="Active only",0,Assumptions!$B$7),0)))</f>
        <v>0</v>
      </c>
      <c r="BN36" s="150">
        <v>8</v>
      </c>
      <c r="BO36" s="36"/>
      <c r="BP36" s="36"/>
    </row>
    <row r="37" spans="1:68" collapsed="1" x14ac:dyDescent="0.25">
      <c r="A37" s="171"/>
      <c r="B37" s="173" t="str">
        <f>IF(A38="","",A38&amp;" · "&amp;B38)</f>
        <v>2370 · Tamarack Housing</v>
      </c>
      <c r="C37" s="171" t="str">
        <f>IF(A38="","",C38)</f>
        <v>Inactive</v>
      </c>
      <c r="D37" s="171"/>
      <c r="E37" s="172">
        <f>SUM(E38:E45)</f>
        <v>0</v>
      </c>
      <c r="F37" s="172">
        <f>SUM(F38:F45)</f>
        <v>0</v>
      </c>
      <c r="G37" s="172" t="str">
        <f>IF(E37=0,"",E37-F37)</f>
        <v/>
      </c>
      <c r="H37" s="174">
        <f t="shared" ref="H37:AM37" si="12">SUM(H38:H45)</f>
        <v>0</v>
      </c>
      <c r="I37" s="174">
        <f t="shared" si="12"/>
        <v>0</v>
      </c>
      <c r="J37" s="174">
        <f t="shared" si="12"/>
        <v>0</v>
      </c>
      <c r="K37" s="174">
        <f t="shared" si="12"/>
        <v>0</v>
      </c>
      <c r="L37" s="174">
        <f t="shared" si="12"/>
        <v>0</v>
      </c>
      <c r="M37" s="174">
        <f t="shared" si="12"/>
        <v>0</v>
      </c>
      <c r="N37" s="174">
        <f t="shared" si="12"/>
        <v>0</v>
      </c>
      <c r="O37" s="174">
        <f t="shared" si="12"/>
        <v>0</v>
      </c>
      <c r="P37" s="174">
        <f t="shared" si="12"/>
        <v>0</v>
      </c>
      <c r="Q37" s="174">
        <f t="shared" si="12"/>
        <v>0</v>
      </c>
      <c r="R37" s="174">
        <f t="shared" si="12"/>
        <v>0</v>
      </c>
      <c r="S37" s="174">
        <f t="shared" si="12"/>
        <v>0</v>
      </c>
      <c r="T37" s="174">
        <f t="shared" si="12"/>
        <v>0</v>
      </c>
      <c r="U37" s="174">
        <f t="shared" si="12"/>
        <v>0</v>
      </c>
      <c r="V37" s="174">
        <f t="shared" si="12"/>
        <v>0</v>
      </c>
      <c r="W37" s="174">
        <f t="shared" si="12"/>
        <v>0</v>
      </c>
      <c r="X37" s="174">
        <f t="shared" si="12"/>
        <v>0</v>
      </c>
      <c r="Y37" s="174">
        <f t="shared" si="12"/>
        <v>0</v>
      </c>
      <c r="Z37" s="174">
        <f t="shared" si="12"/>
        <v>0</v>
      </c>
      <c r="AA37" s="174">
        <f t="shared" si="12"/>
        <v>0</v>
      </c>
      <c r="AB37" s="174">
        <f t="shared" si="12"/>
        <v>0</v>
      </c>
      <c r="AC37" s="174">
        <f t="shared" si="12"/>
        <v>0</v>
      </c>
      <c r="AD37" s="174">
        <f t="shared" si="12"/>
        <v>0</v>
      </c>
      <c r="AE37" s="174">
        <f t="shared" si="12"/>
        <v>0</v>
      </c>
      <c r="AF37" s="174">
        <f t="shared" si="12"/>
        <v>0</v>
      </c>
      <c r="AG37" s="174">
        <f t="shared" si="12"/>
        <v>0</v>
      </c>
      <c r="AH37" s="174">
        <f t="shared" si="12"/>
        <v>0</v>
      </c>
      <c r="AI37" s="174">
        <f t="shared" si="12"/>
        <v>0</v>
      </c>
      <c r="AJ37" s="174">
        <f t="shared" si="12"/>
        <v>0</v>
      </c>
      <c r="AK37" s="174">
        <f t="shared" si="12"/>
        <v>0</v>
      </c>
      <c r="AL37" s="174">
        <f t="shared" si="12"/>
        <v>0</v>
      </c>
      <c r="AM37" s="174">
        <f t="shared" si="12"/>
        <v>0</v>
      </c>
      <c r="AN37" s="174">
        <f t="shared" ref="AN37:BG37" si="13">SUM(AN38:AN45)</f>
        <v>0</v>
      </c>
      <c r="AO37" s="174">
        <f t="shared" si="13"/>
        <v>0</v>
      </c>
      <c r="AP37" s="174">
        <f t="shared" si="13"/>
        <v>0</v>
      </c>
      <c r="AQ37" s="174">
        <f t="shared" si="13"/>
        <v>0</v>
      </c>
      <c r="AR37" s="174">
        <f t="shared" si="13"/>
        <v>0</v>
      </c>
      <c r="AS37" s="174">
        <f t="shared" si="13"/>
        <v>0</v>
      </c>
      <c r="AT37" s="174">
        <f t="shared" si="13"/>
        <v>0</v>
      </c>
      <c r="AU37" s="174">
        <f t="shared" si="13"/>
        <v>0</v>
      </c>
      <c r="AV37" s="174">
        <f t="shared" si="13"/>
        <v>0</v>
      </c>
      <c r="AW37" s="174">
        <f t="shared" si="13"/>
        <v>0</v>
      </c>
      <c r="AX37" s="174">
        <f t="shared" si="13"/>
        <v>0</v>
      </c>
      <c r="AY37" s="174">
        <f t="shared" si="13"/>
        <v>0</v>
      </c>
      <c r="AZ37" s="174">
        <f t="shared" si="13"/>
        <v>0</v>
      </c>
      <c r="BA37" s="174">
        <f t="shared" si="13"/>
        <v>0</v>
      </c>
      <c r="BB37" s="174">
        <f t="shared" si="13"/>
        <v>0</v>
      </c>
      <c r="BC37" s="174">
        <f t="shared" si="13"/>
        <v>0</v>
      </c>
      <c r="BD37" s="174">
        <f t="shared" si="13"/>
        <v>0</v>
      </c>
      <c r="BE37" s="174">
        <f t="shared" si="13"/>
        <v>0</v>
      </c>
      <c r="BF37" s="174">
        <f t="shared" si="13"/>
        <v>0</v>
      </c>
      <c r="BG37" s="174">
        <f t="shared" si="13"/>
        <v>0</v>
      </c>
      <c r="BH37" s="36"/>
      <c r="BI37" s="150"/>
      <c r="BJ37" s="150"/>
      <c r="BK37" s="151"/>
      <c r="BL37" s="151"/>
      <c r="BM37" s="150"/>
      <c r="BN37" s="150"/>
      <c r="BO37" s="36"/>
      <c r="BP37" s="36"/>
    </row>
    <row r="38" spans="1:68" hidden="1" outlineLevel="1" x14ac:dyDescent="0.25">
      <c r="A38" s="167">
        <v>2370</v>
      </c>
      <c r="B38" s="168" t="str" cm="1">
        <f t="array" ref="B38">IF(BI38="","",INDEX(pjName,BI38))</f>
        <v>Tamarack Housing</v>
      </c>
      <c r="C38" s="167" t="str" cm="1">
        <f t="array" ref="C38">IF(BI38="","",IF(INDEX(pjStatus,BI38)="","",INDEX(pjStatus,BI38)))</f>
        <v>Inactive</v>
      </c>
      <c r="D38" s="167" t="str" cm="1">
        <f t="array" ref="D38">IFERROR(INDEX(tblStaff[Initials],BN38),"")</f>
        <v>PK</v>
      </c>
      <c r="E38" s="169" cm="1">
        <f t="array" ref="E38">IF(OR(BI38="",D38=""),"",IFERROR(SUMPRODUCT((pjNo=A38)*(pjType="Phase")*INDEX(Projects!$I$5:$O$1188,0,MATCH(D38,Projects!$I$4:$O$4,0))*pjWk),0))</f>
        <v>0</v>
      </c>
      <c r="F38" s="169">
        <f t="shared" ref="F38:F45" si="14">IF(BI38="","",SUM(H38:BG38))</f>
        <v>0</v>
      </c>
      <c r="G38" s="169">
        <f t="shared" ref="G38:G45" si="15">IF(OR(E38="",F38=""),"",E38-F38)</f>
        <v>0</v>
      </c>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36"/>
      <c r="BI38" s="150" cm="1">
        <f t="array" ref="BI38">IF(A38="","",IFERROR(MATCH(1,INDEX((pjNo=A38)*(pjType="Project"),0),0),""))</f>
        <v>12</v>
      </c>
      <c r="BJ38" s="150" t="str">
        <f>IF(D38="","",IFERROR(INDEX(tblStaff[Staff Level],MATCH(D38,tblStaff[Initials],0)),"?"))</f>
        <v>Principal</v>
      </c>
      <c r="BK38" s="151" t="str" cm="1">
        <f t="array" ref="BK38">IF(BI38="","",INDEX(pjStart,BI38))</f>
        <v/>
      </c>
      <c r="BL38" s="151" t="str" cm="1">
        <f t="array" ref="BL38">IF(BI38="","",INDEX(pjEnd,BI38))</f>
        <v/>
      </c>
      <c r="BM38" s="150">
        <f>IF(BI38="",0,IF(C38="Active",1,IF(C38="Prospective",IF(Assumptions!$B$6="Active only",0,Assumptions!$B$7),0)))</f>
        <v>0</v>
      </c>
      <c r="BN38" s="150">
        <v>1</v>
      </c>
      <c r="BO38" s="36"/>
      <c r="BP38" s="36"/>
    </row>
    <row r="39" spans="1:68" hidden="1" outlineLevel="1" x14ac:dyDescent="0.25">
      <c r="A39" s="167">
        <v>2370</v>
      </c>
      <c r="B39" s="168" t="str" cm="1">
        <f t="array" ref="B39">IF(BI39="","",INDEX(pjName,BI39))</f>
        <v>Tamarack Housing</v>
      </c>
      <c r="C39" s="167" t="str" cm="1">
        <f t="array" ref="C39">IF(BI39="","",IF(INDEX(pjStatus,BI39)="","",INDEX(pjStatus,BI39)))</f>
        <v>Inactive</v>
      </c>
      <c r="D39" s="167" t="str" cm="1">
        <f t="array" ref="D39">IFERROR(INDEX(tblStaff[Initials],BN39),"")</f>
        <v>DF</v>
      </c>
      <c r="E39" s="169" cm="1">
        <f t="array" ref="E39">IF(OR(BI39="",D39=""),"",IFERROR(SUMPRODUCT((pjNo=A39)*(pjType="Phase")*INDEX(Projects!$I$5:$O$1188,0,MATCH(D39,Projects!$I$4:$O$4,0))*pjWk),0))</f>
        <v>0</v>
      </c>
      <c r="F39" s="169">
        <f t="shared" si="14"/>
        <v>0</v>
      </c>
      <c r="G39" s="169">
        <f t="shared" si="15"/>
        <v>0</v>
      </c>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36"/>
      <c r="BI39" s="150" cm="1">
        <f t="array" ref="BI39">IF(A39="","",IFERROR(MATCH(1,INDEX((pjNo=A39)*(pjType="Project"),0),0),""))</f>
        <v>12</v>
      </c>
      <c r="BJ39" s="150" t="str">
        <f>IF(D39="","",IFERROR(INDEX(tblStaff[Staff Level],MATCH(D39,tblStaff[Initials],0)),"?"))</f>
        <v>Principal</v>
      </c>
      <c r="BK39" s="151" t="str" cm="1">
        <f t="array" ref="BK39">IF(BI39="","",INDEX(pjStart,BI39))</f>
        <v/>
      </c>
      <c r="BL39" s="151" t="str" cm="1">
        <f t="array" ref="BL39">IF(BI39="","",INDEX(pjEnd,BI39))</f>
        <v/>
      </c>
      <c r="BM39" s="150">
        <f>IF(BI39="",0,IF(C39="Active",1,IF(C39="Prospective",IF(Assumptions!$B$6="Active only",0,Assumptions!$B$7),0)))</f>
        <v>0</v>
      </c>
      <c r="BN39" s="150">
        <v>2</v>
      </c>
      <c r="BO39" s="36"/>
      <c r="BP39" s="36"/>
    </row>
    <row r="40" spans="1:68" hidden="1" outlineLevel="1" x14ac:dyDescent="0.25">
      <c r="A40" s="158">
        <v>2370</v>
      </c>
      <c r="B40" s="157" t="str" cm="1">
        <f t="array" ref="B40">IF(BI40="","",INDEX(pjName,BI40))</f>
        <v>Tamarack Housing</v>
      </c>
      <c r="C40" s="158" t="str" cm="1">
        <f t="array" ref="C40">IF(BI40="","",IF(INDEX(pjStatus,BI40)="","",INDEX(pjStatus,BI40)))</f>
        <v>Inactive</v>
      </c>
      <c r="D40" s="158" t="str" cm="1">
        <f t="array" ref="D40">IFERROR(INDEX(tblStaff[Initials],BN40),"")</f>
        <v>KJ</v>
      </c>
      <c r="E40" s="159" cm="1">
        <f t="array" ref="E40">IF(OR(BI40="",D40=""),"",IFERROR(SUMPRODUCT((pjNo=A40)*(pjType="Phase")*INDEX(Projects!$I$5:$O$1188,0,MATCH(D40,Projects!$I$4:$O$4,0))*pjWk),0))</f>
        <v>0</v>
      </c>
      <c r="F40" s="159">
        <f t="shared" si="14"/>
        <v>0</v>
      </c>
      <c r="G40" s="159">
        <f t="shared" si="15"/>
        <v>0</v>
      </c>
      <c r="H40" s="160"/>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0"/>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36"/>
      <c r="BI40" s="150" cm="1">
        <f t="array" ref="BI40">IF(A40="","",IFERROR(MATCH(1,INDEX((pjNo=A40)*(pjType="Project"),0),0),""))</f>
        <v>12</v>
      </c>
      <c r="BJ40" s="150" t="str">
        <f>IF(D40="","",IFERROR(INDEX(tblStaff[Staff Level],MATCH(D40,tblStaff[Initials],0)),"?"))</f>
        <v>Director</v>
      </c>
      <c r="BK40" s="151" t="str" cm="1">
        <f t="array" ref="BK40">IF(BI40="","",INDEX(pjStart,BI40))</f>
        <v/>
      </c>
      <c r="BL40" s="151" t="str" cm="1">
        <f t="array" ref="BL40">IF(BI40="","",INDEX(pjEnd,BI40))</f>
        <v/>
      </c>
      <c r="BM40" s="150">
        <f>IF(BI40="",0,IF(C40="Active",1,IF(C40="Prospective",IF(Assumptions!$B$6="Active only",0,Assumptions!$B$7),0)))</f>
        <v>0</v>
      </c>
      <c r="BN40" s="150">
        <v>3</v>
      </c>
      <c r="BO40" s="36"/>
      <c r="BP40" s="36"/>
    </row>
    <row r="41" spans="1:68" hidden="1" outlineLevel="1" x14ac:dyDescent="0.25">
      <c r="A41" s="158">
        <v>2370</v>
      </c>
      <c r="B41" s="157" t="str" cm="1">
        <f t="array" ref="B41">IF(BI41="","",INDEX(pjName,BI41))</f>
        <v>Tamarack Housing</v>
      </c>
      <c r="C41" s="158" t="str" cm="1">
        <f t="array" ref="C41">IF(BI41="","",IF(INDEX(pjStatus,BI41)="","",INDEX(pjStatus,BI41)))</f>
        <v>Inactive</v>
      </c>
      <c r="D41" s="158" t="str" cm="1">
        <f t="array" ref="D41">IFERROR(INDEX(tblStaff[Initials],BN41),"")</f>
        <v>HL</v>
      </c>
      <c r="E41" s="159" cm="1">
        <f t="array" ref="E41">IF(OR(BI41="",D41=""),"",IFERROR(SUMPRODUCT((pjNo=A41)*(pjType="Phase")*INDEX(Projects!$I$5:$O$1188,0,MATCH(D41,Projects!$I$4:$O$4,0))*pjWk),0))</f>
        <v>0</v>
      </c>
      <c r="F41" s="159">
        <f t="shared" si="14"/>
        <v>0</v>
      </c>
      <c r="G41" s="159">
        <f t="shared" si="15"/>
        <v>0</v>
      </c>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36"/>
      <c r="BI41" s="150" cm="1">
        <f t="array" ref="BI41">IF(A41="","",IFERROR(MATCH(1,INDEX((pjNo=A41)*(pjType="Project"),0),0),""))</f>
        <v>12</v>
      </c>
      <c r="BJ41" s="150" t="str">
        <f>IF(D41="","",IFERROR(INDEX(tblStaff[Staff Level],MATCH(D41,tblStaff[Initials],0)),"?"))</f>
        <v>Senior Designer</v>
      </c>
      <c r="BK41" s="151" t="str" cm="1">
        <f t="array" ref="BK41">IF(BI41="","",INDEX(pjStart,BI41))</f>
        <v/>
      </c>
      <c r="BL41" s="151" t="str" cm="1">
        <f t="array" ref="BL41">IF(BI41="","",INDEX(pjEnd,BI41))</f>
        <v/>
      </c>
      <c r="BM41" s="150">
        <f>IF(BI41="",0,IF(C41="Active",1,IF(C41="Prospective",IF(Assumptions!$B$6="Active only",0,Assumptions!$B$7),0)))</f>
        <v>0</v>
      </c>
      <c r="BN41" s="150">
        <v>4</v>
      </c>
      <c r="BO41" s="36"/>
      <c r="BP41" s="36"/>
    </row>
    <row r="42" spans="1:68" hidden="1" outlineLevel="1" x14ac:dyDescent="0.25">
      <c r="A42" s="158">
        <v>2370</v>
      </c>
      <c r="B42" s="157" t="str" cm="1">
        <f t="array" ref="B42">IF(BI42="","",INDEX(pjName,BI42))</f>
        <v>Tamarack Housing</v>
      </c>
      <c r="C42" s="158" t="str" cm="1">
        <f t="array" ref="C42">IF(BI42="","",IF(INDEX(pjStatus,BI42)="","",INDEX(pjStatus,BI42)))</f>
        <v>Inactive</v>
      </c>
      <c r="D42" s="158" t="str" cm="1">
        <f t="array" ref="D42">IFERROR(INDEX(tblStaff[Initials],BN42),"")</f>
        <v>EHH</v>
      </c>
      <c r="E42" s="159" cm="1">
        <f t="array" ref="E42">IF(OR(BI42="",D42=""),"",IFERROR(SUMPRODUCT((pjNo=A42)*(pjType="Phase")*INDEX(Projects!$I$5:$O$1188,0,MATCH(D42,Projects!$I$4:$O$4,0))*pjWk),0))</f>
        <v>0</v>
      </c>
      <c r="F42" s="159">
        <f t="shared" si="14"/>
        <v>0</v>
      </c>
      <c r="G42" s="159">
        <f t="shared" si="15"/>
        <v>0</v>
      </c>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36"/>
      <c r="BI42" s="150" cm="1">
        <f t="array" ref="BI42">IF(A42="","",IFERROR(MATCH(1,INDEX((pjNo=A42)*(pjType="Project"),0),0),""))</f>
        <v>12</v>
      </c>
      <c r="BJ42" s="150" t="str">
        <f>IF(D42="","",IFERROR(INDEX(tblStaff[Staff Level],MATCH(D42,tblStaff[Initials],0)),"?"))</f>
        <v>Mid Level Designer</v>
      </c>
      <c r="BK42" s="151" t="str" cm="1">
        <f t="array" ref="BK42">IF(BI42="","",INDEX(pjStart,BI42))</f>
        <v/>
      </c>
      <c r="BL42" s="151" t="str" cm="1">
        <f t="array" ref="BL42">IF(BI42="","",INDEX(pjEnd,BI42))</f>
        <v/>
      </c>
      <c r="BM42" s="150">
        <f>IF(BI42="",0,IF(C42="Active",1,IF(C42="Prospective",IF(Assumptions!$B$6="Active only",0,Assumptions!$B$7),0)))</f>
        <v>0</v>
      </c>
      <c r="BN42" s="150">
        <v>5</v>
      </c>
      <c r="BO42" s="36"/>
      <c r="BP42" s="36"/>
    </row>
    <row r="43" spans="1:68" hidden="1" outlineLevel="1" x14ac:dyDescent="0.25">
      <c r="A43" s="158">
        <v>2370</v>
      </c>
      <c r="B43" s="157" t="str" cm="1">
        <f t="array" ref="B43">IF(BI43="","",INDEX(pjName,BI43))</f>
        <v>Tamarack Housing</v>
      </c>
      <c r="C43" s="158" t="str" cm="1">
        <f t="array" ref="C43">IF(BI43="","",IF(INDEX(pjStatus,BI43)="","",INDEX(pjStatus,BI43)))</f>
        <v>Inactive</v>
      </c>
      <c r="D43" s="158" t="str" cm="1">
        <f t="array" ref="D43">IFERROR(INDEX(tblStaff[Initials],BN43),"")</f>
        <v>KD</v>
      </c>
      <c r="E43" s="159" cm="1">
        <f t="array" ref="E43">IF(OR(BI43="",D43=""),"",IFERROR(SUMPRODUCT((pjNo=A43)*(pjType="Phase")*INDEX(Projects!$I$5:$O$1188,0,MATCH(D43,Projects!$I$4:$O$4,0))*pjWk),0))</f>
        <v>0</v>
      </c>
      <c r="F43" s="159">
        <f t="shared" si="14"/>
        <v>0</v>
      </c>
      <c r="G43" s="159">
        <f t="shared" si="15"/>
        <v>0</v>
      </c>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36"/>
      <c r="BI43" s="150" cm="1">
        <f t="array" ref="BI43">IF(A43="","",IFERROR(MATCH(1,INDEX((pjNo=A43)*(pjType="Project"),0),0),""))</f>
        <v>12</v>
      </c>
      <c r="BJ43" s="150" t="str">
        <f>IF(D43="","",IFERROR(INDEX(tblStaff[Staff Level],MATCH(D43,tblStaff[Initials],0)),"?"))</f>
        <v>Mid Level Designer</v>
      </c>
      <c r="BK43" s="151" t="str" cm="1">
        <f t="array" ref="BK43">IF(BI43="","",INDEX(pjStart,BI43))</f>
        <v/>
      </c>
      <c r="BL43" s="151" t="str" cm="1">
        <f t="array" ref="BL43">IF(BI43="","",INDEX(pjEnd,BI43))</f>
        <v/>
      </c>
      <c r="BM43" s="150">
        <f>IF(BI43="",0,IF(C43="Active",1,IF(C43="Prospective",IF(Assumptions!$B$6="Active only",0,Assumptions!$B$7),0)))</f>
        <v>0</v>
      </c>
      <c r="BN43" s="150">
        <v>6</v>
      </c>
      <c r="BO43" s="36"/>
      <c r="BP43" s="36"/>
    </row>
    <row r="44" spans="1:68" hidden="1" outlineLevel="1" x14ac:dyDescent="0.25">
      <c r="A44" s="158">
        <v>2370</v>
      </c>
      <c r="B44" s="157" t="str" cm="1">
        <f t="array" ref="B44">IF(BI44="","",INDEX(pjName,BI44))</f>
        <v>Tamarack Housing</v>
      </c>
      <c r="C44" s="158" t="str" cm="1">
        <f t="array" ref="C44">IF(BI44="","",IF(INDEX(pjStatus,BI44)="","",INDEX(pjStatus,BI44)))</f>
        <v>Inactive</v>
      </c>
      <c r="D44" s="158" t="str" cm="1">
        <f t="array" ref="D44">IFERROR(INDEX(tblStaff[Initials],BN44),"")</f>
        <v>XX</v>
      </c>
      <c r="E44" s="159" cm="1">
        <f t="array" ref="E44">IF(OR(BI44="",D44=""),"",IFERROR(SUMPRODUCT((pjNo=A44)*(pjType="Phase")*INDEX(Projects!$I$5:$O$1188,0,MATCH(D44,Projects!$I$4:$O$4,0))*pjWk),0))</f>
        <v>0</v>
      </c>
      <c r="F44" s="159">
        <f t="shared" si="14"/>
        <v>0</v>
      </c>
      <c r="G44" s="159">
        <f t="shared" si="15"/>
        <v>0</v>
      </c>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c r="AM44" s="160"/>
      <c r="AN44" s="160"/>
      <c r="AO44" s="160"/>
      <c r="AP44" s="160"/>
      <c r="AQ44" s="160"/>
      <c r="AR44" s="160"/>
      <c r="AS44" s="160"/>
      <c r="AT44" s="160"/>
      <c r="AU44" s="160"/>
      <c r="AV44" s="160"/>
      <c r="AW44" s="160"/>
      <c r="AX44" s="160"/>
      <c r="AY44" s="160"/>
      <c r="AZ44" s="160"/>
      <c r="BA44" s="160"/>
      <c r="BB44" s="160"/>
      <c r="BC44" s="160"/>
      <c r="BD44" s="160"/>
      <c r="BE44" s="160"/>
      <c r="BF44" s="160"/>
      <c r="BG44" s="160"/>
      <c r="BH44" s="36"/>
      <c r="BI44" s="150" cm="1">
        <f t="array" ref="BI44">IF(A44="","",IFERROR(MATCH(1,INDEX((pjNo=A44)*(pjType="Project"),0),0),""))</f>
        <v>12</v>
      </c>
      <c r="BJ44" s="150" t="str">
        <f>IF(D44="","",IFERROR(INDEX(tblStaff[Staff Level],MATCH(D44,tblStaff[Initials],0)),"?"))</f>
        <v>Project Designer</v>
      </c>
      <c r="BK44" s="151" t="str" cm="1">
        <f t="array" ref="BK44">IF(BI44="","",INDEX(pjStart,BI44))</f>
        <v/>
      </c>
      <c r="BL44" s="151" t="str" cm="1">
        <f t="array" ref="BL44">IF(BI44="","",INDEX(pjEnd,BI44))</f>
        <v/>
      </c>
      <c r="BM44" s="150">
        <f>IF(BI44="",0,IF(C44="Active",1,IF(C44="Prospective",IF(Assumptions!$B$6="Active only",0,Assumptions!$B$7),0)))</f>
        <v>0</v>
      </c>
      <c r="BN44" s="150">
        <v>7</v>
      </c>
      <c r="BO44" s="36"/>
      <c r="BP44" s="36"/>
    </row>
    <row r="45" spans="1:68" hidden="1" outlineLevel="1" x14ac:dyDescent="0.25">
      <c r="A45" s="162">
        <v>2370</v>
      </c>
      <c r="B45" s="161" t="str" cm="1">
        <f t="array" ref="B45">IF(BI45="","",INDEX(pjName,BI45))</f>
        <v>Tamarack Housing</v>
      </c>
      <c r="C45" s="162" t="str" cm="1">
        <f t="array" ref="C45">IF(BI45="","",IF(INDEX(pjStatus,BI45)="","",INDEX(pjStatus,BI45)))</f>
        <v>Inactive</v>
      </c>
      <c r="D45" s="162" t="str" cm="1">
        <f t="array" ref="D45">IFERROR(INDEX(tblStaff[Initials],BN45),"")</f>
        <v/>
      </c>
      <c r="E45" s="163" t="str" cm="1">
        <f t="array" ref="E45">IF(OR(BI45="",D45=""),"",IFERROR(SUMPRODUCT((pjNo=A45)*(pjType="Phase")*INDEX(Projects!$I$5:$O$1188,0,MATCH(D45,Projects!$I$4:$O$4,0))*pjWk),0))</f>
        <v/>
      </c>
      <c r="F45" s="163">
        <f t="shared" si="14"/>
        <v>0</v>
      </c>
      <c r="G45" s="163" t="str">
        <f t="shared" si="15"/>
        <v/>
      </c>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36"/>
      <c r="BI45" s="150" cm="1">
        <f t="array" ref="BI45">IF(A45="","",IFERROR(MATCH(1,INDEX((pjNo=A45)*(pjType="Project"),0),0),""))</f>
        <v>12</v>
      </c>
      <c r="BJ45" s="150" t="str">
        <f>IF(D45="","",IFERROR(INDEX(tblStaff[Staff Level],MATCH(D45,tblStaff[Initials],0)),"?"))</f>
        <v/>
      </c>
      <c r="BK45" s="151" t="str" cm="1">
        <f t="array" ref="BK45">IF(BI45="","",INDEX(pjStart,BI45))</f>
        <v/>
      </c>
      <c r="BL45" s="151" t="str" cm="1">
        <f t="array" ref="BL45">IF(BI45="","",INDEX(pjEnd,BI45))</f>
        <v/>
      </c>
      <c r="BM45" s="150">
        <f>IF(BI45="",0,IF(C45="Active",1,IF(C45="Prospective",IF(Assumptions!$B$6="Active only",0,Assumptions!$B$7),0)))</f>
        <v>0</v>
      </c>
      <c r="BN45" s="150">
        <v>8</v>
      </c>
      <c r="BO45" s="36"/>
      <c r="BP45" s="36"/>
    </row>
    <row r="46" spans="1:68" collapsed="1" x14ac:dyDescent="0.25">
      <c r="A46" s="171"/>
      <c r="B46" s="173" t="str">
        <f>IF(A47="","",A47&amp;" · "&amp;B47)</f>
        <v>2458 · Summit Ridge Village</v>
      </c>
      <c r="C46" s="171" t="str">
        <f>IF(A47="","",C47)</f>
        <v>Inactive</v>
      </c>
      <c r="D46" s="171"/>
      <c r="E46" s="172">
        <f>SUM(E47:E54)</f>
        <v>0</v>
      </c>
      <c r="F46" s="172">
        <f>SUM(F47:F54)</f>
        <v>0</v>
      </c>
      <c r="G46" s="172" t="str">
        <f>IF(E46=0,"",E46-F46)</f>
        <v/>
      </c>
      <c r="H46" s="174">
        <f t="shared" ref="H46:AM46" si="16">SUM(H47:H54)</f>
        <v>0</v>
      </c>
      <c r="I46" s="174">
        <f t="shared" si="16"/>
        <v>0</v>
      </c>
      <c r="J46" s="174">
        <f t="shared" si="16"/>
        <v>0</v>
      </c>
      <c r="K46" s="174">
        <f t="shared" si="16"/>
        <v>0</v>
      </c>
      <c r="L46" s="174">
        <f t="shared" si="16"/>
        <v>0</v>
      </c>
      <c r="M46" s="174">
        <f t="shared" si="16"/>
        <v>0</v>
      </c>
      <c r="N46" s="174">
        <f t="shared" si="16"/>
        <v>0</v>
      </c>
      <c r="O46" s="174">
        <f t="shared" si="16"/>
        <v>0</v>
      </c>
      <c r="P46" s="174">
        <f t="shared" si="16"/>
        <v>0</v>
      </c>
      <c r="Q46" s="174">
        <f t="shared" si="16"/>
        <v>0</v>
      </c>
      <c r="R46" s="174">
        <f t="shared" si="16"/>
        <v>0</v>
      </c>
      <c r="S46" s="174">
        <f t="shared" si="16"/>
        <v>0</v>
      </c>
      <c r="T46" s="174">
        <f t="shared" si="16"/>
        <v>0</v>
      </c>
      <c r="U46" s="174">
        <f t="shared" si="16"/>
        <v>0</v>
      </c>
      <c r="V46" s="174">
        <f t="shared" si="16"/>
        <v>0</v>
      </c>
      <c r="W46" s="174">
        <f t="shared" si="16"/>
        <v>0</v>
      </c>
      <c r="X46" s="174">
        <f t="shared" si="16"/>
        <v>0</v>
      </c>
      <c r="Y46" s="174">
        <f t="shared" si="16"/>
        <v>0</v>
      </c>
      <c r="Z46" s="174">
        <f t="shared" si="16"/>
        <v>0</v>
      </c>
      <c r="AA46" s="174">
        <f t="shared" si="16"/>
        <v>0</v>
      </c>
      <c r="AB46" s="174">
        <f t="shared" si="16"/>
        <v>0</v>
      </c>
      <c r="AC46" s="174">
        <f t="shared" si="16"/>
        <v>0</v>
      </c>
      <c r="AD46" s="174">
        <f t="shared" si="16"/>
        <v>0</v>
      </c>
      <c r="AE46" s="174">
        <f t="shared" si="16"/>
        <v>0</v>
      </c>
      <c r="AF46" s="174">
        <f t="shared" si="16"/>
        <v>0</v>
      </c>
      <c r="AG46" s="174">
        <f t="shared" si="16"/>
        <v>0</v>
      </c>
      <c r="AH46" s="174">
        <f t="shared" si="16"/>
        <v>0</v>
      </c>
      <c r="AI46" s="174">
        <f t="shared" si="16"/>
        <v>0</v>
      </c>
      <c r="AJ46" s="174">
        <f t="shared" si="16"/>
        <v>0</v>
      </c>
      <c r="AK46" s="174">
        <f t="shared" si="16"/>
        <v>0</v>
      </c>
      <c r="AL46" s="174">
        <f t="shared" si="16"/>
        <v>0</v>
      </c>
      <c r="AM46" s="174">
        <f t="shared" si="16"/>
        <v>0</v>
      </c>
      <c r="AN46" s="174">
        <f t="shared" ref="AN46:BG46" si="17">SUM(AN47:AN54)</f>
        <v>0</v>
      </c>
      <c r="AO46" s="174">
        <f t="shared" si="17"/>
        <v>0</v>
      </c>
      <c r="AP46" s="174">
        <f t="shared" si="17"/>
        <v>0</v>
      </c>
      <c r="AQ46" s="174">
        <f t="shared" si="17"/>
        <v>0</v>
      </c>
      <c r="AR46" s="174">
        <f t="shared" si="17"/>
        <v>0</v>
      </c>
      <c r="AS46" s="174">
        <f t="shared" si="17"/>
        <v>0</v>
      </c>
      <c r="AT46" s="174">
        <f t="shared" si="17"/>
        <v>0</v>
      </c>
      <c r="AU46" s="174">
        <f t="shared" si="17"/>
        <v>0</v>
      </c>
      <c r="AV46" s="174">
        <f t="shared" si="17"/>
        <v>0</v>
      </c>
      <c r="AW46" s="174">
        <f t="shared" si="17"/>
        <v>0</v>
      </c>
      <c r="AX46" s="174">
        <f t="shared" si="17"/>
        <v>0</v>
      </c>
      <c r="AY46" s="174">
        <f t="shared" si="17"/>
        <v>0</v>
      </c>
      <c r="AZ46" s="174">
        <f t="shared" si="17"/>
        <v>0</v>
      </c>
      <c r="BA46" s="174">
        <f t="shared" si="17"/>
        <v>0</v>
      </c>
      <c r="BB46" s="174">
        <f t="shared" si="17"/>
        <v>0</v>
      </c>
      <c r="BC46" s="174">
        <f t="shared" si="17"/>
        <v>0</v>
      </c>
      <c r="BD46" s="174">
        <f t="shared" si="17"/>
        <v>0</v>
      </c>
      <c r="BE46" s="174">
        <f t="shared" si="17"/>
        <v>0</v>
      </c>
      <c r="BF46" s="174">
        <f t="shared" si="17"/>
        <v>0</v>
      </c>
      <c r="BG46" s="174">
        <f t="shared" si="17"/>
        <v>0</v>
      </c>
      <c r="BH46" s="36"/>
      <c r="BI46" s="150"/>
      <c r="BJ46" s="150"/>
      <c r="BK46" s="151"/>
      <c r="BL46" s="151"/>
      <c r="BM46" s="150"/>
      <c r="BN46" s="150"/>
      <c r="BO46" s="36"/>
      <c r="BP46" s="36"/>
    </row>
    <row r="47" spans="1:68" hidden="1" outlineLevel="1" x14ac:dyDescent="0.25">
      <c r="A47" s="167">
        <v>2458</v>
      </c>
      <c r="B47" s="168" t="str" cm="1">
        <f t="array" ref="B47">IF(BI47="","",INDEX(pjName,BI47))</f>
        <v>Summit Ridge Village</v>
      </c>
      <c r="C47" s="167" t="str" cm="1">
        <f t="array" ref="C47">IF(BI47="","",IF(INDEX(pjStatus,BI47)="","",INDEX(pjStatus,BI47)))</f>
        <v>Inactive</v>
      </c>
      <c r="D47" s="167" t="str" cm="1">
        <f t="array" ref="D47">IFERROR(INDEX(tblStaff[Initials],BN47),"")</f>
        <v>PK</v>
      </c>
      <c r="E47" s="169" cm="1">
        <f t="array" ref="E47">IF(OR(BI47="",D47=""),"",IFERROR(SUMPRODUCT((pjNo=A47)*(pjType="Phase")*INDEX(Projects!$I$5:$O$1188,0,MATCH(D47,Projects!$I$4:$O$4,0))*pjWk),0))</f>
        <v>0</v>
      </c>
      <c r="F47" s="169">
        <f t="shared" ref="F47:F54" si="18">IF(BI47="","",SUM(H47:BG47))</f>
        <v>0</v>
      </c>
      <c r="G47" s="169">
        <f t="shared" ref="G47:G54" si="19">IF(OR(E47="",F47=""),"",E47-F47)</f>
        <v>0</v>
      </c>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36"/>
      <c r="BI47" s="150" cm="1">
        <f t="array" ref="BI47">IF(A47="","",IFERROR(MATCH(1,INDEX((pjNo=A47)*(pjType="Project"),0),0),""))</f>
        <v>21</v>
      </c>
      <c r="BJ47" s="150" t="str">
        <f>IF(D47="","",IFERROR(INDEX(tblStaff[Staff Level],MATCH(D47,tblStaff[Initials],0)),"?"))</f>
        <v>Principal</v>
      </c>
      <c r="BK47" s="151" t="str" cm="1">
        <f t="array" ref="BK47">IF(BI47="","",INDEX(pjStart,BI47))</f>
        <v/>
      </c>
      <c r="BL47" s="151" t="str" cm="1">
        <f t="array" ref="BL47">IF(BI47="","",INDEX(pjEnd,BI47))</f>
        <v/>
      </c>
      <c r="BM47" s="150">
        <f>IF(BI47="",0,IF(C47="Active",1,IF(C47="Prospective",IF(Assumptions!$B$6="Active only",0,Assumptions!$B$7),0)))</f>
        <v>0</v>
      </c>
      <c r="BN47" s="150">
        <v>1</v>
      </c>
      <c r="BO47" s="36"/>
      <c r="BP47" s="36"/>
    </row>
    <row r="48" spans="1:68" hidden="1" outlineLevel="1" x14ac:dyDescent="0.25">
      <c r="A48" s="167">
        <v>2458</v>
      </c>
      <c r="B48" s="168" t="str" cm="1">
        <f t="array" ref="B48">IF(BI48="","",INDEX(pjName,BI48))</f>
        <v>Summit Ridge Village</v>
      </c>
      <c r="C48" s="167" t="str" cm="1">
        <f t="array" ref="C48">IF(BI48="","",IF(INDEX(pjStatus,BI48)="","",INDEX(pjStatus,BI48)))</f>
        <v>Inactive</v>
      </c>
      <c r="D48" s="167" t="str" cm="1">
        <f t="array" ref="D48">IFERROR(INDEX(tblStaff[Initials],BN48),"")</f>
        <v>DF</v>
      </c>
      <c r="E48" s="169" cm="1">
        <f t="array" ref="E48">IF(OR(BI48="",D48=""),"",IFERROR(SUMPRODUCT((pjNo=A48)*(pjType="Phase")*INDEX(Projects!$I$5:$O$1188,0,MATCH(D48,Projects!$I$4:$O$4,0))*pjWk),0))</f>
        <v>0</v>
      </c>
      <c r="F48" s="169">
        <f t="shared" si="18"/>
        <v>0</v>
      </c>
      <c r="G48" s="169">
        <f t="shared" si="19"/>
        <v>0</v>
      </c>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c r="BE48" s="170"/>
      <c r="BF48" s="170"/>
      <c r="BG48" s="170"/>
      <c r="BH48" s="36"/>
      <c r="BI48" s="150" cm="1">
        <f t="array" ref="BI48">IF(A48="","",IFERROR(MATCH(1,INDEX((pjNo=A48)*(pjType="Project"),0),0),""))</f>
        <v>21</v>
      </c>
      <c r="BJ48" s="150" t="str">
        <f>IF(D48="","",IFERROR(INDEX(tblStaff[Staff Level],MATCH(D48,tblStaff[Initials],0)),"?"))</f>
        <v>Principal</v>
      </c>
      <c r="BK48" s="151" t="str" cm="1">
        <f t="array" ref="BK48">IF(BI48="","",INDEX(pjStart,BI48))</f>
        <v/>
      </c>
      <c r="BL48" s="151" t="str" cm="1">
        <f t="array" ref="BL48">IF(BI48="","",INDEX(pjEnd,BI48))</f>
        <v/>
      </c>
      <c r="BM48" s="150">
        <f>IF(BI48="",0,IF(C48="Active",1,IF(C48="Prospective",IF(Assumptions!$B$6="Active only",0,Assumptions!$B$7),0)))</f>
        <v>0</v>
      </c>
      <c r="BN48" s="150">
        <v>2</v>
      </c>
      <c r="BO48" s="36"/>
      <c r="BP48" s="36"/>
    </row>
    <row r="49" spans="1:68" hidden="1" outlineLevel="1" x14ac:dyDescent="0.25">
      <c r="A49" s="158">
        <v>2458</v>
      </c>
      <c r="B49" s="157" t="str" cm="1">
        <f t="array" ref="B49">IF(BI49="","",INDEX(pjName,BI49))</f>
        <v>Summit Ridge Village</v>
      </c>
      <c r="C49" s="158" t="str" cm="1">
        <f t="array" ref="C49">IF(BI49="","",IF(INDEX(pjStatus,BI49)="","",INDEX(pjStatus,BI49)))</f>
        <v>Inactive</v>
      </c>
      <c r="D49" s="158" t="str" cm="1">
        <f t="array" ref="D49">IFERROR(INDEX(tblStaff[Initials],BN49),"")</f>
        <v>KJ</v>
      </c>
      <c r="E49" s="159" cm="1">
        <f t="array" ref="E49">IF(OR(BI49="",D49=""),"",IFERROR(SUMPRODUCT((pjNo=A49)*(pjType="Phase")*INDEX(Projects!$I$5:$O$1188,0,MATCH(D49,Projects!$I$4:$O$4,0))*pjWk),0))</f>
        <v>0</v>
      </c>
      <c r="F49" s="159">
        <f t="shared" si="18"/>
        <v>0</v>
      </c>
      <c r="G49" s="159">
        <f t="shared" si="19"/>
        <v>0</v>
      </c>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36"/>
      <c r="BI49" s="150" cm="1">
        <f t="array" ref="BI49">IF(A49="","",IFERROR(MATCH(1,INDEX((pjNo=A49)*(pjType="Project"),0),0),""))</f>
        <v>21</v>
      </c>
      <c r="BJ49" s="150" t="str">
        <f>IF(D49="","",IFERROR(INDEX(tblStaff[Staff Level],MATCH(D49,tblStaff[Initials],0)),"?"))</f>
        <v>Director</v>
      </c>
      <c r="BK49" s="151" t="str" cm="1">
        <f t="array" ref="BK49">IF(BI49="","",INDEX(pjStart,BI49))</f>
        <v/>
      </c>
      <c r="BL49" s="151" t="str" cm="1">
        <f t="array" ref="BL49">IF(BI49="","",INDEX(pjEnd,BI49))</f>
        <v/>
      </c>
      <c r="BM49" s="150">
        <f>IF(BI49="",0,IF(C49="Active",1,IF(C49="Prospective",IF(Assumptions!$B$6="Active only",0,Assumptions!$B$7),0)))</f>
        <v>0</v>
      </c>
      <c r="BN49" s="150">
        <v>3</v>
      </c>
      <c r="BO49" s="36"/>
      <c r="BP49" s="36"/>
    </row>
    <row r="50" spans="1:68" hidden="1" outlineLevel="1" x14ac:dyDescent="0.25">
      <c r="A50" s="158">
        <v>2458</v>
      </c>
      <c r="B50" s="157" t="str" cm="1">
        <f t="array" ref="B50">IF(BI50="","",INDEX(pjName,BI50))</f>
        <v>Summit Ridge Village</v>
      </c>
      <c r="C50" s="158" t="str" cm="1">
        <f t="array" ref="C50">IF(BI50="","",IF(INDEX(pjStatus,BI50)="","",INDEX(pjStatus,BI50)))</f>
        <v>Inactive</v>
      </c>
      <c r="D50" s="158" t="str" cm="1">
        <f t="array" ref="D50">IFERROR(INDEX(tblStaff[Initials],BN50),"")</f>
        <v>HL</v>
      </c>
      <c r="E50" s="159" cm="1">
        <f t="array" ref="E50">IF(OR(BI50="",D50=""),"",IFERROR(SUMPRODUCT((pjNo=A50)*(pjType="Phase")*INDEX(Projects!$I$5:$O$1188,0,MATCH(D50,Projects!$I$4:$O$4,0))*pjWk),0))</f>
        <v>0</v>
      </c>
      <c r="F50" s="159">
        <f t="shared" si="18"/>
        <v>0</v>
      </c>
      <c r="G50" s="159">
        <f t="shared" si="19"/>
        <v>0</v>
      </c>
      <c r="H50" s="160"/>
      <c r="I50" s="160"/>
      <c r="J50" s="160"/>
      <c r="K50" s="160"/>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0"/>
      <c r="AK50" s="160"/>
      <c r="AL50" s="160"/>
      <c r="AM50" s="160"/>
      <c r="AN50" s="160"/>
      <c r="AO50" s="160"/>
      <c r="AP50" s="160"/>
      <c r="AQ50" s="160"/>
      <c r="AR50" s="160"/>
      <c r="AS50" s="160"/>
      <c r="AT50" s="160"/>
      <c r="AU50" s="160"/>
      <c r="AV50" s="160"/>
      <c r="AW50" s="160"/>
      <c r="AX50" s="160"/>
      <c r="AY50" s="160"/>
      <c r="AZ50" s="160"/>
      <c r="BA50" s="160"/>
      <c r="BB50" s="160"/>
      <c r="BC50" s="160"/>
      <c r="BD50" s="160"/>
      <c r="BE50" s="160"/>
      <c r="BF50" s="160"/>
      <c r="BG50" s="160"/>
      <c r="BH50" s="36"/>
      <c r="BI50" s="150" cm="1">
        <f t="array" ref="BI50">IF(A50="","",IFERROR(MATCH(1,INDEX((pjNo=A50)*(pjType="Project"),0),0),""))</f>
        <v>21</v>
      </c>
      <c r="BJ50" s="150" t="str">
        <f>IF(D50="","",IFERROR(INDEX(tblStaff[Staff Level],MATCH(D50,tblStaff[Initials],0)),"?"))</f>
        <v>Senior Designer</v>
      </c>
      <c r="BK50" s="151" t="str" cm="1">
        <f t="array" ref="BK50">IF(BI50="","",INDEX(pjStart,BI50))</f>
        <v/>
      </c>
      <c r="BL50" s="151" t="str" cm="1">
        <f t="array" ref="BL50">IF(BI50="","",INDEX(pjEnd,BI50))</f>
        <v/>
      </c>
      <c r="BM50" s="150">
        <f>IF(BI50="",0,IF(C50="Active",1,IF(C50="Prospective",IF(Assumptions!$B$6="Active only",0,Assumptions!$B$7),0)))</f>
        <v>0</v>
      </c>
      <c r="BN50" s="150">
        <v>4</v>
      </c>
      <c r="BO50" s="36"/>
      <c r="BP50" s="36"/>
    </row>
    <row r="51" spans="1:68" hidden="1" outlineLevel="1" x14ac:dyDescent="0.25">
      <c r="A51" s="158">
        <v>2458</v>
      </c>
      <c r="B51" s="157" t="str" cm="1">
        <f t="array" ref="B51">IF(BI51="","",INDEX(pjName,BI51))</f>
        <v>Summit Ridge Village</v>
      </c>
      <c r="C51" s="158" t="str" cm="1">
        <f t="array" ref="C51">IF(BI51="","",IF(INDEX(pjStatus,BI51)="","",INDEX(pjStatus,BI51)))</f>
        <v>Inactive</v>
      </c>
      <c r="D51" s="158" t="str" cm="1">
        <f t="array" ref="D51">IFERROR(INDEX(tblStaff[Initials],BN51),"")</f>
        <v>EHH</v>
      </c>
      <c r="E51" s="159" cm="1">
        <f t="array" ref="E51">IF(OR(BI51="",D51=""),"",IFERROR(SUMPRODUCT((pjNo=A51)*(pjType="Phase")*INDEX(Projects!$I$5:$O$1188,0,MATCH(D51,Projects!$I$4:$O$4,0))*pjWk),0))</f>
        <v>0</v>
      </c>
      <c r="F51" s="159">
        <f t="shared" si="18"/>
        <v>0</v>
      </c>
      <c r="G51" s="159">
        <f t="shared" si="19"/>
        <v>0</v>
      </c>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0"/>
      <c r="AK51" s="160"/>
      <c r="AL51" s="160"/>
      <c r="AM51" s="160"/>
      <c r="AN51" s="160"/>
      <c r="AO51" s="160"/>
      <c r="AP51" s="160"/>
      <c r="AQ51" s="160"/>
      <c r="AR51" s="160"/>
      <c r="AS51" s="160"/>
      <c r="AT51" s="160"/>
      <c r="AU51" s="160"/>
      <c r="AV51" s="160"/>
      <c r="AW51" s="160"/>
      <c r="AX51" s="160"/>
      <c r="AY51" s="160"/>
      <c r="AZ51" s="160"/>
      <c r="BA51" s="160"/>
      <c r="BB51" s="160"/>
      <c r="BC51" s="160"/>
      <c r="BD51" s="160"/>
      <c r="BE51" s="160"/>
      <c r="BF51" s="160"/>
      <c r="BG51" s="160"/>
      <c r="BH51" s="36"/>
      <c r="BI51" s="150" cm="1">
        <f t="array" ref="BI51">IF(A51="","",IFERROR(MATCH(1,INDEX((pjNo=A51)*(pjType="Project"),0),0),""))</f>
        <v>21</v>
      </c>
      <c r="BJ51" s="150" t="str">
        <f>IF(D51="","",IFERROR(INDEX(tblStaff[Staff Level],MATCH(D51,tblStaff[Initials],0)),"?"))</f>
        <v>Mid Level Designer</v>
      </c>
      <c r="BK51" s="151" t="str" cm="1">
        <f t="array" ref="BK51">IF(BI51="","",INDEX(pjStart,BI51))</f>
        <v/>
      </c>
      <c r="BL51" s="151" t="str" cm="1">
        <f t="array" ref="BL51">IF(BI51="","",INDEX(pjEnd,BI51))</f>
        <v/>
      </c>
      <c r="BM51" s="150">
        <f>IF(BI51="",0,IF(C51="Active",1,IF(C51="Prospective",IF(Assumptions!$B$6="Active only",0,Assumptions!$B$7),0)))</f>
        <v>0</v>
      </c>
      <c r="BN51" s="150">
        <v>5</v>
      </c>
      <c r="BO51" s="36"/>
      <c r="BP51" s="36"/>
    </row>
    <row r="52" spans="1:68" hidden="1" outlineLevel="1" x14ac:dyDescent="0.25">
      <c r="A52" s="158">
        <v>2458</v>
      </c>
      <c r="B52" s="157" t="str" cm="1">
        <f t="array" ref="B52">IF(BI52="","",INDEX(pjName,BI52))</f>
        <v>Summit Ridge Village</v>
      </c>
      <c r="C52" s="158" t="str" cm="1">
        <f t="array" ref="C52">IF(BI52="","",IF(INDEX(pjStatus,BI52)="","",INDEX(pjStatus,BI52)))</f>
        <v>Inactive</v>
      </c>
      <c r="D52" s="158" t="str" cm="1">
        <f t="array" ref="D52">IFERROR(INDEX(tblStaff[Initials],BN52),"")</f>
        <v>KD</v>
      </c>
      <c r="E52" s="159" cm="1">
        <f t="array" ref="E52">IF(OR(BI52="",D52=""),"",IFERROR(SUMPRODUCT((pjNo=A52)*(pjType="Phase")*INDEX(Projects!$I$5:$O$1188,0,MATCH(D52,Projects!$I$4:$O$4,0))*pjWk),0))</f>
        <v>0</v>
      </c>
      <c r="F52" s="159">
        <f t="shared" si="18"/>
        <v>0</v>
      </c>
      <c r="G52" s="159">
        <f t="shared" si="19"/>
        <v>0</v>
      </c>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c r="AM52" s="160"/>
      <c r="AN52" s="160"/>
      <c r="AO52" s="160"/>
      <c r="AP52" s="160"/>
      <c r="AQ52" s="160"/>
      <c r="AR52" s="160"/>
      <c r="AS52" s="160"/>
      <c r="AT52" s="160"/>
      <c r="AU52" s="160"/>
      <c r="AV52" s="160"/>
      <c r="AW52" s="160"/>
      <c r="AX52" s="160"/>
      <c r="AY52" s="160"/>
      <c r="AZ52" s="160"/>
      <c r="BA52" s="160"/>
      <c r="BB52" s="160"/>
      <c r="BC52" s="160"/>
      <c r="BD52" s="160"/>
      <c r="BE52" s="160"/>
      <c r="BF52" s="160"/>
      <c r="BG52" s="160"/>
      <c r="BH52" s="36"/>
      <c r="BI52" s="150" cm="1">
        <f t="array" ref="BI52">IF(A52="","",IFERROR(MATCH(1,INDEX((pjNo=A52)*(pjType="Project"),0),0),""))</f>
        <v>21</v>
      </c>
      <c r="BJ52" s="150" t="str">
        <f>IF(D52="","",IFERROR(INDEX(tblStaff[Staff Level],MATCH(D52,tblStaff[Initials],0)),"?"))</f>
        <v>Mid Level Designer</v>
      </c>
      <c r="BK52" s="151" t="str" cm="1">
        <f t="array" ref="BK52">IF(BI52="","",INDEX(pjStart,BI52))</f>
        <v/>
      </c>
      <c r="BL52" s="151" t="str" cm="1">
        <f t="array" ref="BL52">IF(BI52="","",INDEX(pjEnd,BI52))</f>
        <v/>
      </c>
      <c r="BM52" s="150">
        <f>IF(BI52="",0,IF(C52="Active",1,IF(C52="Prospective",IF(Assumptions!$B$6="Active only",0,Assumptions!$B$7),0)))</f>
        <v>0</v>
      </c>
      <c r="BN52" s="150">
        <v>6</v>
      </c>
      <c r="BO52" s="36"/>
      <c r="BP52" s="36"/>
    </row>
    <row r="53" spans="1:68" hidden="1" outlineLevel="1" x14ac:dyDescent="0.25">
      <c r="A53" s="158">
        <v>2458</v>
      </c>
      <c r="B53" s="157" t="str" cm="1">
        <f t="array" ref="B53">IF(BI53="","",INDEX(pjName,BI53))</f>
        <v>Summit Ridge Village</v>
      </c>
      <c r="C53" s="158" t="str" cm="1">
        <f t="array" ref="C53">IF(BI53="","",IF(INDEX(pjStatus,BI53)="","",INDEX(pjStatus,BI53)))</f>
        <v>Inactive</v>
      </c>
      <c r="D53" s="158" t="str" cm="1">
        <f t="array" ref="D53">IFERROR(INDEX(tblStaff[Initials],BN53),"")</f>
        <v>XX</v>
      </c>
      <c r="E53" s="159" cm="1">
        <f t="array" ref="E53">IF(OR(BI53="",D53=""),"",IFERROR(SUMPRODUCT((pjNo=A53)*(pjType="Phase")*INDEX(Projects!$I$5:$O$1188,0,MATCH(D53,Projects!$I$4:$O$4,0))*pjWk),0))</f>
        <v>0</v>
      </c>
      <c r="F53" s="159">
        <f t="shared" si="18"/>
        <v>0</v>
      </c>
      <c r="G53" s="159">
        <f t="shared" si="19"/>
        <v>0</v>
      </c>
      <c r="H53" s="160"/>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160"/>
      <c r="AH53" s="160"/>
      <c r="AI53" s="160"/>
      <c r="AJ53" s="160"/>
      <c r="AK53" s="160"/>
      <c r="AL53" s="160"/>
      <c r="AM53" s="160"/>
      <c r="AN53" s="160"/>
      <c r="AO53" s="160"/>
      <c r="AP53" s="160"/>
      <c r="AQ53" s="160"/>
      <c r="AR53" s="160"/>
      <c r="AS53" s="160"/>
      <c r="AT53" s="160"/>
      <c r="AU53" s="160"/>
      <c r="AV53" s="160"/>
      <c r="AW53" s="160"/>
      <c r="AX53" s="160"/>
      <c r="AY53" s="160"/>
      <c r="AZ53" s="160"/>
      <c r="BA53" s="160"/>
      <c r="BB53" s="160"/>
      <c r="BC53" s="160"/>
      <c r="BD53" s="160"/>
      <c r="BE53" s="160"/>
      <c r="BF53" s="160"/>
      <c r="BG53" s="160"/>
      <c r="BH53" s="36"/>
      <c r="BI53" s="150" cm="1">
        <f t="array" ref="BI53">IF(A53="","",IFERROR(MATCH(1,INDEX((pjNo=A53)*(pjType="Project"),0),0),""))</f>
        <v>21</v>
      </c>
      <c r="BJ53" s="150" t="str">
        <f>IF(D53="","",IFERROR(INDEX(tblStaff[Staff Level],MATCH(D53,tblStaff[Initials],0)),"?"))</f>
        <v>Project Designer</v>
      </c>
      <c r="BK53" s="151" t="str" cm="1">
        <f t="array" ref="BK53">IF(BI53="","",INDEX(pjStart,BI53))</f>
        <v/>
      </c>
      <c r="BL53" s="151" t="str" cm="1">
        <f t="array" ref="BL53">IF(BI53="","",INDEX(pjEnd,BI53))</f>
        <v/>
      </c>
      <c r="BM53" s="150">
        <f>IF(BI53="",0,IF(C53="Active",1,IF(C53="Prospective",IF(Assumptions!$B$6="Active only",0,Assumptions!$B$7),0)))</f>
        <v>0</v>
      </c>
      <c r="BN53" s="150">
        <v>7</v>
      </c>
      <c r="BO53" s="36"/>
      <c r="BP53" s="36"/>
    </row>
    <row r="54" spans="1:68" hidden="1" outlineLevel="1" x14ac:dyDescent="0.25">
      <c r="A54" s="162">
        <v>2458</v>
      </c>
      <c r="B54" s="161" t="str" cm="1">
        <f t="array" ref="B54">IF(BI54="","",INDEX(pjName,BI54))</f>
        <v>Summit Ridge Village</v>
      </c>
      <c r="C54" s="162" t="str" cm="1">
        <f t="array" ref="C54">IF(BI54="","",IF(INDEX(pjStatus,BI54)="","",INDEX(pjStatus,BI54)))</f>
        <v>Inactive</v>
      </c>
      <c r="D54" s="162" t="str" cm="1">
        <f t="array" ref="D54">IFERROR(INDEX(tblStaff[Initials],BN54),"")</f>
        <v/>
      </c>
      <c r="E54" s="163" t="str" cm="1">
        <f t="array" ref="E54">IF(OR(BI54="",D54=""),"",IFERROR(SUMPRODUCT((pjNo=A54)*(pjType="Phase")*INDEX(Projects!$I$5:$O$1188,0,MATCH(D54,Projects!$I$4:$O$4,0))*pjWk),0))</f>
        <v/>
      </c>
      <c r="F54" s="163">
        <f t="shared" si="18"/>
        <v>0</v>
      </c>
      <c r="G54" s="163" t="str">
        <f t="shared" si="19"/>
        <v/>
      </c>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c r="BF54" s="164"/>
      <c r="BG54" s="164"/>
      <c r="BH54" s="36"/>
      <c r="BI54" s="150" cm="1">
        <f t="array" ref="BI54">IF(A54="","",IFERROR(MATCH(1,INDEX((pjNo=A54)*(pjType="Project"),0),0),""))</f>
        <v>21</v>
      </c>
      <c r="BJ54" s="150" t="str">
        <f>IF(D54="","",IFERROR(INDEX(tblStaff[Staff Level],MATCH(D54,tblStaff[Initials],0)),"?"))</f>
        <v/>
      </c>
      <c r="BK54" s="151" t="str" cm="1">
        <f t="array" ref="BK54">IF(BI54="","",INDEX(pjStart,BI54))</f>
        <v/>
      </c>
      <c r="BL54" s="151" t="str" cm="1">
        <f t="array" ref="BL54">IF(BI54="","",INDEX(pjEnd,BI54))</f>
        <v/>
      </c>
      <c r="BM54" s="150">
        <f>IF(BI54="",0,IF(C54="Active",1,IF(C54="Prospective",IF(Assumptions!$B$6="Active only",0,Assumptions!$B$7),0)))</f>
        <v>0</v>
      </c>
      <c r="BN54" s="150">
        <v>8</v>
      </c>
      <c r="BO54" s="36"/>
      <c r="BP54" s="36"/>
    </row>
    <row r="55" spans="1:68" collapsed="1" x14ac:dyDescent="0.25">
      <c r="A55" s="171"/>
      <c r="B55" s="173" t="str">
        <f>IF(A56="","",A56&amp;" · "&amp;B56)</f>
        <v>2469 · Fairhaven Village</v>
      </c>
      <c r="C55" s="171" t="str">
        <f>IF(A56="","",C56)</f>
        <v>Active</v>
      </c>
      <c r="D55" s="171"/>
      <c r="E55" s="172">
        <f>SUM(E56:E63)</f>
        <v>0</v>
      </c>
      <c r="F55" s="172">
        <f>SUM(F56:F63)</f>
        <v>0</v>
      </c>
      <c r="G55" s="172" t="str">
        <f>IF(E55=0,"",E55-F55)</f>
        <v/>
      </c>
      <c r="H55" s="174">
        <f t="shared" ref="H55:AM55" si="20">SUM(H56:H63)</f>
        <v>0</v>
      </c>
      <c r="I55" s="174">
        <f t="shared" si="20"/>
        <v>0</v>
      </c>
      <c r="J55" s="174">
        <f t="shared" si="20"/>
        <v>0</v>
      </c>
      <c r="K55" s="174">
        <f t="shared" si="20"/>
        <v>0</v>
      </c>
      <c r="L55" s="174">
        <f t="shared" si="20"/>
        <v>0</v>
      </c>
      <c r="M55" s="174">
        <f t="shared" si="20"/>
        <v>0</v>
      </c>
      <c r="N55" s="174">
        <f t="shared" si="20"/>
        <v>0</v>
      </c>
      <c r="O55" s="174">
        <f t="shared" si="20"/>
        <v>0</v>
      </c>
      <c r="P55" s="174">
        <f t="shared" si="20"/>
        <v>0</v>
      </c>
      <c r="Q55" s="174">
        <f t="shared" si="20"/>
        <v>0</v>
      </c>
      <c r="R55" s="174">
        <f t="shared" si="20"/>
        <v>0</v>
      </c>
      <c r="S55" s="174">
        <f t="shared" si="20"/>
        <v>0</v>
      </c>
      <c r="T55" s="174">
        <f t="shared" si="20"/>
        <v>0</v>
      </c>
      <c r="U55" s="174">
        <f t="shared" si="20"/>
        <v>0</v>
      </c>
      <c r="V55" s="174">
        <f t="shared" si="20"/>
        <v>0</v>
      </c>
      <c r="W55" s="174">
        <f t="shared" si="20"/>
        <v>0</v>
      </c>
      <c r="X55" s="174">
        <f t="shared" si="20"/>
        <v>0</v>
      </c>
      <c r="Y55" s="174">
        <f t="shared" si="20"/>
        <v>0</v>
      </c>
      <c r="Z55" s="174">
        <f t="shared" si="20"/>
        <v>0</v>
      </c>
      <c r="AA55" s="174">
        <f t="shared" si="20"/>
        <v>0</v>
      </c>
      <c r="AB55" s="174">
        <f t="shared" si="20"/>
        <v>0</v>
      </c>
      <c r="AC55" s="174">
        <f t="shared" si="20"/>
        <v>0</v>
      </c>
      <c r="AD55" s="174">
        <f t="shared" si="20"/>
        <v>0</v>
      </c>
      <c r="AE55" s="174">
        <f t="shared" si="20"/>
        <v>0</v>
      </c>
      <c r="AF55" s="174">
        <f t="shared" si="20"/>
        <v>0</v>
      </c>
      <c r="AG55" s="174">
        <f t="shared" si="20"/>
        <v>0</v>
      </c>
      <c r="AH55" s="174">
        <f t="shared" si="20"/>
        <v>0</v>
      </c>
      <c r="AI55" s="174">
        <f t="shared" si="20"/>
        <v>0</v>
      </c>
      <c r="AJ55" s="174">
        <f t="shared" si="20"/>
        <v>0</v>
      </c>
      <c r="AK55" s="174">
        <f t="shared" si="20"/>
        <v>0</v>
      </c>
      <c r="AL55" s="174">
        <f t="shared" si="20"/>
        <v>0</v>
      </c>
      <c r="AM55" s="174">
        <f t="shared" si="20"/>
        <v>0</v>
      </c>
      <c r="AN55" s="174">
        <f t="shared" ref="AN55:BG55" si="21">SUM(AN56:AN63)</f>
        <v>0</v>
      </c>
      <c r="AO55" s="174">
        <f t="shared" si="21"/>
        <v>0</v>
      </c>
      <c r="AP55" s="174">
        <f t="shared" si="21"/>
        <v>0</v>
      </c>
      <c r="AQ55" s="174">
        <f t="shared" si="21"/>
        <v>0</v>
      </c>
      <c r="AR55" s="174">
        <f t="shared" si="21"/>
        <v>0</v>
      </c>
      <c r="AS55" s="174">
        <f t="shared" si="21"/>
        <v>0</v>
      </c>
      <c r="AT55" s="174">
        <f t="shared" si="21"/>
        <v>0</v>
      </c>
      <c r="AU55" s="174">
        <f t="shared" si="21"/>
        <v>0</v>
      </c>
      <c r="AV55" s="174">
        <f t="shared" si="21"/>
        <v>0</v>
      </c>
      <c r="AW55" s="174">
        <f t="shared" si="21"/>
        <v>0</v>
      </c>
      <c r="AX55" s="174">
        <f t="shared" si="21"/>
        <v>0</v>
      </c>
      <c r="AY55" s="174">
        <f t="shared" si="21"/>
        <v>0</v>
      </c>
      <c r="AZ55" s="174">
        <f t="shared" si="21"/>
        <v>0</v>
      </c>
      <c r="BA55" s="174">
        <f t="shared" si="21"/>
        <v>0</v>
      </c>
      <c r="BB55" s="174">
        <f t="shared" si="21"/>
        <v>0</v>
      </c>
      <c r="BC55" s="174">
        <f t="shared" si="21"/>
        <v>0</v>
      </c>
      <c r="BD55" s="174">
        <f t="shared" si="21"/>
        <v>0</v>
      </c>
      <c r="BE55" s="174">
        <f t="shared" si="21"/>
        <v>0</v>
      </c>
      <c r="BF55" s="174">
        <f t="shared" si="21"/>
        <v>0</v>
      </c>
      <c r="BG55" s="174">
        <f t="shared" si="21"/>
        <v>0</v>
      </c>
      <c r="BH55" s="36"/>
      <c r="BI55" s="150"/>
      <c r="BJ55" s="150"/>
      <c r="BK55" s="151"/>
      <c r="BL55" s="151"/>
      <c r="BM55" s="150"/>
      <c r="BN55" s="150"/>
      <c r="BO55" s="36"/>
      <c r="BP55" s="36"/>
    </row>
    <row r="56" spans="1:68" hidden="1" outlineLevel="1" x14ac:dyDescent="0.25">
      <c r="A56" s="167">
        <v>2469</v>
      </c>
      <c r="B56" s="168" t="str" cm="1">
        <f t="array" ref="B56">IF(BI56="","",INDEX(pjName,BI56))</f>
        <v>Fairhaven Village</v>
      </c>
      <c r="C56" s="167" t="str" cm="1">
        <f t="array" ref="C56">IF(BI56="","",IF(INDEX(pjStatus,BI56)="","",INDEX(pjStatus,BI56)))</f>
        <v>Active</v>
      </c>
      <c r="D56" s="167" t="str" cm="1">
        <f t="array" ref="D56">IFERROR(INDEX(tblStaff[Initials],BN56),"")</f>
        <v>PK</v>
      </c>
      <c r="E56" s="169" cm="1">
        <f t="array" ref="E56">IF(OR(BI56="",D56=""),"",IFERROR(SUMPRODUCT((pjNo=A56)*(pjType="Phase")*INDEX(Projects!$I$5:$O$1188,0,MATCH(D56,Projects!$I$4:$O$4,0))*pjWk),0))</f>
        <v>0</v>
      </c>
      <c r="F56" s="169">
        <f t="shared" ref="F56:F63" si="22">IF(BI56="","",SUM(H56:BG56))</f>
        <v>0</v>
      </c>
      <c r="G56" s="169">
        <f t="shared" ref="G56:G63" si="23">IF(OR(E56="",F56=""),"",E56-F56)</f>
        <v>0</v>
      </c>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36"/>
      <c r="BI56" s="150" cm="1">
        <f t="array" ref="BI56">IF(A56="","",IFERROR(MATCH(1,INDEX((pjNo=A56)*(pjType="Project"),0),0),""))</f>
        <v>30</v>
      </c>
      <c r="BJ56" s="150" t="str">
        <f>IF(D56="","",IFERROR(INDEX(tblStaff[Staff Level],MATCH(D56,tblStaff[Initials],0)),"?"))</f>
        <v>Principal</v>
      </c>
      <c r="BK56" s="151" t="str" cm="1">
        <f t="array" ref="BK56">IF(BI56="","",INDEX(pjStart,BI56))</f>
        <v/>
      </c>
      <c r="BL56" s="151" t="str" cm="1">
        <f t="array" ref="BL56">IF(BI56="","",INDEX(pjEnd,BI56))</f>
        <v/>
      </c>
      <c r="BM56" s="150">
        <f>IF(BI56="",0,IF(C56="Active",1,IF(C56="Prospective",IF(Assumptions!$B$6="Active only",0,Assumptions!$B$7),0)))</f>
        <v>1</v>
      </c>
      <c r="BN56" s="150">
        <v>1</v>
      </c>
      <c r="BO56" s="36"/>
      <c r="BP56" s="36"/>
    </row>
    <row r="57" spans="1:68" hidden="1" outlineLevel="1" x14ac:dyDescent="0.25">
      <c r="A57" s="167">
        <v>2469</v>
      </c>
      <c r="B57" s="168" t="str" cm="1">
        <f t="array" ref="B57">IF(BI57="","",INDEX(pjName,BI57))</f>
        <v>Fairhaven Village</v>
      </c>
      <c r="C57" s="167" t="str" cm="1">
        <f t="array" ref="C57">IF(BI57="","",IF(INDEX(pjStatus,BI57)="","",INDEX(pjStatus,BI57)))</f>
        <v>Active</v>
      </c>
      <c r="D57" s="167" t="str" cm="1">
        <f t="array" ref="D57">IFERROR(INDEX(tblStaff[Initials],BN57),"")</f>
        <v>DF</v>
      </c>
      <c r="E57" s="169" cm="1">
        <f t="array" ref="E57">IF(OR(BI57="",D57=""),"",IFERROR(SUMPRODUCT((pjNo=A57)*(pjType="Phase")*INDEX(Projects!$I$5:$O$1188,0,MATCH(D57,Projects!$I$4:$O$4,0))*pjWk),0))</f>
        <v>0</v>
      </c>
      <c r="F57" s="169">
        <f t="shared" si="22"/>
        <v>0</v>
      </c>
      <c r="G57" s="169">
        <f t="shared" si="23"/>
        <v>0</v>
      </c>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36"/>
      <c r="BI57" s="150" cm="1">
        <f t="array" ref="BI57">IF(A57="","",IFERROR(MATCH(1,INDEX((pjNo=A57)*(pjType="Project"),0),0),""))</f>
        <v>30</v>
      </c>
      <c r="BJ57" s="150" t="str">
        <f>IF(D57="","",IFERROR(INDEX(tblStaff[Staff Level],MATCH(D57,tblStaff[Initials],0)),"?"))</f>
        <v>Principal</v>
      </c>
      <c r="BK57" s="151" t="str" cm="1">
        <f t="array" ref="BK57">IF(BI57="","",INDEX(pjStart,BI57))</f>
        <v/>
      </c>
      <c r="BL57" s="151" t="str" cm="1">
        <f t="array" ref="BL57">IF(BI57="","",INDEX(pjEnd,BI57))</f>
        <v/>
      </c>
      <c r="BM57" s="150">
        <f>IF(BI57="",0,IF(C57="Active",1,IF(C57="Prospective",IF(Assumptions!$B$6="Active only",0,Assumptions!$B$7),0)))</f>
        <v>1</v>
      </c>
      <c r="BN57" s="150">
        <v>2</v>
      </c>
      <c r="BO57" s="36"/>
      <c r="BP57" s="36"/>
    </row>
    <row r="58" spans="1:68" hidden="1" outlineLevel="1" x14ac:dyDescent="0.25">
      <c r="A58" s="158">
        <v>2469</v>
      </c>
      <c r="B58" s="157" t="str" cm="1">
        <f t="array" ref="B58">IF(BI58="","",INDEX(pjName,BI58))</f>
        <v>Fairhaven Village</v>
      </c>
      <c r="C58" s="158" t="str" cm="1">
        <f t="array" ref="C58">IF(BI58="","",IF(INDEX(pjStatus,BI58)="","",INDEX(pjStatus,BI58)))</f>
        <v>Active</v>
      </c>
      <c r="D58" s="158" t="str" cm="1">
        <f t="array" ref="D58">IFERROR(INDEX(tblStaff[Initials],BN58),"")</f>
        <v>KJ</v>
      </c>
      <c r="E58" s="159" cm="1">
        <f t="array" ref="E58">IF(OR(BI58="",D58=""),"",IFERROR(SUMPRODUCT((pjNo=A58)*(pjType="Phase")*INDEX(Projects!$I$5:$O$1188,0,MATCH(D58,Projects!$I$4:$O$4,0))*pjWk),0))</f>
        <v>0</v>
      </c>
      <c r="F58" s="159">
        <f t="shared" si="22"/>
        <v>0</v>
      </c>
      <c r="G58" s="159">
        <f t="shared" si="23"/>
        <v>0</v>
      </c>
      <c r="H58" s="160"/>
      <c r="I58" s="160"/>
      <c r="J58" s="160"/>
      <c r="K58" s="160"/>
      <c r="L58" s="160"/>
      <c r="M58" s="160"/>
      <c r="N58" s="160"/>
      <c r="O58" s="160"/>
      <c r="P58" s="160"/>
      <c r="Q58" s="160"/>
      <c r="R58" s="160"/>
      <c r="S58" s="160"/>
      <c r="T58" s="160"/>
      <c r="U58" s="160"/>
      <c r="V58" s="160"/>
      <c r="W58" s="160"/>
      <c r="X58" s="160"/>
      <c r="Y58" s="160"/>
      <c r="Z58" s="160"/>
      <c r="AA58" s="160"/>
      <c r="AB58" s="160"/>
      <c r="AC58" s="160"/>
      <c r="AD58" s="160"/>
      <c r="AE58" s="160"/>
      <c r="AF58" s="160"/>
      <c r="AG58" s="160"/>
      <c r="AH58" s="160"/>
      <c r="AI58" s="160"/>
      <c r="AJ58" s="160"/>
      <c r="AK58" s="160"/>
      <c r="AL58" s="160"/>
      <c r="AM58" s="160"/>
      <c r="AN58" s="160"/>
      <c r="AO58" s="160"/>
      <c r="AP58" s="160"/>
      <c r="AQ58" s="160"/>
      <c r="AR58" s="160"/>
      <c r="AS58" s="160"/>
      <c r="AT58" s="160"/>
      <c r="AU58" s="160"/>
      <c r="AV58" s="160"/>
      <c r="AW58" s="160"/>
      <c r="AX58" s="160"/>
      <c r="AY58" s="160"/>
      <c r="AZ58" s="160"/>
      <c r="BA58" s="160"/>
      <c r="BB58" s="160"/>
      <c r="BC58" s="160"/>
      <c r="BD58" s="160"/>
      <c r="BE58" s="160"/>
      <c r="BF58" s="160"/>
      <c r="BG58" s="160"/>
      <c r="BH58" s="36"/>
      <c r="BI58" s="150" cm="1">
        <f t="array" ref="BI58">IF(A58="","",IFERROR(MATCH(1,INDEX((pjNo=A58)*(pjType="Project"),0),0),""))</f>
        <v>30</v>
      </c>
      <c r="BJ58" s="150" t="str">
        <f>IF(D58="","",IFERROR(INDEX(tblStaff[Staff Level],MATCH(D58,tblStaff[Initials],0)),"?"))</f>
        <v>Director</v>
      </c>
      <c r="BK58" s="151" t="str" cm="1">
        <f t="array" ref="BK58">IF(BI58="","",INDEX(pjStart,BI58))</f>
        <v/>
      </c>
      <c r="BL58" s="151" t="str" cm="1">
        <f t="array" ref="BL58">IF(BI58="","",INDEX(pjEnd,BI58))</f>
        <v/>
      </c>
      <c r="BM58" s="150">
        <f>IF(BI58="",0,IF(C58="Active",1,IF(C58="Prospective",IF(Assumptions!$B$6="Active only",0,Assumptions!$B$7),0)))</f>
        <v>1</v>
      </c>
      <c r="BN58" s="150">
        <v>3</v>
      </c>
      <c r="BO58" s="36"/>
      <c r="BP58" s="36"/>
    </row>
    <row r="59" spans="1:68" hidden="1" outlineLevel="1" x14ac:dyDescent="0.25">
      <c r="A59" s="158">
        <v>2469</v>
      </c>
      <c r="B59" s="157" t="str" cm="1">
        <f t="array" ref="B59">IF(BI59="","",INDEX(pjName,BI59))</f>
        <v>Fairhaven Village</v>
      </c>
      <c r="C59" s="158" t="str" cm="1">
        <f t="array" ref="C59">IF(BI59="","",IF(INDEX(pjStatus,BI59)="","",INDEX(pjStatus,BI59)))</f>
        <v>Active</v>
      </c>
      <c r="D59" s="158" t="str" cm="1">
        <f t="array" ref="D59">IFERROR(INDEX(tblStaff[Initials],BN59),"")</f>
        <v>HL</v>
      </c>
      <c r="E59" s="159" cm="1">
        <f t="array" ref="E59">IF(OR(BI59="",D59=""),"",IFERROR(SUMPRODUCT((pjNo=A59)*(pjType="Phase")*INDEX(Projects!$I$5:$O$1188,0,MATCH(D59,Projects!$I$4:$O$4,0))*pjWk),0))</f>
        <v>0</v>
      </c>
      <c r="F59" s="159">
        <f t="shared" si="22"/>
        <v>0</v>
      </c>
      <c r="G59" s="159">
        <f t="shared" si="23"/>
        <v>0</v>
      </c>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c r="AM59" s="160"/>
      <c r="AN59" s="160"/>
      <c r="AO59" s="160"/>
      <c r="AP59" s="160"/>
      <c r="AQ59" s="160"/>
      <c r="AR59" s="160"/>
      <c r="AS59" s="160"/>
      <c r="AT59" s="160"/>
      <c r="AU59" s="160"/>
      <c r="AV59" s="160"/>
      <c r="AW59" s="160"/>
      <c r="AX59" s="160"/>
      <c r="AY59" s="160"/>
      <c r="AZ59" s="160"/>
      <c r="BA59" s="160"/>
      <c r="BB59" s="160"/>
      <c r="BC59" s="160"/>
      <c r="BD59" s="160"/>
      <c r="BE59" s="160"/>
      <c r="BF59" s="160"/>
      <c r="BG59" s="160"/>
      <c r="BH59" s="36"/>
      <c r="BI59" s="150" cm="1">
        <f t="array" ref="BI59">IF(A59="","",IFERROR(MATCH(1,INDEX((pjNo=A59)*(pjType="Project"),0),0),""))</f>
        <v>30</v>
      </c>
      <c r="BJ59" s="150" t="str">
        <f>IF(D59="","",IFERROR(INDEX(tblStaff[Staff Level],MATCH(D59,tblStaff[Initials],0)),"?"))</f>
        <v>Senior Designer</v>
      </c>
      <c r="BK59" s="151" t="str" cm="1">
        <f t="array" ref="BK59">IF(BI59="","",INDEX(pjStart,BI59))</f>
        <v/>
      </c>
      <c r="BL59" s="151" t="str" cm="1">
        <f t="array" ref="BL59">IF(BI59="","",INDEX(pjEnd,BI59))</f>
        <v/>
      </c>
      <c r="BM59" s="150">
        <f>IF(BI59="",0,IF(C59="Active",1,IF(C59="Prospective",IF(Assumptions!$B$6="Active only",0,Assumptions!$B$7),0)))</f>
        <v>1</v>
      </c>
      <c r="BN59" s="150">
        <v>4</v>
      </c>
      <c r="BO59" s="36"/>
      <c r="BP59" s="36"/>
    </row>
    <row r="60" spans="1:68" hidden="1" outlineLevel="1" x14ac:dyDescent="0.25">
      <c r="A60" s="158">
        <v>2469</v>
      </c>
      <c r="B60" s="157" t="str" cm="1">
        <f t="array" ref="B60">IF(BI60="","",INDEX(pjName,BI60))</f>
        <v>Fairhaven Village</v>
      </c>
      <c r="C60" s="158" t="str" cm="1">
        <f t="array" ref="C60">IF(BI60="","",IF(INDEX(pjStatus,BI60)="","",INDEX(pjStatus,BI60)))</f>
        <v>Active</v>
      </c>
      <c r="D60" s="158" t="str" cm="1">
        <f t="array" ref="D60">IFERROR(INDEX(tblStaff[Initials],BN60),"")</f>
        <v>EHH</v>
      </c>
      <c r="E60" s="159" cm="1">
        <f t="array" ref="E60">IF(OR(BI60="",D60=""),"",IFERROR(SUMPRODUCT((pjNo=A60)*(pjType="Phase")*INDEX(Projects!$I$5:$O$1188,0,MATCH(D60,Projects!$I$4:$O$4,0))*pjWk),0))</f>
        <v>0</v>
      </c>
      <c r="F60" s="159">
        <f t="shared" si="22"/>
        <v>0</v>
      </c>
      <c r="G60" s="159">
        <f t="shared" si="23"/>
        <v>0</v>
      </c>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36"/>
      <c r="BI60" s="150" cm="1">
        <f t="array" ref="BI60">IF(A60="","",IFERROR(MATCH(1,INDEX((pjNo=A60)*(pjType="Project"),0),0),""))</f>
        <v>30</v>
      </c>
      <c r="BJ60" s="150" t="str">
        <f>IF(D60="","",IFERROR(INDEX(tblStaff[Staff Level],MATCH(D60,tblStaff[Initials],0)),"?"))</f>
        <v>Mid Level Designer</v>
      </c>
      <c r="BK60" s="151" t="str" cm="1">
        <f t="array" ref="BK60">IF(BI60="","",INDEX(pjStart,BI60))</f>
        <v/>
      </c>
      <c r="BL60" s="151" t="str" cm="1">
        <f t="array" ref="BL60">IF(BI60="","",INDEX(pjEnd,BI60))</f>
        <v/>
      </c>
      <c r="BM60" s="150">
        <f>IF(BI60="",0,IF(C60="Active",1,IF(C60="Prospective",IF(Assumptions!$B$6="Active only",0,Assumptions!$B$7),0)))</f>
        <v>1</v>
      </c>
      <c r="BN60" s="150">
        <v>5</v>
      </c>
      <c r="BO60" s="36"/>
      <c r="BP60" s="36"/>
    </row>
    <row r="61" spans="1:68" hidden="1" outlineLevel="1" x14ac:dyDescent="0.25">
      <c r="A61" s="158">
        <v>2469</v>
      </c>
      <c r="B61" s="157" t="str" cm="1">
        <f t="array" ref="B61">IF(BI61="","",INDEX(pjName,BI61))</f>
        <v>Fairhaven Village</v>
      </c>
      <c r="C61" s="158" t="str" cm="1">
        <f t="array" ref="C61">IF(BI61="","",IF(INDEX(pjStatus,BI61)="","",INDEX(pjStatus,BI61)))</f>
        <v>Active</v>
      </c>
      <c r="D61" s="158" t="str" cm="1">
        <f t="array" ref="D61">IFERROR(INDEX(tblStaff[Initials],BN61),"")</f>
        <v>KD</v>
      </c>
      <c r="E61" s="159" cm="1">
        <f t="array" ref="E61">IF(OR(BI61="",D61=""),"",IFERROR(SUMPRODUCT((pjNo=A61)*(pjType="Phase")*INDEX(Projects!$I$5:$O$1188,0,MATCH(D61,Projects!$I$4:$O$4,0))*pjWk),0))</f>
        <v>0</v>
      </c>
      <c r="F61" s="159">
        <f t="shared" si="22"/>
        <v>0</v>
      </c>
      <c r="G61" s="159">
        <f t="shared" si="23"/>
        <v>0</v>
      </c>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0"/>
      <c r="AW61" s="160"/>
      <c r="AX61" s="160"/>
      <c r="AY61" s="160"/>
      <c r="AZ61" s="160"/>
      <c r="BA61" s="160"/>
      <c r="BB61" s="160"/>
      <c r="BC61" s="160"/>
      <c r="BD61" s="160"/>
      <c r="BE61" s="160"/>
      <c r="BF61" s="160"/>
      <c r="BG61" s="160"/>
      <c r="BH61" s="36"/>
      <c r="BI61" s="150" cm="1">
        <f t="array" ref="BI61">IF(A61="","",IFERROR(MATCH(1,INDEX((pjNo=A61)*(pjType="Project"),0),0),""))</f>
        <v>30</v>
      </c>
      <c r="BJ61" s="150" t="str">
        <f>IF(D61="","",IFERROR(INDEX(tblStaff[Staff Level],MATCH(D61,tblStaff[Initials],0)),"?"))</f>
        <v>Mid Level Designer</v>
      </c>
      <c r="BK61" s="151" t="str" cm="1">
        <f t="array" ref="BK61">IF(BI61="","",INDEX(pjStart,BI61))</f>
        <v/>
      </c>
      <c r="BL61" s="151" t="str" cm="1">
        <f t="array" ref="BL61">IF(BI61="","",INDEX(pjEnd,BI61))</f>
        <v/>
      </c>
      <c r="BM61" s="150">
        <f>IF(BI61="",0,IF(C61="Active",1,IF(C61="Prospective",IF(Assumptions!$B$6="Active only",0,Assumptions!$B$7),0)))</f>
        <v>1</v>
      </c>
      <c r="BN61" s="150">
        <v>6</v>
      </c>
      <c r="BO61" s="36"/>
      <c r="BP61" s="36"/>
    </row>
    <row r="62" spans="1:68" hidden="1" outlineLevel="1" x14ac:dyDescent="0.25">
      <c r="A62" s="158">
        <v>2469</v>
      </c>
      <c r="B62" s="157" t="str" cm="1">
        <f t="array" ref="B62">IF(BI62="","",INDEX(pjName,BI62))</f>
        <v>Fairhaven Village</v>
      </c>
      <c r="C62" s="158" t="str" cm="1">
        <f t="array" ref="C62">IF(BI62="","",IF(INDEX(pjStatus,BI62)="","",INDEX(pjStatus,BI62)))</f>
        <v>Active</v>
      </c>
      <c r="D62" s="158" t="str" cm="1">
        <f t="array" ref="D62">IFERROR(INDEX(tblStaff[Initials],BN62),"")</f>
        <v>XX</v>
      </c>
      <c r="E62" s="159" cm="1">
        <f t="array" ref="E62">IF(OR(BI62="",D62=""),"",IFERROR(SUMPRODUCT((pjNo=A62)*(pjType="Phase")*INDEX(Projects!$I$5:$O$1188,0,MATCH(D62,Projects!$I$4:$O$4,0))*pjWk),0))</f>
        <v>0</v>
      </c>
      <c r="F62" s="159">
        <f t="shared" si="22"/>
        <v>0</v>
      </c>
      <c r="G62" s="159">
        <f t="shared" si="23"/>
        <v>0</v>
      </c>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36"/>
      <c r="BI62" s="150" cm="1">
        <f t="array" ref="BI62">IF(A62="","",IFERROR(MATCH(1,INDEX((pjNo=A62)*(pjType="Project"),0),0),""))</f>
        <v>30</v>
      </c>
      <c r="BJ62" s="150" t="str">
        <f>IF(D62="","",IFERROR(INDEX(tblStaff[Staff Level],MATCH(D62,tblStaff[Initials],0)),"?"))</f>
        <v>Project Designer</v>
      </c>
      <c r="BK62" s="151" t="str" cm="1">
        <f t="array" ref="BK62">IF(BI62="","",INDEX(pjStart,BI62))</f>
        <v/>
      </c>
      <c r="BL62" s="151" t="str" cm="1">
        <f t="array" ref="BL62">IF(BI62="","",INDEX(pjEnd,BI62))</f>
        <v/>
      </c>
      <c r="BM62" s="150">
        <f>IF(BI62="",0,IF(C62="Active",1,IF(C62="Prospective",IF(Assumptions!$B$6="Active only",0,Assumptions!$B$7),0)))</f>
        <v>1</v>
      </c>
      <c r="BN62" s="150">
        <v>7</v>
      </c>
      <c r="BO62" s="36"/>
      <c r="BP62" s="36"/>
    </row>
    <row r="63" spans="1:68" hidden="1" outlineLevel="1" x14ac:dyDescent="0.25">
      <c r="A63" s="162">
        <v>2469</v>
      </c>
      <c r="B63" s="161" t="str" cm="1">
        <f t="array" ref="B63">IF(BI63="","",INDEX(pjName,BI63))</f>
        <v>Fairhaven Village</v>
      </c>
      <c r="C63" s="162" t="str" cm="1">
        <f t="array" ref="C63">IF(BI63="","",IF(INDEX(pjStatus,BI63)="","",INDEX(pjStatus,BI63)))</f>
        <v>Active</v>
      </c>
      <c r="D63" s="162" t="str" cm="1">
        <f t="array" ref="D63">IFERROR(INDEX(tblStaff[Initials],BN63),"")</f>
        <v/>
      </c>
      <c r="E63" s="163" t="str" cm="1">
        <f t="array" ref="E63">IF(OR(BI63="",D63=""),"",IFERROR(SUMPRODUCT((pjNo=A63)*(pjType="Phase")*INDEX(Projects!$I$5:$O$1188,0,MATCH(D63,Projects!$I$4:$O$4,0))*pjWk),0))</f>
        <v/>
      </c>
      <c r="F63" s="163">
        <f t="shared" si="22"/>
        <v>0</v>
      </c>
      <c r="G63" s="163" t="str">
        <f t="shared" si="23"/>
        <v/>
      </c>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164"/>
      <c r="BB63" s="164"/>
      <c r="BC63" s="164"/>
      <c r="BD63" s="164"/>
      <c r="BE63" s="164"/>
      <c r="BF63" s="164"/>
      <c r="BG63" s="164"/>
      <c r="BH63" s="36"/>
      <c r="BI63" s="150" cm="1">
        <f t="array" ref="BI63">IF(A63="","",IFERROR(MATCH(1,INDEX((pjNo=A63)*(pjType="Project"),0),0),""))</f>
        <v>30</v>
      </c>
      <c r="BJ63" s="150" t="str">
        <f>IF(D63="","",IFERROR(INDEX(tblStaff[Staff Level],MATCH(D63,tblStaff[Initials],0)),"?"))</f>
        <v/>
      </c>
      <c r="BK63" s="151" t="str" cm="1">
        <f t="array" ref="BK63">IF(BI63="","",INDEX(pjStart,BI63))</f>
        <v/>
      </c>
      <c r="BL63" s="151" t="str" cm="1">
        <f t="array" ref="BL63">IF(BI63="","",INDEX(pjEnd,BI63))</f>
        <v/>
      </c>
      <c r="BM63" s="150">
        <f>IF(BI63="",0,IF(C63="Active",1,IF(C63="Prospective",IF(Assumptions!$B$6="Active only",0,Assumptions!$B$7),0)))</f>
        <v>1</v>
      </c>
      <c r="BN63" s="150">
        <v>8</v>
      </c>
      <c r="BO63" s="36"/>
      <c r="BP63" s="36"/>
    </row>
    <row r="64" spans="1:68" collapsed="1" x14ac:dyDescent="0.25">
      <c r="A64" s="171"/>
      <c r="B64" s="173" t="str">
        <f>IF(A65="","",A65&amp;" · "&amp;B65)</f>
        <v>2470 · Canyon Vista Park</v>
      </c>
      <c r="C64" s="171" t="str">
        <f>IF(A65="","",C65)</f>
        <v>Active</v>
      </c>
      <c r="D64" s="171"/>
      <c r="E64" s="172">
        <f>SUM(E65:E72)</f>
        <v>0</v>
      </c>
      <c r="F64" s="172">
        <f>SUM(F65:F72)</f>
        <v>0</v>
      </c>
      <c r="G64" s="172" t="str">
        <f>IF(E64=0,"",E64-F64)</f>
        <v/>
      </c>
      <c r="H64" s="174">
        <f t="shared" ref="H64:AM64" si="24">SUM(H65:H72)</f>
        <v>0</v>
      </c>
      <c r="I64" s="174">
        <f t="shared" si="24"/>
        <v>0</v>
      </c>
      <c r="J64" s="174">
        <f t="shared" si="24"/>
        <v>0</v>
      </c>
      <c r="K64" s="174">
        <f t="shared" si="24"/>
        <v>0</v>
      </c>
      <c r="L64" s="174">
        <f t="shared" si="24"/>
        <v>0</v>
      </c>
      <c r="M64" s="174">
        <f t="shared" si="24"/>
        <v>0</v>
      </c>
      <c r="N64" s="174">
        <f t="shared" si="24"/>
        <v>0</v>
      </c>
      <c r="O64" s="174">
        <f t="shared" si="24"/>
        <v>0</v>
      </c>
      <c r="P64" s="174">
        <f t="shared" si="24"/>
        <v>0</v>
      </c>
      <c r="Q64" s="174">
        <f t="shared" si="24"/>
        <v>0</v>
      </c>
      <c r="R64" s="174">
        <f t="shared" si="24"/>
        <v>0</v>
      </c>
      <c r="S64" s="174">
        <f t="shared" si="24"/>
        <v>0</v>
      </c>
      <c r="T64" s="174">
        <f t="shared" si="24"/>
        <v>0</v>
      </c>
      <c r="U64" s="174">
        <f t="shared" si="24"/>
        <v>0</v>
      </c>
      <c r="V64" s="174">
        <f t="shared" si="24"/>
        <v>0</v>
      </c>
      <c r="W64" s="174">
        <f t="shared" si="24"/>
        <v>0</v>
      </c>
      <c r="X64" s="174">
        <f t="shared" si="24"/>
        <v>0</v>
      </c>
      <c r="Y64" s="174">
        <f t="shared" si="24"/>
        <v>0</v>
      </c>
      <c r="Z64" s="174">
        <f t="shared" si="24"/>
        <v>0</v>
      </c>
      <c r="AA64" s="174">
        <f t="shared" si="24"/>
        <v>0</v>
      </c>
      <c r="AB64" s="174">
        <f t="shared" si="24"/>
        <v>0</v>
      </c>
      <c r="AC64" s="174">
        <f t="shared" si="24"/>
        <v>0</v>
      </c>
      <c r="AD64" s="174">
        <f t="shared" si="24"/>
        <v>0</v>
      </c>
      <c r="AE64" s="174">
        <f t="shared" si="24"/>
        <v>0</v>
      </c>
      <c r="AF64" s="174">
        <f t="shared" si="24"/>
        <v>0</v>
      </c>
      <c r="AG64" s="174">
        <f t="shared" si="24"/>
        <v>0</v>
      </c>
      <c r="AH64" s="174">
        <f t="shared" si="24"/>
        <v>0</v>
      </c>
      <c r="AI64" s="174">
        <f t="shared" si="24"/>
        <v>0</v>
      </c>
      <c r="AJ64" s="174">
        <f t="shared" si="24"/>
        <v>0</v>
      </c>
      <c r="AK64" s="174">
        <f t="shared" si="24"/>
        <v>0</v>
      </c>
      <c r="AL64" s="174">
        <f t="shared" si="24"/>
        <v>0</v>
      </c>
      <c r="AM64" s="174">
        <f t="shared" si="24"/>
        <v>0</v>
      </c>
      <c r="AN64" s="174">
        <f t="shared" ref="AN64:BG64" si="25">SUM(AN65:AN72)</f>
        <v>0</v>
      </c>
      <c r="AO64" s="174">
        <f t="shared" si="25"/>
        <v>0</v>
      </c>
      <c r="AP64" s="174">
        <f t="shared" si="25"/>
        <v>0</v>
      </c>
      <c r="AQ64" s="174">
        <f t="shared" si="25"/>
        <v>0</v>
      </c>
      <c r="AR64" s="174">
        <f t="shared" si="25"/>
        <v>0</v>
      </c>
      <c r="AS64" s="174">
        <f t="shared" si="25"/>
        <v>0</v>
      </c>
      <c r="AT64" s="174">
        <f t="shared" si="25"/>
        <v>0</v>
      </c>
      <c r="AU64" s="174">
        <f t="shared" si="25"/>
        <v>0</v>
      </c>
      <c r="AV64" s="174">
        <f t="shared" si="25"/>
        <v>0</v>
      </c>
      <c r="AW64" s="174">
        <f t="shared" si="25"/>
        <v>0</v>
      </c>
      <c r="AX64" s="174">
        <f t="shared" si="25"/>
        <v>0</v>
      </c>
      <c r="AY64" s="174">
        <f t="shared" si="25"/>
        <v>0</v>
      </c>
      <c r="AZ64" s="174">
        <f t="shared" si="25"/>
        <v>0</v>
      </c>
      <c r="BA64" s="174">
        <f t="shared" si="25"/>
        <v>0</v>
      </c>
      <c r="BB64" s="174">
        <f t="shared" si="25"/>
        <v>0</v>
      </c>
      <c r="BC64" s="174">
        <f t="shared" si="25"/>
        <v>0</v>
      </c>
      <c r="BD64" s="174">
        <f t="shared" si="25"/>
        <v>0</v>
      </c>
      <c r="BE64" s="174">
        <f t="shared" si="25"/>
        <v>0</v>
      </c>
      <c r="BF64" s="174">
        <f t="shared" si="25"/>
        <v>0</v>
      </c>
      <c r="BG64" s="174">
        <f t="shared" si="25"/>
        <v>0</v>
      </c>
      <c r="BH64" s="36"/>
      <c r="BI64" s="150"/>
      <c r="BJ64" s="150"/>
      <c r="BK64" s="151"/>
      <c r="BL64" s="151"/>
      <c r="BM64" s="150"/>
      <c r="BN64" s="150"/>
      <c r="BO64" s="36"/>
      <c r="BP64" s="36"/>
    </row>
    <row r="65" spans="1:68" hidden="1" outlineLevel="1" x14ac:dyDescent="0.25">
      <c r="A65" s="167">
        <v>2470</v>
      </c>
      <c r="B65" s="168" t="str" cm="1">
        <f t="array" ref="B65">IF(BI65="","",INDEX(pjName,BI65))</f>
        <v>Canyon Vista Park</v>
      </c>
      <c r="C65" s="167" t="str" cm="1">
        <f t="array" ref="C65">IF(BI65="","",IF(INDEX(pjStatus,BI65)="","",INDEX(pjStatus,BI65)))</f>
        <v>Active</v>
      </c>
      <c r="D65" s="167" t="str" cm="1">
        <f t="array" ref="D65">IFERROR(INDEX(tblStaff[Initials],BN65),"")</f>
        <v>PK</v>
      </c>
      <c r="E65" s="169" cm="1">
        <f t="array" ref="E65">IF(OR(BI65="",D65=""),"",IFERROR(SUMPRODUCT((pjNo=A65)*(pjType="Phase")*INDEX(Projects!$I$5:$O$1188,0,MATCH(D65,Projects!$I$4:$O$4,0))*pjWk),0))</f>
        <v>0</v>
      </c>
      <c r="F65" s="169">
        <f t="shared" ref="F65:F72" si="26">IF(BI65="","",SUM(H65:BG65))</f>
        <v>0</v>
      </c>
      <c r="G65" s="169">
        <f t="shared" ref="G65:G72" si="27">IF(OR(E65="",F65=""),"",E65-F65)</f>
        <v>0</v>
      </c>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c r="BE65" s="170"/>
      <c r="BF65" s="170"/>
      <c r="BG65" s="170"/>
      <c r="BH65" s="36"/>
      <c r="BI65" s="150" cm="1">
        <f t="array" ref="BI65">IF(A65="","",IFERROR(MATCH(1,INDEX((pjNo=A65)*(pjType="Project"),0),0),""))</f>
        <v>39</v>
      </c>
      <c r="BJ65" s="150" t="str">
        <f>IF(D65="","",IFERROR(INDEX(tblStaff[Staff Level],MATCH(D65,tblStaff[Initials],0)),"?"))</f>
        <v>Principal</v>
      </c>
      <c r="BK65" s="151" t="str" cm="1">
        <f t="array" ref="BK65">IF(BI65="","",INDEX(pjStart,BI65))</f>
        <v/>
      </c>
      <c r="BL65" s="151" t="str" cm="1">
        <f t="array" ref="BL65">IF(BI65="","",INDEX(pjEnd,BI65))</f>
        <v/>
      </c>
      <c r="BM65" s="150">
        <f>IF(BI65="",0,IF(C65="Active",1,IF(C65="Prospective",IF(Assumptions!$B$6="Active only",0,Assumptions!$B$7),0)))</f>
        <v>1</v>
      </c>
      <c r="BN65" s="150">
        <v>1</v>
      </c>
      <c r="BO65" s="36"/>
      <c r="BP65" s="36"/>
    </row>
    <row r="66" spans="1:68" hidden="1" outlineLevel="1" x14ac:dyDescent="0.25">
      <c r="A66" s="167">
        <v>2470</v>
      </c>
      <c r="B66" s="168" t="str" cm="1">
        <f t="array" ref="B66">IF(BI66="","",INDEX(pjName,BI66))</f>
        <v>Canyon Vista Park</v>
      </c>
      <c r="C66" s="167" t="str" cm="1">
        <f t="array" ref="C66">IF(BI66="","",IF(INDEX(pjStatus,BI66)="","",INDEX(pjStatus,BI66)))</f>
        <v>Active</v>
      </c>
      <c r="D66" s="167" t="str" cm="1">
        <f t="array" ref="D66">IFERROR(INDEX(tblStaff[Initials],BN66),"")</f>
        <v>DF</v>
      </c>
      <c r="E66" s="169" cm="1">
        <f t="array" ref="E66">IF(OR(BI66="",D66=""),"",IFERROR(SUMPRODUCT((pjNo=A66)*(pjType="Phase")*INDEX(Projects!$I$5:$O$1188,0,MATCH(D66,Projects!$I$4:$O$4,0))*pjWk),0))</f>
        <v>0</v>
      </c>
      <c r="F66" s="169">
        <f t="shared" si="26"/>
        <v>0</v>
      </c>
      <c r="G66" s="169">
        <f t="shared" si="27"/>
        <v>0</v>
      </c>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c r="BE66" s="170"/>
      <c r="BF66" s="170"/>
      <c r="BG66" s="170"/>
      <c r="BH66" s="36"/>
      <c r="BI66" s="150" cm="1">
        <f t="array" ref="BI66">IF(A66="","",IFERROR(MATCH(1,INDEX((pjNo=A66)*(pjType="Project"),0),0),""))</f>
        <v>39</v>
      </c>
      <c r="BJ66" s="150" t="str">
        <f>IF(D66="","",IFERROR(INDEX(tblStaff[Staff Level],MATCH(D66,tblStaff[Initials],0)),"?"))</f>
        <v>Principal</v>
      </c>
      <c r="BK66" s="151" t="str" cm="1">
        <f t="array" ref="BK66">IF(BI66="","",INDEX(pjStart,BI66))</f>
        <v/>
      </c>
      <c r="BL66" s="151" t="str" cm="1">
        <f t="array" ref="BL66">IF(BI66="","",INDEX(pjEnd,BI66))</f>
        <v/>
      </c>
      <c r="BM66" s="150">
        <f>IF(BI66="",0,IF(C66="Active",1,IF(C66="Prospective",IF(Assumptions!$B$6="Active only",0,Assumptions!$B$7),0)))</f>
        <v>1</v>
      </c>
      <c r="BN66" s="150">
        <v>2</v>
      </c>
      <c r="BO66" s="36"/>
      <c r="BP66" s="36"/>
    </row>
    <row r="67" spans="1:68" hidden="1" outlineLevel="1" x14ac:dyDescent="0.25">
      <c r="A67" s="158">
        <v>2470</v>
      </c>
      <c r="B67" s="157" t="str" cm="1">
        <f t="array" ref="B67">IF(BI67="","",INDEX(pjName,BI67))</f>
        <v>Canyon Vista Park</v>
      </c>
      <c r="C67" s="158" t="str" cm="1">
        <f t="array" ref="C67">IF(BI67="","",IF(INDEX(pjStatus,BI67)="","",INDEX(pjStatus,BI67)))</f>
        <v>Active</v>
      </c>
      <c r="D67" s="158" t="str" cm="1">
        <f t="array" ref="D67">IFERROR(INDEX(tblStaff[Initials],BN67),"")</f>
        <v>KJ</v>
      </c>
      <c r="E67" s="159" cm="1">
        <f t="array" ref="E67">IF(OR(BI67="",D67=""),"",IFERROR(SUMPRODUCT((pjNo=A67)*(pjType="Phase")*INDEX(Projects!$I$5:$O$1188,0,MATCH(D67,Projects!$I$4:$O$4,0))*pjWk),0))</f>
        <v>0</v>
      </c>
      <c r="F67" s="159">
        <f t="shared" si="26"/>
        <v>0</v>
      </c>
      <c r="G67" s="159">
        <f t="shared" si="27"/>
        <v>0</v>
      </c>
      <c r="H67" s="160"/>
      <c r="I67" s="160"/>
      <c r="J67" s="160"/>
      <c r="K67" s="160"/>
      <c r="L67" s="160"/>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c r="BH67" s="36"/>
      <c r="BI67" s="150" cm="1">
        <f t="array" ref="BI67">IF(A67="","",IFERROR(MATCH(1,INDEX((pjNo=A67)*(pjType="Project"),0),0),""))</f>
        <v>39</v>
      </c>
      <c r="BJ67" s="150" t="str">
        <f>IF(D67="","",IFERROR(INDEX(tblStaff[Staff Level],MATCH(D67,tblStaff[Initials],0)),"?"))</f>
        <v>Director</v>
      </c>
      <c r="BK67" s="151" t="str" cm="1">
        <f t="array" ref="BK67">IF(BI67="","",INDEX(pjStart,BI67))</f>
        <v/>
      </c>
      <c r="BL67" s="151" t="str" cm="1">
        <f t="array" ref="BL67">IF(BI67="","",INDEX(pjEnd,BI67))</f>
        <v/>
      </c>
      <c r="BM67" s="150">
        <f>IF(BI67="",0,IF(C67="Active",1,IF(C67="Prospective",IF(Assumptions!$B$6="Active only",0,Assumptions!$B$7),0)))</f>
        <v>1</v>
      </c>
      <c r="BN67" s="150">
        <v>3</v>
      </c>
      <c r="BO67" s="36"/>
      <c r="BP67" s="36"/>
    </row>
    <row r="68" spans="1:68" hidden="1" outlineLevel="1" x14ac:dyDescent="0.25">
      <c r="A68" s="158">
        <v>2470</v>
      </c>
      <c r="B68" s="157" t="str" cm="1">
        <f t="array" ref="B68">IF(BI68="","",INDEX(pjName,BI68))</f>
        <v>Canyon Vista Park</v>
      </c>
      <c r="C68" s="158" t="str" cm="1">
        <f t="array" ref="C68">IF(BI68="","",IF(INDEX(pjStatus,BI68)="","",INDEX(pjStatus,BI68)))</f>
        <v>Active</v>
      </c>
      <c r="D68" s="158" t="str" cm="1">
        <f t="array" ref="D68">IFERROR(INDEX(tblStaff[Initials],BN68),"")</f>
        <v>HL</v>
      </c>
      <c r="E68" s="159" cm="1">
        <f t="array" ref="E68">IF(OR(BI68="",D68=""),"",IFERROR(SUMPRODUCT((pjNo=A68)*(pjType="Phase")*INDEX(Projects!$I$5:$O$1188,0,MATCH(D68,Projects!$I$4:$O$4,0))*pjWk),0))</f>
        <v>0</v>
      </c>
      <c r="F68" s="159">
        <f t="shared" si="26"/>
        <v>0</v>
      </c>
      <c r="G68" s="159">
        <f t="shared" si="27"/>
        <v>0</v>
      </c>
      <c r="H68" s="160"/>
      <c r="I68" s="160"/>
      <c r="J68" s="160"/>
      <c r="K68" s="160"/>
      <c r="L68" s="160"/>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0"/>
      <c r="BA68" s="160"/>
      <c r="BB68" s="160"/>
      <c r="BC68" s="160"/>
      <c r="BD68" s="160"/>
      <c r="BE68" s="160"/>
      <c r="BF68" s="160"/>
      <c r="BG68" s="160"/>
      <c r="BH68" s="36"/>
      <c r="BI68" s="150" cm="1">
        <f t="array" ref="BI68">IF(A68="","",IFERROR(MATCH(1,INDEX((pjNo=A68)*(pjType="Project"),0),0),""))</f>
        <v>39</v>
      </c>
      <c r="BJ68" s="150" t="str">
        <f>IF(D68="","",IFERROR(INDEX(tblStaff[Staff Level],MATCH(D68,tblStaff[Initials],0)),"?"))</f>
        <v>Senior Designer</v>
      </c>
      <c r="BK68" s="151" t="str" cm="1">
        <f t="array" ref="BK68">IF(BI68="","",INDEX(pjStart,BI68))</f>
        <v/>
      </c>
      <c r="BL68" s="151" t="str" cm="1">
        <f t="array" ref="BL68">IF(BI68="","",INDEX(pjEnd,BI68))</f>
        <v/>
      </c>
      <c r="BM68" s="150">
        <f>IF(BI68="",0,IF(C68="Active",1,IF(C68="Prospective",IF(Assumptions!$B$6="Active only",0,Assumptions!$B$7),0)))</f>
        <v>1</v>
      </c>
      <c r="BN68" s="150">
        <v>4</v>
      </c>
      <c r="BO68" s="36"/>
      <c r="BP68" s="36"/>
    </row>
    <row r="69" spans="1:68" hidden="1" outlineLevel="1" x14ac:dyDescent="0.25">
      <c r="A69" s="158">
        <v>2470</v>
      </c>
      <c r="B69" s="157" t="str" cm="1">
        <f t="array" ref="B69">IF(BI69="","",INDEX(pjName,BI69))</f>
        <v>Canyon Vista Park</v>
      </c>
      <c r="C69" s="158" t="str" cm="1">
        <f t="array" ref="C69">IF(BI69="","",IF(INDEX(pjStatus,BI69)="","",INDEX(pjStatus,BI69)))</f>
        <v>Active</v>
      </c>
      <c r="D69" s="158" t="str" cm="1">
        <f t="array" ref="D69">IFERROR(INDEX(tblStaff[Initials],BN69),"")</f>
        <v>EHH</v>
      </c>
      <c r="E69" s="159" cm="1">
        <f t="array" ref="E69">IF(OR(BI69="",D69=""),"",IFERROR(SUMPRODUCT((pjNo=A69)*(pjType="Phase")*INDEX(Projects!$I$5:$O$1188,0,MATCH(D69,Projects!$I$4:$O$4,0))*pjWk),0))</f>
        <v>0</v>
      </c>
      <c r="F69" s="159">
        <f t="shared" si="26"/>
        <v>0</v>
      </c>
      <c r="G69" s="159">
        <f t="shared" si="27"/>
        <v>0</v>
      </c>
      <c r="H69" s="160"/>
      <c r="I69" s="160"/>
      <c r="J69" s="160"/>
      <c r="K69" s="160"/>
      <c r="L69" s="16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c r="AQ69" s="160"/>
      <c r="AR69" s="160"/>
      <c r="AS69" s="160"/>
      <c r="AT69" s="160"/>
      <c r="AU69" s="160"/>
      <c r="AV69" s="160"/>
      <c r="AW69" s="160"/>
      <c r="AX69" s="160"/>
      <c r="AY69" s="160"/>
      <c r="AZ69" s="160"/>
      <c r="BA69" s="160"/>
      <c r="BB69" s="160"/>
      <c r="BC69" s="160"/>
      <c r="BD69" s="160"/>
      <c r="BE69" s="160"/>
      <c r="BF69" s="160"/>
      <c r="BG69" s="160"/>
      <c r="BH69" s="36"/>
      <c r="BI69" s="150" cm="1">
        <f t="array" ref="BI69">IF(A69="","",IFERROR(MATCH(1,INDEX((pjNo=A69)*(pjType="Project"),0),0),""))</f>
        <v>39</v>
      </c>
      <c r="BJ69" s="150" t="str">
        <f>IF(D69="","",IFERROR(INDEX(tblStaff[Staff Level],MATCH(D69,tblStaff[Initials],0)),"?"))</f>
        <v>Mid Level Designer</v>
      </c>
      <c r="BK69" s="151" t="str" cm="1">
        <f t="array" ref="BK69">IF(BI69="","",INDEX(pjStart,BI69))</f>
        <v/>
      </c>
      <c r="BL69" s="151" t="str" cm="1">
        <f t="array" ref="BL69">IF(BI69="","",INDEX(pjEnd,BI69))</f>
        <v/>
      </c>
      <c r="BM69" s="150">
        <f>IF(BI69="",0,IF(C69="Active",1,IF(C69="Prospective",IF(Assumptions!$B$6="Active only",0,Assumptions!$B$7),0)))</f>
        <v>1</v>
      </c>
      <c r="BN69" s="150">
        <v>5</v>
      </c>
      <c r="BO69" s="36"/>
      <c r="BP69" s="36"/>
    </row>
    <row r="70" spans="1:68" hidden="1" outlineLevel="1" x14ac:dyDescent="0.25">
      <c r="A70" s="158">
        <v>2470</v>
      </c>
      <c r="B70" s="157" t="str" cm="1">
        <f t="array" ref="B70">IF(BI70="","",INDEX(pjName,BI70))</f>
        <v>Canyon Vista Park</v>
      </c>
      <c r="C70" s="158" t="str" cm="1">
        <f t="array" ref="C70">IF(BI70="","",IF(INDEX(pjStatus,BI70)="","",INDEX(pjStatus,BI70)))</f>
        <v>Active</v>
      </c>
      <c r="D70" s="158" t="str" cm="1">
        <f t="array" ref="D70">IFERROR(INDEX(tblStaff[Initials],BN70),"")</f>
        <v>KD</v>
      </c>
      <c r="E70" s="159" cm="1">
        <f t="array" ref="E70">IF(OR(BI70="",D70=""),"",IFERROR(SUMPRODUCT((pjNo=A70)*(pjType="Phase")*INDEX(Projects!$I$5:$O$1188,0,MATCH(D70,Projects!$I$4:$O$4,0))*pjWk),0))</f>
        <v>0</v>
      </c>
      <c r="F70" s="159">
        <f t="shared" si="26"/>
        <v>0</v>
      </c>
      <c r="G70" s="159">
        <f t="shared" si="27"/>
        <v>0</v>
      </c>
      <c r="H70" s="160"/>
      <c r="I70" s="160"/>
      <c r="J70" s="160"/>
      <c r="K70" s="160"/>
      <c r="L70" s="160"/>
      <c r="M70" s="160"/>
      <c r="N70" s="160"/>
      <c r="O70" s="160"/>
      <c r="P70" s="160"/>
      <c r="Q70" s="160"/>
      <c r="R70" s="160"/>
      <c r="S70" s="160"/>
      <c r="T70" s="160"/>
      <c r="U70" s="160"/>
      <c r="V70" s="160"/>
      <c r="W70" s="160"/>
      <c r="X70" s="160"/>
      <c r="Y70" s="160"/>
      <c r="Z70" s="160"/>
      <c r="AA70" s="160"/>
      <c r="AB70" s="160"/>
      <c r="AC70" s="160"/>
      <c r="AD70" s="160"/>
      <c r="AE70" s="160"/>
      <c r="AF70" s="160"/>
      <c r="AG70" s="160"/>
      <c r="AH70" s="160"/>
      <c r="AI70" s="160"/>
      <c r="AJ70" s="160"/>
      <c r="AK70" s="160"/>
      <c r="AL70" s="160"/>
      <c r="AM70" s="160"/>
      <c r="AN70" s="160"/>
      <c r="AO70" s="160"/>
      <c r="AP70" s="160"/>
      <c r="AQ70" s="160"/>
      <c r="AR70" s="160"/>
      <c r="AS70" s="160"/>
      <c r="AT70" s="160"/>
      <c r="AU70" s="160"/>
      <c r="AV70" s="160"/>
      <c r="AW70" s="160"/>
      <c r="AX70" s="160"/>
      <c r="AY70" s="160"/>
      <c r="AZ70" s="160"/>
      <c r="BA70" s="160"/>
      <c r="BB70" s="160"/>
      <c r="BC70" s="160"/>
      <c r="BD70" s="160"/>
      <c r="BE70" s="160"/>
      <c r="BF70" s="160"/>
      <c r="BG70" s="160"/>
      <c r="BH70" s="36"/>
      <c r="BI70" s="150" cm="1">
        <f t="array" ref="BI70">IF(A70="","",IFERROR(MATCH(1,INDEX((pjNo=A70)*(pjType="Project"),0),0),""))</f>
        <v>39</v>
      </c>
      <c r="BJ70" s="150" t="str">
        <f>IF(D70="","",IFERROR(INDEX(tblStaff[Staff Level],MATCH(D70,tblStaff[Initials],0)),"?"))</f>
        <v>Mid Level Designer</v>
      </c>
      <c r="BK70" s="151" t="str" cm="1">
        <f t="array" ref="BK70">IF(BI70="","",INDEX(pjStart,BI70))</f>
        <v/>
      </c>
      <c r="BL70" s="151" t="str" cm="1">
        <f t="array" ref="BL70">IF(BI70="","",INDEX(pjEnd,BI70))</f>
        <v/>
      </c>
      <c r="BM70" s="150">
        <f>IF(BI70="",0,IF(C70="Active",1,IF(C70="Prospective",IF(Assumptions!$B$6="Active only",0,Assumptions!$B$7),0)))</f>
        <v>1</v>
      </c>
      <c r="BN70" s="150">
        <v>6</v>
      </c>
      <c r="BO70" s="36"/>
      <c r="BP70" s="36"/>
    </row>
    <row r="71" spans="1:68" hidden="1" outlineLevel="1" x14ac:dyDescent="0.25">
      <c r="A71" s="158">
        <v>2470</v>
      </c>
      <c r="B71" s="157" t="str" cm="1">
        <f t="array" ref="B71">IF(BI71="","",INDEX(pjName,BI71))</f>
        <v>Canyon Vista Park</v>
      </c>
      <c r="C71" s="158" t="str" cm="1">
        <f t="array" ref="C71">IF(BI71="","",IF(INDEX(pjStatus,BI71)="","",INDEX(pjStatus,BI71)))</f>
        <v>Active</v>
      </c>
      <c r="D71" s="158" t="str" cm="1">
        <f t="array" ref="D71">IFERROR(INDEX(tblStaff[Initials],BN71),"")</f>
        <v>XX</v>
      </c>
      <c r="E71" s="159" cm="1">
        <f t="array" ref="E71">IF(OR(BI71="",D71=""),"",IFERROR(SUMPRODUCT((pjNo=A71)*(pjType="Phase")*INDEX(Projects!$I$5:$O$1188,0,MATCH(D71,Projects!$I$4:$O$4,0))*pjWk),0))</f>
        <v>0</v>
      </c>
      <c r="F71" s="159">
        <f t="shared" si="26"/>
        <v>0</v>
      </c>
      <c r="G71" s="159">
        <f t="shared" si="27"/>
        <v>0</v>
      </c>
      <c r="H71" s="160"/>
      <c r="I71" s="160"/>
      <c r="J71" s="160"/>
      <c r="K71" s="160"/>
      <c r="L71" s="160"/>
      <c r="M71" s="160"/>
      <c r="N71" s="160"/>
      <c r="O71" s="160"/>
      <c r="P71" s="160"/>
      <c r="Q71" s="160"/>
      <c r="R71" s="160"/>
      <c r="S71" s="160"/>
      <c r="T71" s="160"/>
      <c r="U71" s="160"/>
      <c r="V71" s="160"/>
      <c r="W71" s="160"/>
      <c r="X71" s="160"/>
      <c r="Y71" s="160"/>
      <c r="Z71" s="160"/>
      <c r="AA71" s="160"/>
      <c r="AB71" s="160"/>
      <c r="AC71" s="160"/>
      <c r="AD71" s="160"/>
      <c r="AE71" s="160"/>
      <c r="AF71" s="160"/>
      <c r="AG71" s="160"/>
      <c r="AH71" s="160"/>
      <c r="AI71" s="160"/>
      <c r="AJ71" s="160"/>
      <c r="AK71" s="160"/>
      <c r="AL71" s="160"/>
      <c r="AM71" s="160"/>
      <c r="AN71" s="160"/>
      <c r="AO71" s="160"/>
      <c r="AP71" s="160"/>
      <c r="AQ71" s="160"/>
      <c r="AR71" s="160"/>
      <c r="AS71" s="160"/>
      <c r="AT71" s="160"/>
      <c r="AU71" s="160"/>
      <c r="AV71" s="160"/>
      <c r="AW71" s="160"/>
      <c r="AX71" s="160"/>
      <c r="AY71" s="160"/>
      <c r="AZ71" s="160"/>
      <c r="BA71" s="160"/>
      <c r="BB71" s="160"/>
      <c r="BC71" s="160"/>
      <c r="BD71" s="160"/>
      <c r="BE71" s="160"/>
      <c r="BF71" s="160"/>
      <c r="BG71" s="160"/>
      <c r="BH71" s="36"/>
      <c r="BI71" s="150" cm="1">
        <f t="array" ref="BI71">IF(A71="","",IFERROR(MATCH(1,INDEX((pjNo=A71)*(pjType="Project"),0),0),""))</f>
        <v>39</v>
      </c>
      <c r="BJ71" s="150" t="str">
        <f>IF(D71="","",IFERROR(INDEX(tblStaff[Staff Level],MATCH(D71,tblStaff[Initials],0)),"?"))</f>
        <v>Project Designer</v>
      </c>
      <c r="BK71" s="151" t="str" cm="1">
        <f t="array" ref="BK71">IF(BI71="","",INDEX(pjStart,BI71))</f>
        <v/>
      </c>
      <c r="BL71" s="151" t="str" cm="1">
        <f t="array" ref="BL71">IF(BI71="","",INDEX(pjEnd,BI71))</f>
        <v/>
      </c>
      <c r="BM71" s="150">
        <f>IF(BI71="",0,IF(C71="Active",1,IF(C71="Prospective",IF(Assumptions!$B$6="Active only",0,Assumptions!$B$7),0)))</f>
        <v>1</v>
      </c>
      <c r="BN71" s="150">
        <v>7</v>
      </c>
      <c r="BO71" s="36"/>
      <c r="BP71" s="36"/>
    </row>
    <row r="72" spans="1:68" hidden="1" outlineLevel="1" x14ac:dyDescent="0.25">
      <c r="A72" s="162">
        <v>2470</v>
      </c>
      <c r="B72" s="161" t="str" cm="1">
        <f t="array" ref="B72">IF(BI72="","",INDEX(pjName,BI72))</f>
        <v>Canyon Vista Park</v>
      </c>
      <c r="C72" s="162" t="str" cm="1">
        <f t="array" ref="C72">IF(BI72="","",IF(INDEX(pjStatus,BI72)="","",INDEX(pjStatus,BI72)))</f>
        <v>Active</v>
      </c>
      <c r="D72" s="162" t="str" cm="1">
        <f t="array" ref="D72">IFERROR(INDEX(tblStaff[Initials],BN72),"")</f>
        <v/>
      </c>
      <c r="E72" s="163" t="str" cm="1">
        <f t="array" ref="E72">IF(OR(BI72="",D72=""),"",IFERROR(SUMPRODUCT((pjNo=A72)*(pjType="Phase")*INDEX(Projects!$I$5:$O$1188,0,MATCH(D72,Projects!$I$4:$O$4,0))*pjWk),0))</f>
        <v/>
      </c>
      <c r="F72" s="163">
        <f t="shared" si="26"/>
        <v>0</v>
      </c>
      <c r="G72" s="163" t="str">
        <f t="shared" si="27"/>
        <v/>
      </c>
      <c r="H72" s="164"/>
      <c r="I72" s="164"/>
      <c r="J72" s="164"/>
      <c r="K72" s="164"/>
      <c r="L72" s="164"/>
      <c r="M72" s="164"/>
      <c r="N72" s="164"/>
      <c r="O72" s="164"/>
      <c r="P72" s="164"/>
      <c r="Q72" s="164"/>
      <c r="R72" s="164"/>
      <c r="S72" s="164"/>
      <c r="T72" s="164"/>
      <c r="U72" s="164"/>
      <c r="V72" s="164"/>
      <c r="W72" s="164"/>
      <c r="X72" s="164"/>
      <c r="Y72" s="164"/>
      <c r="Z72" s="164"/>
      <c r="AA72" s="164"/>
      <c r="AB72" s="164"/>
      <c r="AC72" s="164"/>
      <c r="AD72" s="164"/>
      <c r="AE72" s="164"/>
      <c r="AF72" s="164"/>
      <c r="AG72" s="164"/>
      <c r="AH72" s="164"/>
      <c r="AI72" s="164"/>
      <c r="AJ72" s="164"/>
      <c r="AK72" s="164"/>
      <c r="AL72" s="164"/>
      <c r="AM72" s="164"/>
      <c r="AN72" s="164"/>
      <c r="AO72" s="164"/>
      <c r="AP72" s="164"/>
      <c r="AQ72" s="164"/>
      <c r="AR72" s="164"/>
      <c r="AS72" s="164"/>
      <c r="AT72" s="164"/>
      <c r="AU72" s="164"/>
      <c r="AV72" s="164"/>
      <c r="AW72" s="164"/>
      <c r="AX72" s="164"/>
      <c r="AY72" s="164"/>
      <c r="AZ72" s="164"/>
      <c r="BA72" s="164"/>
      <c r="BB72" s="164"/>
      <c r="BC72" s="164"/>
      <c r="BD72" s="164"/>
      <c r="BE72" s="164"/>
      <c r="BF72" s="164"/>
      <c r="BG72" s="164"/>
      <c r="BH72" s="36"/>
      <c r="BI72" s="150" cm="1">
        <f t="array" ref="BI72">IF(A72="","",IFERROR(MATCH(1,INDEX((pjNo=A72)*(pjType="Project"),0),0),""))</f>
        <v>39</v>
      </c>
      <c r="BJ72" s="150" t="str">
        <f>IF(D72="","",IFERROR(INDEX(tblStaff[Staff Level],MATCH(D72,tblStaff[Initials],0)),"?"))</f>
        <v/>
      </c>
      <c r="BK72" s="151" t="str" cm="1">
        <f t="array" ref="BK72">IF(BI72="","",INDEX(pjStart,BI72))</f>
        <v/>
      </c>
      <c r="BL72" s="151" t="str" cm="1">
        <f t="array" ref="BL72">IF(BI72="","",INDEX(pjEnd,BI72))</f>
        <v/>
      </c>
      <c r="BM72" s="150">
        <f>IF(BI72="",0,IF(C72="Active",1,IF(C72="Prospective",IF(Assumptions!$B$6="Active only",0,Assumptions!$B$7),0)))</f>
        <v>1</v>
      </c>
      <c r="BN72" s="150">
        <v>8</v>
      </c>
      <c r="BO72" s="36"/>
      <c r="BP72" s="36"/>
    </row>
    <row r="73" spans="1:68" collapsed="1" x14ac:dyDescent="0.25">
      <c r="A73" s="171"/>
      <c r="B73" s="173" t="str">
        <f>IF(A74="","",A74&amp;" · "&amp;B74)</f>
        <v>2489 · Harbor Mobility Hub</v>
      </c>
      <c r="C73" s="171" t="str">
        <f>IF(A74="","",C74)</f>
        <v>Active</v>
      </c>
      <c r="D73" s="171"/>
      <c r="E73" s="172">
        <f>SUM(E74:E81)</f>
        <v>0</v>
      </c>
      <c r="F73" s="172">
        <f>SUM(F74:F81)</f>
        <v>0</v>
      </c>
      <c r="G73" s="172" t="str">
        <f>IF(E73=0,"",E73-F73)</f>
        <v/>
      </c>
      <c r="H73" s="174">
        <f t="shared" ref="H73:AM73" si="28">SUM(H74:H81)</f>
        <v>0</v>
      </c>
      <c r="I73" s="174">
        <f t="shared" si="28"/>
        <v>0</v>
      </c>
      <c r="J73" s="174">
        <f t="shared" si="28"/>
        <v>0</v>
      </c>
      <c r="K73" s="174">
        <f t="shared" si="28"/>
        <v>0</v>
      </c>
      <c r="L73" s="174">
        <f t="shared" si="28"/>
        <v>0</v>
      </c>
      <c r="M73" s="174">
        <f t="shared" si="28"/>
        <v>0</v>
      </c>
      <c r="N73" s="174">
        <f t="shared" si="28"/>
        <v>0</v>
      </c>
      <c r="O73" s="174">
        <f t="shared" si="28"/>
        <v>0</v>
      </c>
      <c r="P73" s="174">
        <f t="shared" si="28"/>
        <v>0</v>
      </c>
      <c r="Q73" s="174">
        <f t="shared" si="28"/>
        <v>0</v>
      </c>
      <c r="R73" s="174">
        <f t="shared" si="28"/>
        <v>0</v>
      </c>
      <c r="S73" s="174">
        <f t="shared" si="28"/>
        <v>0</v>
      </c>
      <c r="T73" s="174">
        <f t="shared" si="28"/>
        <v>0</v>
      </c>
      <c r="U73" s="174">
        <f t="shared" si="28"/>
        <v>0</v>
      </c>
      <c r="V73" s="174">
        <f t="shared" si="28"/>
        <v>0</v>
      </c>
      <c r="W73" s="174">
        <f t="shared" si="28"/>
        <v>0</v>
      </c>
      <c r="X73" s="174">
        <f t="shared" si="28"/>
        <v>0</v>
      </c>
      <c r="Y73" s="174">
        <f t="shared" si="28"/>
        <v>0</v>
      </c>
      <c r="Z73" s="174">
        <f t="shared" si="28"/>
        <v>0</v>
      </c>
      <c r="AA73" s="174">
        <f t="shared" si="28"/>
        <v>0</v>
      </c>
      <c r="AB73" s="174">
        <f t="shared" si="28"/>
        <v>0</v>
      </c>
      <c r="AC73" s="174">
        <f t="shared" si="28"/>
        <v>0</v>
      </c>
      <c r="AD73" s="174">
        <f t="shared" si="28"/>
        <v>0</v>
      </c>
      <c r="AE73" s="174">
        <f t="shared" si="28"/>
        <v>0</v>
      </c>
      <c r="AF73" s="174">
        <f t="shared" si="28"/>
        <v>0</v>
      </c>
      <c r="AG73" s="174">
        <f t="shared" si="28"/>
        <v>0</v>
      </c>
      <c r="AH73" s="174">
        <f t="shared" si="28"/>
        <v>0</v>
      </c>
      <c r="AI73" s="174">
        <f t="shared" si="28"/>
        <v>0</v>
      </c>
      <c r="AJ73" s="174">
        <f t="shared" si="28"/>
        <v>0</v>
      </c>
      <c r="AK73" s="174">
        <f t="shared" si="28"/>
        <v>0</v>
      </c>
      <c r="AL73" s="174">
        <f t="shared" si="28"/>
        <v>0</v>
      </c>
      <c r="AM73" s="174">
        <f t="shared" si="28"/>
        <v>0</v>
      </c>
      <c r="AN73" s="174">
        <f t="shared" ref="AN73:BG73" si="29">SUM(AN74:AN81)</f>
        <v>0</v>
      </c>
      <c r="AO73" s="174">
        <f t="shared" si="29"/>
        <v>0</v>
      </c>
      <c r="AP73" s="174">
        <f t="shared" si="29"/>
        <v>0</v>
      </c>
      <c r="AQ73" s="174">
        <f t="shared" si="29"/>
        <v>0</v>
      </c>
      <c r="AR73" s="174">
        <f t="shared" si="29"/>
        <v>0</v>
      </c>
      <c r="AS73" s="174">
        <f t="shared" si="29"/>
        <v>0</v>
      </c>
      <c r="AT73" s="174">
        <f t="shared" si="29"/>
        <v>0</v>
      </c>
      <c r="AU73" s="174">
        <f t="shared" si="29"/>
        <v>0</v>
      </c>
      <c r="AV73" s="174">
        <f t="shared" si="29"/>
        <v>0</v>
      </c>
      <c r="AW73" s="174">
        <f t="shared" si="29"/>
        <v>0</v>
      </c>
      <c r="AX73" s="174">
        <f t="shared" si="29"/>
        <v>0</v>
      </c>
      <c r="AY73" s="174">
        <f t="shared" si="29"/>
        <v>0</v>
      </c>
      <c r="AZ73" s="174">
        <f t="shared" si="29"/>
        <v>0</v>
      </c>
      <c r="BA73" s="174">
        <f t="shared" si="29"/>
        <v>0</v>
      </c>
      <c r="BB73" s="174">
        <f t="shared" si="29"/>
        <v>0</v>
      </c>
      <c r="BC73" s="174">
        <f t="shared" si="29"/>
        <v>0</v>
      </c>
      <c r="BD73" s="174">
        <f t="shared" si="29"/>
        <v>0</v>
      </c>
      <c r="BE73" s="174">
        <f t="shared" si="29"/>
        <v>0</v>
      </c>
      <c r="BF73" s="174">
        <f t="shared" si="29"/>
        <v>0</v>
      </c>
      <c r="BG73" s="174">
        <f t="shared" si="29"/>
        <v>0</v>
      </c>
      <c r="BH73" s="36"/>
      <c r="BI73" s="150"/>
      <c r="BJ73" s="150"/>
      <c r="BK73" s="151"/>
      <c r="BL73" s="151"/>
      <c r="BM73" s="150"/>
      <c r="BN73" s="150"/>
      <c r="BO73" s="36"/>
      <c r="BP73" s="36"/>
    </row>
    <row r="74" spans="1:68" hidden="1" outlineLevel="1" x14ac:dyDescent="0.25">
      <c r="A74" s="167">
        <v>2489</v>
      </c>
      <c r="B74" s="168" t="str" cm="1">
        <f t="array" ref="B74">IF(BI74="","",INDEX(pjName,BI74))</f>
        <v>Harbor Mobility Hub</v>
      </c>
      <c r="C74" s="167" t="str" cm="1">
        <f t="array" ref="C74">IF(BI74="","",IF(INDEX(pjStatus,BI74)="","",INDEX(pjStatus,BI74)))</f>
        <v>Active</v>
      </c>
      <c r="D74" s="167" t="str" cm="1">
        <f t="array" ref="D74">IFERROR(INDEX(tblStaff[Initials],BN74),"")</f>
        <v>PK</v>
      </c>
      <c r="E74" s="169" cm="1">
        <f t="array" ref="E74">IF(OR(BI74="",D74=""),"",IFERROR(SUMPRODUCT((pjNo=A74)*(pjType="Phase")*INDEX(Projects!$I$5:$O$1188,0,MATCH(D74,Projects!$I$4:$O$4,0))*pjWk),0))</f>
        <v>0</v>
      </c>
      <c r="F74" s="169">
        <f t="shared" ref="F74:F81" si="30">IF(BI74="","",SUM(H74:BG74))</f>
        <v>0</v>
      </c>
      <c r="G74" s="169">
        <f t="shared" ref="G74:G81" si="31">IF(OR(E74="",F74=""),"",E74-F74)</f>
        <v>0</v>
      </c>
      <c r="H74" s="170"/>
      <c r="I74" s="170"/>
      <c r="J74" s="170"/>
      <c r="K74" s="170"/>
      <c r="L74" s="170"/>
      <c r="M74" s="170"/>
      <c r="N74" s="170"/>
      <c r="O74" s="170"/>
      <c r="P74" s="170"/>
      <c r="Q74" s="170"/>
      <c r="R74" s="170"/>
      <c r="S74" s="170"/>
      <c r="T74" s="170"/>
      <c r="U74" s="170"/>
      <c r="V74" s="170"/>
      <c r="W74" s="170"/>
      <c r="X74" s="170"/>
      <c r="Y74" s="170"/>
      <c r="Z74" s="170"/>
      <c r="AA74" s="170"/>
      <c r="AB74" s="170"/>
      <c r="AC74" s="170"/>
      <c r="AD74" s="170"/>
      <c r="AE74" s="170"/>
      <c r="AF74" s="170"/>
      <c r="AG74" s="170"/>
      <c r="AH74" s="170"/>
      <c r="AI74" s="170"/>
      <c r="AJ74" s="170"/>
      <c r="AK74" s="170"/>
      <c r="AL74" s="170"/>
      <c r="AM74" s="170"/>
      <c r="AN74" s="170"/>
      <c r="AO74" s="170"/>
      <c r="AP74" s="170"/>
      <c r="AQ74" s="170"/>
      <c r="AR74" s="170"/>
      <c r="AS74" s="170"/>
      <c r="AT74" s="170"/>
      <c r="AU74" s="170"/>
      <c r="AV74" s="170"/>
      <c r="AW74" s="170"/>
      <c r="AX74" s="170"/>
      <c r="AY74" s="170"/>
      <c r="AZ74" s="170"/>
      <c r="BA74" s="170"/>
      <c r="BB74" s="170"/>
      <c r="BC74" s="170"/>
      <c r="BD74" s="170"/>
      <c r="BE74" s="170"/>
      <c r="BF74" s="170"/>
      <c r="BG74" s="170"/>
      <c r="BH74" s="36"/>
      <c r="BI74" s="150" cm="1">
        <f t="array" ref="BI74">IF(A74="","",IFERROR(MATCH(1,INDEX((pjNo=A74)*(pjType="Project"),0),0),""))</f>
        <v>48</v>
      </c>
      <c r="BJ74" s="150" t="str">
        <f>IF(D74="","",IFERROR(INDEX(tblStaff[Staff Level],MATCH(D74,tblStaff[Initials],0)),"?"))</f>
        <v>Principal</v>
      </c>
      <c r="BK74" s="151" t="str" cm="1">
        <f t="array" ref="BK74">IF(BI74="","",INDEX(pjStart,BI74))</f>
        <v/>
      </c>
      <c r="BL74" s="151" t="str" cm="1">
        <f t="array" ref="BL74">IF(BI74="","",INDEX(pjEnd,BI74))</f>
        <v/>
      </c>
      <c r="BM74" s="150">
        <f>IF(BI74="",0,IF(C74="Active",1,IF(C74="Prospective",IF(Assumptions!$B$6="Active only",0,Assumptions!$B$7),0)))</f>
        <v>1</v>
      </c>
      <c r="BN74" s="150">
        <v>1</v>
      </c>
      <c r="BO74" s="36"/>
      <c r="BP74" s="36"/>
    </row>
    <row r="75" spans="1:68" hidden="1" outlineLevel="1" x14ac:dyDescent="0.25">
      <c r="A75" s="167">
        <v>2489</v>
      </c>
      <c r="B75" s="168" t="str" cm="1">
        <f t="array" ref="B75">IF(BI75="","",INDEX(pjName,BI75))</f>
        <v>Harbor Mobility Hub</v>
      </c>
      <c r="C75" s="167" t="str" cm="1">
        <f t="array" ref="C75">IF(BI75="","",IF(INDEX(pjStatus,BI75)="","",INDEX(pjStatus,BI75)))</f>
        <v>Active</v>
      </c>
      <c r="D75" s="167" t="str" cm="1">
        <f t="array" ref="D75">IFERROR(INDEX(tblStaff[Initials],BN75),"")</f>
        <v>DF</v>
      </c>
      <c r="E75" s="169" cm="1">
        <f t="array" ref="E75">IF(OR(BI75="",D75=""),"",IFERROR(SUMPRODUCT((pjNo=A75)*(pjType="Phase")*INDEX(Projects!$I$5:$O$1188,0,MATCH(D75,Projects!$I$4:$O$4,0))*pjWk),0))</f>
        <v>0</v>
      </c>
      <c r="F75" s="169">
        <f t="shared" si="30"/>
        <v>0</v>
      </c>
      <c r="G75" s="169">
        <f t="shared" si="31"/>
        <v>0</v>
      </c>
      <c r="H75" s="170"/>
      <c r="I75" s="170"/>
      <c r="J75" s="170"/>
      <c r="K75" s="170"/>
      <c r="L75" s="170"/>
      <c r="M75" s="170"/>
      <c r="N75" s="170"/>
      <c r="O75" s="170"/>
      <c r="P75" s="170"/>
      <c r="Q75" s="170"/>
      <c r="R75" s="170"/>
      <c r="S75" s="170"/>
      <c r="T75" s="170"/>
      <c r="U75" s="170"/>
      <c r="V75" s="170"/>
      <c r="W75" s="170"/>
      <c r="X75" s="170"/>
      <c r="Y75" s="170"/>
      <c r="Z75" s="170"/>
      <c r="AA75" s="170"/>
      <c r="AB75" s="170"/>
      <c r="AC75" s="170"/>
      <c r="AD75" s="170"/>
      <c r="AE75" s="170"/>
      <c r="AF75" s="170"/>
      <c r="AG75" s="170"/>
      <c r="AH75" s="170"/>
      <c r="AI75" s="170"/>
      <c r="AJ75" s="170"/>
      <c r="AK75" s="170"/>
      <c r="AL75" s="170"/>
      <c r="AM75" s="170"/>
      <c r="AN75" s="170"/>
      <c r="AO75" s="170"/>
      <c r="AP75" s="170"/>
      <c r="AQ75" s="170"/>
      <c r="AR75" s="170"/>
      <c r="AS75" s="170"/>
      <c r="AT75" s="170"/>
      <c r="AU75" s="170"/>
      <c r="AV75" s="170"/>
      <c r="AW75" s="170"/>
      <c r="AX75" s="170"/>
      <c r="AY75" s="170"/>
      <c r="AZ75" s="170"/>
      <c r="BA75" s="170"/>
      <c r="BB75" s="170"/>
      <c r="BC75" s="170"/>
      <c r="BD75" s="170"/>
      <c r="BE75" s="170"/>
      <c r="BF75" s="170"/>
      <c r="BG75" s="170"/>
      <c r="BH75" s="36"/>
      <c r="BI75" s="150" cm="1">
        <f t="array" ref="BI75">IF(A75="","",IFERROR(MATCH(1,INDEX((pjNo=A75)*(pjType="Project"),0),0),""))</f>
        <v>48</v>
      </c>
      <c r="BJ75" s="150" t="str">
        <f>IF(D75="","",IFERROR(INDEX(tblStaff[Staff Level],MATCH(D75,tblStaff[Initials],0)),"?"))</f>
        <v>Principal</v>
      </c>
      <c r="BK75" s="151" t="str" cm="1">
        <f t="array" ref="BK75">IF(BI75="","",INDEX(pjStart,BI75))</f>
        <v/>
      </c>
      <c r="BL75" s="151" t="str" cm="1">
        <f t="array" ref="BL75">IF(BI75="","",INDEX(pjEnd,BI75))</f>
        <v/>
      </c>
      <c r="BM75" s="150">
        <f>IF(BI75="",0,IF(C75="Active",1,IF(C75="Prospective",IF(Assumptions!$B$6="Active only",0,Assumptions!$B$7),0)))</f>
        <v>1</v>
      </c>
      <c r="BN75" s="150">
        <v>2</v>
      </c>
      <c r="BO75" s="36"/>
      <c r="BP75" s="36"/>
    </row>
    <row r="76" spans="1:68" hidden="1" outlineLevel="1" x14ac:dyDescent="0.25">
      <c r="A76" s="158">
        <v>2489</v>
      </c>
      <c r="B76" s="157" t="str" cm="1">
        <f t="array" ref="B76">IF(BI76="","",INDEX(pjName,BI76))</f>
        <v>Harbor Mobility Hub</v>
      </c>
      <c r="C76" s="158" t="str" cm="1">
        <f t="array" ref="C76">IF(BI76="","",IF(INDEX(pjStatus,BI76)="","",INDEX(pjStatus,BI76)))</f>
        <v>Active</v>
      </c>
      <c r="D76" s="158" t="str" cm="1">
        <f t="array" ref="D76">IFERROR(INDEX(tblStaff[Initials],BN76),"")</f>
        <v>KJ</v>
      </c>
      <c r="E76" s="159" cm="1">
        <f t="array" ref="E76">IF(OR(BI76="",D76=""),"",IFERROR(SUMPRODUCT((pjNo=A76)*(pjType="Phase")*INDEX(Projects!$I$5:$O$1188,0,MATCH(D76,Projects!$I$4:$O$4,0))*pjWk),0))</f>
        <v>0</v>
      </c>
      <c r="F76" s="159">
        <f t="shared" si="30"/>
        <v>0</v>
      </c>
      <c r="G76" s="159">
        <f t="shared" si="31"/>
        <v>0</v>
      </c>
      <c r="H76" s="160"/>
      <c r="I76" s="160"/>
      <c r="J76" s="160"/>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60"/>
      <c r="AH76" s="160"/>
      <c r="AI76" s="160"/>
      <c r="AJ76" s="160"/>
      <c r="AK76" s="160"/>
      <c r="AL76" s="160"/>
      <c r="AM76" s="160"/>
      <c r="AN76" s="160"/>
      <c r="AO76" s="160"/>
      <c r="AP76" s="160"/>
      <c r="AQ76" s="160"/>
      <c r="AR76" s="160"/>
      <c r="AS76" s="160"/>
      <c r="AT76" s="160"/>
      <c r="AU76" s="160"/>
      <c r="AV76" s="160"/>
      <c r="AW76" s="160"/>
      <c r="AX76" s="160"/>
      <c r="AY76" s="160"/>
      <c r="AZ76" s="160"/>
      <c r="BA76" s="160"/>
      <c r="BB76" s="160"/>
      <c r="BC76" s="160"/>
      <c r="BD76" s="160"/>
      <c r="BE76" s="160"/>
      <c r="BF76" s="160"/>
      <c r="BG76" s="160"/>
      <c r="BH76" s="36"/>
      <c r="BI76" s="150" cm="1">
        <f t="array" ref="BI76">IF(A76="","",IFERROR(MATCH(1,INDEX((pjNo=A76)*(pjType="Project"),0),0),""))</f>
        <v>48</v>
      </c>
      <c r="BJ76" s="150" t="str">
        <f>IF(D76="","",IFERROR(INDEX(tblStaff[Staff Level],MATCH(D76,tblStaff[Initials],0)),"?"))</f>
        <v>Director</v>
      </c>
      <c r="BK76" s="151" t="str" cm="1">
        <f t="array" ref="BK76">IF(BI76="","",INDEX(pjStart,BI76))</f>
        <v/>
      </c>
      <c r="BL76" s="151" t="str" cm="1">
        <f t="array" ref="BL76">IF(BI76="","",INDEX(pjEnd,BI76))</f>
        <v/>
      </c>
      <c r="BM76" s="150">
        <f>IF(BI76="",0,IF(C76="Active",1,IF(C76="Prospective",IF(Assumptions!$B$6="Active only",0,Assumptions!$B$7),0)))</f>
        <v>1</v>
      </c>
      <c r="BN76" s="150">
        <v>3</v>
      </c>
      <c r="BO76" s="36"/>
      <c r="BP76" s="36"/>
    </row>
    <row r="77" spans="1:68" hidden="1" outlineLevel="1" x14ac:dyDescent="0.25">
      <c r="A77" s="158">
        <v>2489</v>
      </c>
      <c r="B77" s="157" t="str" cm="1">
        <f t="array" ref="B77">IF(BI77="","",INDEX(pjName,BI77))</f>
        <v>Harbor Mobility Hub</v>
      </c>
      <c r="C77" s="158" t="str" cm="1">
        <f t="array" ref="C77">IF(BI77="","",IF(INDEX(pjStatus,BI77)="","",INDEX(pjStatus,BI77)))</f>
        <v>Active</v>
      </c>
      <c r="D77" s="158" t="str" cm="1">
        <f t="array" ref="D77">IFERROR(INDEX(tblStaff[Initials],BN77),"")</f>
        <v>HL</v>
      </c>
      <c r="E77" s="159" cm="1">
        <f t="array" ref="E77">IF(OR(BI77="",D77=""),"",IFERROR(SUMPRODUCT((pjNo=A77)*(pjType="Phase")*INDEX(Projects!$I$5:$O$1188,0,MATCH(D77,Projects!$I$4:$O$4,0))*pjWk),0))</f>
        <v>0</v>
      </c>
      <c r="F77" s="159">
        <f t="shared" si="30"/>
        <v>0</v>
      </c>
      <c r="G77" s="159">
        <f t="shared" si="31"/>
        <v>0</v>
      </c>
      <c r="H77" s="160"/>
      <c r="I77" s="160"/>
      <c r="J77" s="160"/>
      <c r="K77" s="160"/>
      <c r="L77" s="160"/>
      <c r="M77" s="160"/>
      <c r="N77" s="160"/>
      <c r="O77" s="160"/>
      <c r="P77" s="160"/>
      <c r="Q77" s="160"/>
      <c r="R77" s="160"/>
      <c r="S77" s="160"/>
      <c r="T77" s="160"/>
      <c r="U77" s="160"/>
      <c r="V77" s="160"/>
      <c r="W77" s="160"/>
      <c r="X77" s="160"/>
      <c r="Y77" s="160"/>
      <c r="Z77" s="160"/>
      <c r="AA77" s="160"/>
      <c r="AB77" s="160"/>
      <c r="AC77" s="160"/>
      <c r="AD77" s="160"/>
      <c r="AE77" s="160"/>
      <c r="AF77" s="160"/>
      <c r="AG77" s="160"/>
      <c r="AH77" s="160"/>
      <c r="AI77" s="160"/>
      <c r="AJ77" s="160"/>
      <c r="AK77" s="160"/>
      <c r="AL77" s="160"/>
      <c r="AM77" s="160"/>
      <c r="AN77" s="160"/>
      <c r="AO77" s="160"/>
      <c r="AP77" s="160"/>
      <c r="AQ77" s="160"/>
      <c r="AR77" s="160"/>
      <c r="AS77" s="160"/>
      <c r="AT77" s="160"/>
      <c r="AU77" s="160"/>
      <c r="AV77" s="160"/>
      <c r="AW77" s="160"/>
      <c r="AX77" s="160"/>
      <c r="AY77" s="160"/>
      <c r="AZ77" s="160"/>
      <c r="BA77" s="160"/>
      <c r="BB77" s="160"/>
      <c r="BC77" s="160"/>
      <c r="BD77" s="160"/>
      <c r="BE77" s="160"/>
      <c r="BF77" s="160"/>
      <c r="BG77" s="160"/>
      <c r="BH77" s="36"/>
      <c r="BI77" s="150" cm="1">
        <f t="array" ref="BI77">IF(A77="","",IFERROR(MATCH(1,INDEX((pjNo=A77)*(pjType="Project"),0),0),""))</f>
        <v>48</v>
      </c>
      <c r="BJ77" s="150" t="str">
        <f>IF(D77="","",IFERROR(INDEX(tblStaff[Staff Level],MATCH(D77,tblStaff[Initials],0)),"?"))</f>
        <v>Senior Designer</v>
      </c>
      <c r="BK77" s="151" t="str" cm="1">
        <f t="array" ref="BK77">IF(BI77="","",INDEX(pjStart,BI77))</f>
        <v/>
      </c>
      <c r="BL77" s="151" t="str" cm="1">
        <f t="array" ref="BL77">IF(BI77="","",INDEX(pjEnd,BI77))</f>
        <v/>
      </c>
      <c r="BM77" s="150">
        <f>IF(BI77="",0,IF(C77="Active",1,IF(C77="Prospective",IF(Assumptions!$B$6="Active only",0,Assumptions!$B$7),0)))</f>
        <v>1</v>
      </c>
      <c r="BN77" s="150">
        <v>4</v>
      </c>
      <c r="BO77" s="36"/>
      <c r="BP77" s="36"/>
    </row>
    <row r="78" spans="1:68" hidden="1" outlineLevel="1" x14ac:dyDescent="0.25">
      <c r="A78" s="158">
        <v>2489</v>
      </c>
      <c r="B78" s="157" t="str" cm="1">
        <f t="array" ref="B78">IF(BI78="","",INDEX(pjName,BI78))</f>
        <v>Harbor Mobility Hub</v>
      </c>
      <c r="C78" s="158" t="str" cm="1">
        <f t="array" ref="C78">IF(BI78="","",IF(INDEX(pjStatus,BI78)="","",INDEX(pjStatus,BI78)))</f>
        <v>Active</v>
      </c>
      <c r="D78" s="158" t="str" cm="1">
        <f t="array" ref="D78">IFERROR(INDEX(tblStaff[Initials],BN78),"")</f>
        <v>EHH</v>
      </c>
      <c r="E78" s="159" cm="1">
        <f t="array" ref="E78">IF(OR(BI78="",D78=""),"",IFERROR(SUMPRODUCT((pjNo=A78)*(pjType="Phase")*INDEX(Projects!$I$5:$O$1188,0,MATCH(D78,Projects!$I$4:$O$4,0))*pjWk),0))</f>
        <v>0</v>
      </c>
      <c r="F78" s="159">
        <f t="shared" si="30"/>
        <v>0</v>
      </c>
      <c r="G78" s="159">
        <f t="shared" si="31"/>
        <v>0</v>
      </c>
      <c r="H78" s="160"/>
      <c r="I78" s="160"/>
      <c r="J78" s="160"/>
      <c r="K78" s="160"/>
      <c r="L78" s="160"/>
      <c r="M78" s="160"/>
      <c r="N78" s="160"/>
      <c r="O78" s="160"/>
      <c r="P78" s="160"/>
      <c r="Q78" s="160"/>
      <c r="R78" s="160"/>
      <c r="S78" s="160"/>
      <c r="T78" s="160"/>
      <c r="U78" s="160"/>
      <c r="V78" s="160"/>
      <c r="W78" s="160"/>
      <c r="X78" s="160"/>
      <c r="Y78" s="160"/>
      <c r="Z78" s="160"/>
      <c r="AA78" s="160"/>
      <c r="AB78" s="160"/>
      <c r="AC78" s="160"/>
      <c r="AD78" s="160"/>
      <c r="AE78" s="160"/>
      <c r="AF78" s="160"/>
      <c r="AG78" s="160"/>
      <c r="AH78" s="160"/>
      <c r="AI78" s="160"/>
      <c r="AJ78" s="160"/>
      <c r="AK78" s="160"/>
      <c r="AL78" s="160"/>
      <c r="AM78" s="160"/>
      <c r="AN78" s="160"/>
      <c r="AO78" s="160"/>
      <c r="AP78" s="160"/>
      <c r="AQ78" s="160"/>
      <c r="AR78" s="160"/>
      <c r="AS78" s="160"/>
      <c r="AT78" s="160"/>
      <c r="AU78" s="160"/>
      <c r="AV78" s="160"/>
      <c r="AW78" s="160"/>
      <c r="AX78" s="160"/>
      <c r="AY78" s="160"/>
      <c r="AZ78" s="160"/>
      <c r="BA78" s="160"/>
      <c r="BB78" s="160"/>
      <c r="BC78" s="160"/>
      <c r="BD78" s="160"/>
      <c r="BE78" s="160"/>
      <c r="BF78" s="160"/>
      <c r="BG78" s="160"/>
      <c r="BH78" s="36"/>
      <c r="BI78" s="150" cm="1">
        <f t="array" ref="BI78">IF(A78="","",IFERROR(MATCH(1,INDEX((pjNo=A78)*(pjType="Project"),0),0),""))</f>
        <v>48</v>
      </c>
      <c r="BJ78" s="150" t="str">
        <f>IF(D78="","",IFERROR(INDEX(tblStaff[Staff Level],MATCH(D78,tblStaff[Initials],0)),"?"))</f>
        <v>Mid Level Designer</v>
      </c>
      <c r="BK78" s="151" t="str" cm="1">
        <f t="array" ref="BK78">IF(BI78="","",INDEX(pjStart,BI78))</f>
        <v/>
      </c>
      <c r="BL78" s="151" t="str" cm="1">
        <f t="array" ref="BL78">IF(BI78="","",INDEX(pjEnd,BI78))</f>
        <v/>
      </c>
      <c r="BM78" s="150">
        <f>IF(BI78="",0,IF(C78="Active",1,IF(C78="Prospective",IF(Assumptions!$B$6="Active only",0,Assumptions!$B$7),0)))</f>
        <v>1</v>
      </c>
      <c r="BN78" s="150">
        <v>5</v>
      </c>
      <c r="BO78" s="36"/>
      <c r="BP78" s="36"/>
    </row>
    <row r="79" spans="1:68" hidden="1" outlineLevel="1" x14ac:dyDescent="0.25">
      <c r="A79" s="158">
        <v>2489</v>
      </c>
      <c r="B79" s="157" t="str" cm="1">
        <f t="array" ref="B79">IF(BI79="","",INDEX(pjName,BI79))</f>
        <v>Harbor Mobility Hub</v>
      </c>
      <c r="C79" s="158" t="str" cm="1">
        <f t="array" ref="C79">IF(BI79="","",IF(INDEX(pjStatus,BI79)="","",INDEX(pjStatus,BI79)))</f>
        <v>Active</v>
      </c>
      <c r="D79" s="158" t="str" cm="1">
        <f t="array" ref="D79">IFERROR(INDEX(tblStaff[Initials],BN79),"")</f>
        <v>KD</v>
      </c>
      <c r="E79" s="159" cm="1">
        <f t="array" ref="E79">IF(OR(BI79="",D79=""),"",IFERROR(SUMPRODUCT((pjNo=A79)*(pjType="Phase")*INDEX(Projects!$I$5:$O$1188,0,MATCH(D79,Projects!$I$4:$O$4,0))*pjWk),0))</f>
        <v>0</v>
      </c>
      <c r="F79" s="159">
        <f t="shared" si="30"/>
        <v>0</v>
      </c>
      <c r="G79" s="159">
        <f t="shared" si="31"/>
        <v>0</v>
      </c>
      <c r="H79" s="160"/>
      <c r="I79" s="160"/>
      <c r="J79" s="160"/>
      <c r="K79" s="160"/>
      <c r="L79" s="160"/>
      <c r="M79" s="160"/>
      <c r="N79" s="160"/>
      <c r="O79" s="160"/>
      <c r="P79" s="160"/>
      <c r="Q79" s="160"/>
      <c r="R79" s="160"/>
      <c r="S79" s="160"/>
      <c r="T79" s="160"/>
      <c r="U79" s="160"/>
      <c r="V79" s="160"/>
      <c r="W79" s="160"/>
      <c r="X79" s="160"/>
      <c r="Y79" s="160"/>
      <c r="Z79" s="160"/>
      <c r="AA79" s="160"/>
      <c r="AB79" s="160"/>
      <c r="AC79" s="160"/>
      <c r="AD79" s="160"/>
      <c r="AE79" s="160"/>
      <c r="AF79" s="160"/>
      <c r="AG79" s="160"/>
      <c r="AH79" s="160"/>
      <c r="AI79" s="160"/>
      <c r="AJ79" s="160"/>
      <c r="AK79" s="160"/>
      <c r="AL79" s="160"/>
      <c r="AM79" s="160"/>
      <c r="AN79" s="160"/>
      <c r="AO79" s="160"/>
      <c r="AP79" s="160"/>
      <c r="AQ79" s="160"/>
      <c r="AR79" s="160"/>
      <c r="AS79" s="160"/>
      <c r="AT79" s="160"/>
      <c r="AU79" s="160"/>
      <c r="AV79" s="160"/>
      <c r="AW79" s="160"/>
      <c r="AX79" s="160"/>
      <c r="AY79" s="160"/>
      <c r="AZ79" s="160"/>
      <c r="BA79" s="160"/>
      <c r="BB79" s="160"/>
      <c r="BC79" s="160"/>
      <c r="BD79" s="160"/>
      <c r="BE79" s="160"/>
      <c r="BF79" s="160"/>
      <c r="BG79" s="160"/>
      <c r="BH79" s="36"/>
      <c r="BI79" s="150" cm="1">
        <f t="array" ref="BI79">IF(A79="","",IFERROR(MATCH(1,INDEX((pjNo=A79)*(pjType="Project"),0),0),""))</f>
        <v>48</v>
      </c>
      <c r="BJ79" s="150" t="str">
        <f>IF(D79="","",IFERROR(INDEX(tblStaff[Staff Level],MATCH(D79,tblStaff[Initials],0)),"?"))</f>
        <v>Mid Level Designer</v>
      </c>
      <c r="BK79" s="151" t="str" cm="1">
        <f t="array" ref="BK79">IF(BI79="","",INDEX(pjStart,BI79))</f>
        <v/>
      </c>
      <c r="BL79" s="151" t="str" cm="1">
        <f t="array" ref="BL79">IF(BI79="","",INDEX(pjEnd,BI79))</f>
        <v/>
      </c>
      <c r="BM79" s="150">
        <f>IF(BI79="",0,IF(C79="Active",1,IF(C79="Prospective",IF(Assumptions!$B$6="Active only",0,Assumptions!$B$7),0)))</f>
        <v>1</v>
      </c>
      <c r="BN79" s="150">
        <v>6</v>
      </c>
      <c r="BO79" s="36"/>
      <c r="BP79" s="36"/>
    </row>
    <row r="80" spans="1:68" hidden="1" outlineLevel="1" x14ac:dyDescent="0.25">
      <c r="A80" s="158">
        <v>2489</v>
      </c>
      <c r="B80" s="157" t="str" cm="1">
        <f t="array" ref="B80">IF(BI80="","",INDEX(pjName,BI80))</f>
        <v>Harbor Mobility Hub</v>
      </c>
      <c r="C80" s="158" t="str" cm="1">
        <f t="array" ref="C80">IF(BI80="","",IF(INDEX(pjStatus,BI80)="","",INDEX(pjStatus,BI80)))</f>
        <v>Active</v>
      </c>
      <c r="D80" s="158" t="str" cm="1">
        <f t="array" ref="D80">IFERROR(INDEX(tblStaff[Initials],BN80),"")</f>
        <v>XX</v>
      </c>
      <c r="E80" s="159" cm="1">
        <f t="array" ref="E80">IF(OR(BI80="",D80=""),"",IFERROR(SUMPRODUCT((pjNo=A80)*(pjType="Phase")*INDEX(Projects!$I$5:$O$1188,0,MATCH(D80,Projects!$I$4:$O$4,0))*pjWk),0))</f>
        <v>0</v>
      </c>
      <c r="F80" s="159">
        <f t="shared" si="30"/>
        <v>0</v>
      </c>
      <c r="G80" s="159">
        <f t="shared" si="31"/>
        <v>0</v>
      </c>
      <c r="H80" s="160"/>
      <c r="I80" s="160"/>
      <c r="J80" s="160"/>
      <c r="K80" s="160"/>
      <c r="L80" s="160"/>
      <c r="M80" s="160"/>
      <c r="N80" s="160"/>
      <c r="O80" s="160"/>
      <c r="P80" s="160"/>
      <c r="Q80" s="160"/>
      <c r="R80" s="160"/>
      <c r="S80" s="160"/>
      <c r="T80" s="160"/>
      <c r="U80" s="160"/>
      <c r="V80" s="160"/>
      <c r="W80" s="160"/>
      <c r="X80" s="160"/>
      <c r="Y80" s="160"/>
      <c r="Z80" s="160"/>
      <c r="AA80" s="160"/>
      <c r="AB80" s="160"/>
      <c r="AC80" s="160"/>
      <c r="AD80" s="160"/>
      <c r="AE80" s="160"/>
      <c r="AF80" s="160"/>
      <c r="AG80" s="160"/>
      <c r="AH80" s="160"/>
      <c r="AI80" s="160"/>
      <c r="AJ80" s="160"/>
      <c r="AK80" s="160"/>
      <c r="AL80" s="160"/>
      <c r="AM80" s="160"/>
      <c r="AN80" s="160"/>
      <c r="AO80" s="160"/>
      <c r="AP80" s="160"/>
      <c r="AQ80" s="160"/>
      <c r="AR80" s="160"/>
      <c r="AS80" s="160"/>
      <c r="AT80" s="160"/>
      <c r="AU80" s="160"/>
      <c r="AV80" s="160"/>
      <c r="AW80" s="160"/>
      <c r="AX80" s="160"/>
      <c r="AY80" s="160"/>
      <c r="AZ80" s="160"/>
      <c r="BA80" s="160"/>
      <c r="BB80" s="160"/>
      <c r="BC80" s="160"/>
      <c r="BD80" s="160"/>
      <c r="BE80" s="160"/>
      <c r="BF80" s="160"/>
      <c r="BG80" s="160"/>
      <c r="BH80" s="36"/>
      <c r="BI80" s="150" cm="1">
        <f t="array" ref="BI80">IF(A80="","",IFERROR(MATCH(1,INDEX((pjNo=A80)*(pjType="Project"),0),0),""))</f>
        <v>48</v>
      </c>
      <c r="BJ80" s="150" t="str">
        <f>IF(D80="","",IFERROR(INDEX(tblStaff[Staff Level],MATCH(D80,tblStaff[Initials],0)),"?"))</f>
        <v>Project Designer</v>
      </c>
      <c r="BK80" s="151" t="str" cm="1">
        <f t="array" ref="BK80">IF(BI80="","",INDEX(pjStart,BI80))</f>
        <v/>
      </c>
      <c r="BL80" s="151" t="str" cm="1">
        <f t="array" ref="BL80">IF(BI80="","",INDEX(pjEnd,BI80))</f>
        <v/>
      </c>
      <c r="BM80" s="150">
        <f>IF(BI80="",0,IF(C80="Active",1,IF(C80="Prospective",IF(Assumptions!$B$6="Active only",0,Assumptions!$B$7),0)))</f>
        <v>1</v>
      </c>
      <c r="BN80" s="150">
        <v>7</v>
      </c>
      <c r="BO80" s="36"/>
      <c r="BP80" s="36"/>
    </row>
    <row r="81" spans="1:68" hidden="1" outlineLevel="1" x14ac:dyDescent="0.25">
      <c r="A81" s="162">
        <v>2489</v>
      </c>
      <c r="B81" s="161" t="str" cm="1">
        <f t="array" ref="B81">IF(BI81="","",INDEX(pjName,BI81))</f>
        <v>Harbor Mobility Hub</v>
      </c>
      <c r="C81" s="162" t="str" cm="1">
        <f t="array" ref="C81">IF(BI81="","",IF(INDEX(pjStatus,BI81)="","",INDEX(pjStatus,BI81)))</f>
        <v>Active</v>
      </c>
      <c r="D81" s="162" t="str" cm="1">
        <f t="array" ref="D81">IFERROR(INDEX(tblStaff[Initials],BN81),"")</f>
        <v/>
      </c>
      <c r="E81" s="163" t="str" cm="1">
        <f t="array" ref="E81">IF(OR(BI81="",D81=""),"",IFERROR(SUMPRODUCT((pjNo=A81)*(pjType="Phase")*INDEX(Projects!$I$5:$O$1188,0,MATCH(D81,Projects!$I$4:$O$4,0))*pjWk),0))</f>
        <v/>
      </c>
      <c r="F81" s="163">
        <f t="shared" si="30"/>
        <v>0</v>
      </c>
      <c r="G81" s="163" t="str">
        <f t="shared" si="31"/>
        <v/>
      </c>
      <c r="H81" s="164"/>
      <c r="I81" s="164"/>
      <c r="J81" s="164"/>
      <c r="K81" s="164"/>
      <c r="L81" s="164"/>
      <c r="M81" s="164"/>
      <c r="N81" s="164"/>
      <c r="O81" s="164"/>
      <c r="P81" s="164"/>
      <c r="Q81" s="164"/>
      <c r="R81" s="164"/>
      <c r="S81" s="164"/>
      <c r="T81" s="164"/>
      <c r="U81" s="164"/>
      <c r="V81" s="164"/>
      <c r="W81" s="164"/>
      <c r="X81" s="164"/>
      <c r="Y81" s="164"/>
      <c r="Z81" s="164"/>
      <c r="AA81" s="164"/>
      <c r="AB81" s="164"/>
      <c r="AC81" s="164"/>
      <c r="AD81" s="164"/>
      <c r="AE81" s="164"/>
      <c r="AF81" s="164"/>
      <c r="AG81" s="164"/>
      <c r="AH81" s="164"/>
      <c r="AI81" s="164"/>
      <c r="AJ81" s="164"/>
      <c r="AK81" s="164"/>
      <c r="AL81" s="164"/>
      <c r="AM81" s="164"/>
      <c r="AN81" s="164"/>
      <c r="AO81" s="164"/>
      <c r="AP81" s="164"/>
      <c r="AQ81" s="164"/>
      <c r="AR81" s="164"/>
      <c r="AS81" s="164"/>
      <c r="AT81" s="164"/>
      <c r="AU81" s="164"/>
      <c r="AV81" s="164"/>
      <c r="AW81" s="164"/>
      <c r="AX81" s="164"/>
      <c r="AY81" s="164"/>
      <c r="AZ81" s="164"/>
      <c r="BA81" s="164"/>
      <c r="BB81" s="164"/>
      <c r="BC81" s="164"/>
      <c r="BD81" s="164"/>
      <c r="BE81" s="164"/>
      <c r="BF81" s="164"/>
      <c r="BG81" s="164"/>
      <c r="BH81" s="36"/>
      <c r="BI81" s="150" cm="1">
        <f t="array" ref="BI81">IF(A81="","",IFERROR(MATCH(1,INDEX((pjNo=A81)*(pjType="Project"),0),0),""))</f>
        <v>48</v>
      </c>
      <c r="BJ81" s="150" t="str">
        <f>IF(D81="","",IFERROR(INDEX(tblStaff[Staff Level],MATCH(D81,tblStaff[Initials],0)),"?"))</f>
        <v/>
      </c>
      <c r="BK81" s="151" t="str" cm="1">
        <f t="array" ref="BK81">IF(BI81="","",INDEX(pjStart,BI81))</f>
        <v/>
      </c>
      <c r="BL81" s="151" t="str" cm="1">
        <f t="array" ref="BL81">IF(BI81="","",INDEX(pjEnd,BI81))</f>
        <v/>
      </c>
      <c r="BM81" s="150">
        <f>IF(BI81="",0,IF(C81="Active",1,IF(C81="Prospective",IF(Assumptions!$B$6="Active only",0,Assumptions!$B$7),0)))</f>
        <v>1</v>
      </c>
      <c r="BN81" s="150">
        <v>8</v>
      </c>
      <c r="BO81" s="36"/>
      <c r="BP81" s="36"/>
    </row>
    <row r="82" spans="1:68" collapsed="1" x14ac:dyDescent="0.25">
      <c r="A82" s="171"/>
      <c r="B82" s="173" t="str">
        <f>IF(A83="","",A83&amp;" · "&amp;B83)</f>
        <v>2494 · Laurel Park Garden</v>
      </c>
      <c r="C82" s="171" t="str">
        <f>IF(A83="","",C83)</f>
        <v>Active</v>
      </c>
      <c r="D82" s="171"/>
      <c r="E82" s="172">
        <f>SUM(E83:E90)</f>
        <v>0</v>
      </c>
      <c r="F82" s="172">
        <f>SUM(F83:F90)</f>
        <v>0</v>
      </c>
      <c r="G82" s="172" t="str">
        <f>IF(E82=0,"",E82-F82)</f>
        <v/>
      </c>
      <c r="H82" s="174">
        <f t="shared" ref="H82:AM82" si="32">SUM(H83:H90)</f>
        <v>0</v>
      </c>
      <c r="I82" s="174">
        <f t="shared" si="32"/>
        <v>0</v>
      </c>
      <c r="J82" s="174">
        <f t="shared" si="32"/>
        <v>0</v>
      </c>
      <c r="K82" s="174">
        <f t="shared" si="32"/>
        <v>0</v>
      </c>
      <c r="L82" s="174">
        <f t="shared" si="32"/>
        <v>0</v>
      </c>
      <c r="M82" s="174">
        <f t="shared" si="32"/>
        <v>0</v>
      </c>
      <c r="N82" s="174">
        <f t="shared" si="32"/>
        <v>0</v>
      </c>
      <c r="O82" s="174">
        <f t="shared" si="32"/>
        <v>0</v>
      </c>
      <c r="P82" s="174">
        <f t="shared" si="32"/>
        <v>0</v>
      </c>
      <c r="Q82" s="174">
        <f t="shared" si="32"/>
        <v>0</v>
      </c>
      <c r="R82" s="174">
        <f t="shared" si="32"/>
        <v>0</v>
      </c>
      <c r="S82" s="174">
        <f t="shared" si="32"/>
        <v>0</v>
      </c>
      <c r="T82" s="174">
        <f t="shared" si="32"/>
        <v>0</v>
      </c>
      <c r="U82" s="174">
        <f t="shared" si="32"/>
        <v>0</v>
      </c>
      <c r="V82" s="174">
        <f t="shared" si="32"/>
        <v>0</v>
      </c>
      <c r="W82" s="174">
        <f t="shared" si="32"/>
        <v>0</v>
      </c>
      <c r="X82" s="174">
        <f t="shared" si="32"/>
        <v>0</v>
      </c>
      <c r="Y82" s="174">
        <f t="shared" si="32"/>
        <v>0</v>
      </c>
      <c r="Z82" s="174">
        <f t="shared" si="32"/>
        <v>0</v>
      </c>
      <c r="AA82" s="174">
        <f t="shared" si="32"/>
        <v>0</v>
      </c>
      <c r="AB82" s="174">
        <f t="shared" si="32"/>
        <v>0</v>
      </c>
      <c r="AC82" s="174">
        <f t="shared" si="32"/>
        <v>0</v>
      </c>
      <c r="AD82" s="174">
        <f t="shared" si="32"/>
        <v>0</v>
      </c>
      <c r="AE82" s="174">
        <f t="shared" si="32"/>
        <v>0</v>
      </c>
      <c r="AF82" s="174">
        <f t="shared" si="32"/>
        <v>0</v>
      </c>
      <c r="AG82" s="174">
        <f t="shared" si="32"/>
        <v>0</v>
      </c>
      <c r="AH82" s="174">
        <f t="shared" si="32"/>
        <v>0</v>
      </c>
      <c r="AI82" s="174">
        <f t="shared" si="32"/>
        <v>0</v>
      </c>
      <c r="AJ82" s="174">
        <f t="shared" si="32"/>
        <v>0</v>
      </c>
      <c r="AK82" s="174">
        <f t="shared" si="32"/>
        <v>0</v>
      </c>
      <c r="AL82" s="174">
        <f t="shared" si="32"/>
        <v>0</v>
      </c>
      <c r="AM82" s="174">
        <f t="shared" si="32"/>
        <v>0</v>
      </c>
      <c r="AN82" s="174">
        <f t="shared" ref="AN82:BG82" si="33">SUM(AN83:AN90)</f>
        <v>0</v>
      </c>
      <c r="AO82" s="174">
        <f t="shared" si="33"/>
        <v>0</v>
      </c>
      <c r="AP82" s="174">
        <f t="shared" si="33"/>
        <v>0</v>
      </c>
      <c r="AQ82" s="174">
        <f t="shared" si="33"/>
        <v>0</v>
      </c>
      <c r="AR82" s="174">
        <f t="shared" si="33"/>
        <v>0</v>
      </c>
      <c r="AS82" s="174">
        <f t="shared" si="33"/>
        <v>0</v>
      </c>
      <c r="AT82" s="174">
        <f t="shared" si="33"/>
        <v>0</v>
      </c>
      <c r="AU82" s="174">
        <f t="shared" si="33"/>
        <v>0</v>
      </c>
      <c r="AV82" s="174">
        <f t="shared" si="33"/>
        <v>0</v>
      </c>
      <c r="AW82" s="174">
        <f t="shared" si="33"/>
        <v>0</v>
      </c>
      <c r="AX82" s="174">
        <f t="shared" si="33"/>
        <v>0</v>
      </c>
      <c r="AY82" s="174">
        <f t="shared" si="33"/>
        <v>0</v>
      </c>
      <c r="AZ82" s="174">
        <f t="shared" si="33"/>
        <v>0</v>
      </c>
      <c r="BA82" s="174">
        <f t="shared" si="33"/>
        <v>0</v>
      </c>
      <c r="BB82" s="174">
        <f t="shared" si="33"/>
        <v>0</v>
      </c>
      <c r="BC82" s="174">
        <f t="shared" si="33"/>
        <v>0</v>
      </c>
      <c r="BD82" s="174">
        <f t="shared" si="33"/>
        <v>0</v>
      </c>
      <c r="BE82" s="174">
        <f t="shared" si="33"/>
        <v>0</v>
      </c>
      <c r="BF82" s="174">
        <f t="shared" si="33"/>
        <v>0</v>
      </c>
      <c r="BG82" s="174">
        <f t="shared" si="33"/>
        <v>0</v>
      </c>
      <c r="BH82" s="36"/>
      <c r="BI82" s="150"/>
      <c r="BJ82" s="150"/>
      <c r="BK82" s="151"/>
      <c r="BL82" s="151"/>
      <c r="BM82" s="150"/>
      <c r="BN82" s="150"/>
      <c r="BO82" s="36"/>
      <c r="BP82" s="36"/>
    </row>
    <row r="83" spans="1:68" hidden="1" outlineLevel="1" x14ac:dyDescent="0.25">
      <c r="A83" s="167">
        <v>2494</v>
      </c>
      <c r="B83" s="168" t="str" cm="1">
        <f t="array" ref="B83">IF(BI83="","",INDEX(pjName,BI83))</f>
        <v>Laurel Park Garden</v>
      </c>
      <c r="C83" s="167" t="str" cm="1">
        <f t="array" ref="C83">IF(BI83="","",IF(INDEX(pjStatus,BI83)="","",INDEX(pjStatus,BI83)))</f>
        <v>Active</v>
      </c>
      <c r="D83" s="167" t="str" cm="1">
        <f t="array" ref="D83">IFERROR(INDEX(tblStaff[Initials],BN83),"")</f>
        <v>PK</v>
      </c>
      <c r="E83" s="169" cm="1">
        <f t="array" ref="E83">IF(OR(BI83="",D83=""),"",IFERROR(SUMPRODUCT((pjNo=A83)*(pjType="Phase")*INDEX(Projects!$I$5:$O$1188,0,MATCH(D83,Projects!$I$4:$O$4,0))*pjWk),0))</f>
        <v>0</v>
      </c>
      <c r="F83" s="169">
        <f t="shared" ref="F83:F90" si="34">IF(BI83="","",SUM(H83:BG83))</f>
        <v>0</v>
      </c>
      <c r="G83" s="169">
        <f t="shared" ref="G83:G90" si="35">IF(OR(E83="",F83=""),"",E83-F83)</f>
        <v>0</v>
      </c>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c r="AY83" s="170"/>
      <c r="AZ83" s="170"/>
      <c r="BA83" s="170"/>
      <c r="BB83" s="170"/>
      <c r="BC83" s="170"/>
      <c r="BD83" s="170"/>
      <c r="BE83" s="170"/>
      <c r="BF83" s="170"/>
      <c r="BG83" s="170"/>
      <c r="BH83" s="36"/>
      <c r="BI83" s="150" cm="1">
        <f t="array" ref="BI83">IF(A83="","",IFERROR(MATCH(1,INDEX((pjNo=A83)*(pjType="Project"),0),0),""))</f>
        <v>57</v>
      </c>
      <c r="BJ83" s="150" t="str">
        <f>IF(D83="","",IFERROR(INDEX(tblStaff[Staff Level],MATCH(D83,tblStaff[Initials],0)),"?"))</f>
        <v>Principal</v>
      </c>
      <c r="BK83" s="151" t="str" cm="1">
        <f t="array" ref="BK83">IF(BI83="","",INDEX(pjStart,BI83))</f>
        <v/>
      </c>
      <c r="BL83" s="151" t="str" cm="1">
        <f t="array" ref="BL83">IF(BI83="","",INDEX(pjEnd,BI83))</f>
        <v/>
      </c>
      <c r="BM83" s="150">
        <f>IF(BI83="",0,IF(C83="Active",1,IF(C83="Prospective",IF(Assumptions!$B$6="Active only",0,Assumptions!$B$7),0)))</f>
        <v>1</v>
      </c>
      <c r="BN83" s="150">
        <v>1</v>
      </c>
      <c r="BO83" s="36"/>
      <c r="BP83" s="36"/>
    </row>
    <row r="84" spans="1:68" hidden="1" outlineLevel="1" x14ac:dyDescent="0.25">
      <c r="A84" s="167">
        <v>2494</v>
      </c>
      <c r="B84" s="168" t="str" cm="1">
        <f t="array" ref="B84">IF(BI84="","",INDEX(pjName,BI84))</f>
        <v>Laurel Park Garden</v>
      </c>
      <c r="C84" s="167" t="str" cm="1">
        <f t="array" ref="C84">IF(BI84="","",IF(INDEX(pjStatus,BI84)="","",INDEX(pjStatus,BI84)))</f>
        <v>Active</v>
      </c>
      <c r="D84" s="167" t="str" cm="1">
        <f t="array" ref="D84">IFERROR(INDEX(tblStaff[Initials],BN84),"")</f>
        <v>DF</v>
      </c>
      <c r="E84" s="169" cm="1">
        <f t="array" ref="E84">IF(OR(BI84="",D84=""),"",IFERROR(SUMPRODUCT((pjNo=A84)*(pjType="Phase")*INDEX(Projects!$I$5:$O$1188,0,MATCH(D84,Projects!$I$4:$O$4,0))*pjWk),0))</f>
        <v>0</v>
      </c>
      <c r="F84" s="169">
        <f t="shared" si="34"/>
        <v>0</v>
      </c>
      <c r="G84" s="169">
        <f t="shared" si="35"/>
        <v>0</v>
      </c>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170"/>
      <c r="BA84" s="170"/>
      <c r="BB84" s="170"/>
      <c r="BC84" s="170"/>
      <c r="BD84" s="170"/>
      <c r="BE84" s="170"/>
      <c r="BF84" s="170"/>
      <c r="BG84" s="170"/>
      <c r="BH84" s="36"/>
      <c r="BI84" s="150" cm="1">
        <f t="array" ref="BI84">IF(A84="","",IFERROR(MATCH(1,INDEX((pjNo=A84)*(pjType="Project"),0),0),""))</f>
        <v>57</v>
      </c>
      <c r="BJ84" s="150" t="str">
        <f>IF(D84="","",IFERROR(INDEX(tblStaff[Staff Level],MATCH(D84,tblStaff[Initials],0)),"?"))</f>
        <v>Principal</v>
      </c>
      <c r="BK84" s="151" t="str" cm="1">
        <f t="array" ref="BK84">IF(BI84="","",INDEX(pjStart,BI84))</f>
        <v/>
      </c>
      <c r="BL84" s="151" t="str" cm="1">
        <f t="array" ref="BL84">IF(BI84="","",INDEX(pjEnd,BI84))</f>
        <v/>
      </c>
      <c r="BM84" s="150">
        <f>IF(BI84="",0,IF(C84="Active",1,IF(C84="Prospective",IF(Assumptions!$B$6="Active only",0,Assumptions!$B$7),0)))</f>
        <v>1</v>
      </c>
      <c r="BN84" s="150">
        <v>2</v>
      </c>
      <c r="BO84" s="36"/>
      <c r="BP84" s="36"/>
    </row>
    <row r="85" spans="1:68" hidden="1" outlineLevel="1" x14ac:dyDescent="0.25">
      <c r="A85" s="158">
        <v>2494</v>
      </c>
      <c r="B85" s="157" t="str" cm="1">
        <f t="array" ref="B85">IF(BI85="","",INDEX(pjName,BI85))</f>
        <v>Laurel Park Garden</v>
      </c>
      <c r="C85" s="158" t="str" cm="1">
        <f t="array" ref="C85">IF(BI85="","",IF(INDEX(pjStatus,BI85)="","",INDEX(pjStatus,BI85)))</f>
        <v>Active</v>
      </c>
      <c r="D85" s="158" t="str" cm="1">
        <f t="array" ref="D85">IFERROR(INDEX(tblStaff[Initials],BN85),"")</f>
        <v>KJ</v>
      </c>
      <c r="E85" s="159" cm="1">
        <f t="array" ref="E85">IF(OR(BI85="",D85=""),"",IFERROR(SUMPRODUCT((pjNo=A85)*(pjType="Phase")*INDEX(Projects!$I$5:$O$1188,0,MATCH(D85,Projects!$I$4:$O$4,0))*pjWk),0))</f>
        <v>0</v>
      </c>
      <c r="F85" s="159">
        <f t="shared" si="34"/>
        <v>0</v>
      </c>
      <c r="G85" s="159">
        <f t="shared" si="35"/>
        <v>0</v>
      </c>
      <c r="H85" s="160"/>
      <c r="I85" s="160"/>
      <c r="J85" s="160"/>
      <c r="K85" s="160"/>
      <c r="L85" s="160"/>
      <c r="M85" s="160"/>
      <c r="N85" s="160"/>
      <c r="O85" s="160"/>
      <c r="P85" s="160"/>
      <c r="Q85" s="160"/>
      <c r="R85" s="160"/>
      <c r="S85" s="160"/>
      <c r="T85" s="160"/>
      <c r="U85" s="160"/>
      <c r="V85" s="160"/>
      <c r="W85" s="160"/>
      <c r="X85" s="160"/>
      <c r="Y85" s="160"/>
      <c r="Z85" s="160"/>
      <c r="AA85" s="160"/>
      <c r="AB85" s="160"/>
      <c r="AC85" s="160"/>
      <c r="AD85" s="160"/>
      <c r="AE85" s="160"/>
      <c r="AF85" s="160"/>
      <c r="AG85" s="160"/>
      <c r="AH85" s="160"/>
      <c r="AI85" s="160"/>
      <c r="AJ85" s="160"/>
      <c r="AK85" s="160"/>
      <c r="AL85" s="160"/>
      <c r="AM85" s="160"/>
      <c r="AN85" s="160"/>
      <c r="AO85" s="160"/>
      <c r="AP85" s="160"/>
      <c r="AQ85" s="160"/>
      <c r="AR85" s="160"/>
      <c r="AS85" s="160"/>
      <c r="AT85" s="160"/>
      <c r="AU85" s="160"/>
      <c r="AV85" s="160"/>
      <c r="AW85" s="160"/>
      <c r="AX85" s="160"/>
      <c r="AY85" s="160"/>
      <c r="AZ85" s="160"/>
      <c r="BA85" s="160"/>
      <c r="BB85" s="160"/>
      <c r="BC85" s="160"/>
      <c r="BD85" s="160"/>
      <c r="BE85" s="160"/>
      <c r="BF85" s="160"/>
      <c r="BG85" s="160"/>
      <c r="BH85" s="36"/>
      <c r="BI85" s="150" cm="1">
        <f t="array" ref="BI85">IF(A85="","",IFERROR(MATCH(1,INDEX((pjNo=A85)*(pjType="Project"),0),0),""))</f>
        <v>57</v>
      </c>
      <c r="BJ85" s="150" t="str">
        <f>IF(D85="","",IFERROR(INDEX(tblStaff[Staff Level],MATCH(D85,tblStaff[Initials],0)),"?"))</f>
        <v>Director</v>
      </c>
      <c r="BK85" s="151" t="str" cm="1">
        <f t="array" ref="BK85">IF(BI85="","",INDEX(pjStart,BI85))</f>
        <v/>
      </c>
      <c r="BL85" s="151" t="str" cm="1">
        <f t="array" ref="BL85">IF(BI85="","",INDEX(pjEnd,BI85))</f>
        <v/>
      </c>
      <c r="BM85" s="150">
        <f>IF(BI85="",0,IF(C85="Active",1,IF(C85="Prospective",IF(Assumptions!$B$6="Active only",0,Assumptions!$B$7),0)))</f>
        <v>1</v>
      </c>
      <c r="BN85" s="150">
        <v>3</v>
      </c>
      <c r="BO85" s="36"/>
      <c r="BP85" s="36"/>
    </row>
    <row r="86" spans="1:68" hidden="1" outlineLevel="1" x14ac:dyDescent="0.25">
      <c r="A86" s="158">
        <v>2494</v>
      </c>
      <c r="B86" s="157" t="str" cm="1">
        <f t="array" ref="B86">IF(BI86="","",INDEX(pjName,BI86))</f>
        <v>Laurel Park Garden</v>
      </c>
      <c r="C86" s="158" t="str" cm="1">
        <f t="array" ref="C86">IF(BI86="","",IF(INDEX(pjStatus,BI86)="","",INDEX(pjStatus,BI86)))</f>
        <v>Active</v>
      </c>
      <c r="D86" s="158" t="str" cm="1">
        <f t="array" ref="D86">IFERROR(INDEX(tblStaff[Initials],BN86),"")</f>
        <v>HL</v>
      </c>
      <c r="E86" s="159" cm="1">
        <f t="array" ref="E86">IF(OR(BI86="",D86=""),"",IFERROR(SUMPRODUCT((pjNo=A86)*(pjType="Phase")*INDEX(Projects!$I$5:$O$1188,0,MATCH(D86,Projects!$I$4:$O$4,0))*pjWk),0))</f>
        <v>0</v>
      </c>
      <c r="F86" s="159">
        <f t="shared" si="34"/>
        <v>0</v>
      </c>
      <c r="G86" s="159">
        <f t="shared" si="35"/>
        <v>0</v>
      </c>
      <c r="H86" s="160"/>
      <c r="I86" s="160"/>
      <c r="J86" s="160"/>
      <c r="K86" s="160"/>
      <c r="L86" s="160"/>
      <c r="M86" s="160"/>
      <c r="N86" s="160"/>
      <c r="O86" s="160"/>
      <c r="P86" s="160"/>
      <c r="Q86" s="160"/>
      <c r="R86" s="160"/>
      <c r="S86" s="160"/>
      <c r="T86" s="160"/>
      <c r="U86" s="160"/>
      <c r="V86" s="160"/>
      <c r="W86" s="160"/>
      <c r="X86" s="160"/>
      <c r="Y86" s="160"/>
      <c r="Z86" s="160"/>
      <c r="AA86" s="160"/>
      <c r="AB86" s="160"/>
      <c r="AC86" s="160"/>
      <c r="AD86" s="160"/>
      <c r="AE86" s="160"/>
      <c r="AF86" s="160"/>
      <c r="AG86" s="160"/>
      <c r="AH86" s="160"/>
      <c r="AI86" s="160"/>
      <c r="AJ86" s="160"/>
      <c r="AK86" s="160"/>
      <c r="AL86" s="160"/>
      <c r="AM86" s="160"/>
      <c r="AN86" s="160"/>
      <c r="AO86" s="160"/>
      <c r="AP86" s="160"/>
      <c r="AQ86" s="160"/>
      <c r="AR86" s="160"/>
      <c r="AS86" s="160"/>
      <c r="AT86" s="160"/>
      <c r="AU86" s="160"/>
      <c r="AV86" s="160"/>
      <c r="AW86" s="160"/>
      <c r="AX86" s="160"/>
      <c r="AY86" s="160"/>
      <c r="AZ86" s="160"/>
      <c r="BA86" s="160"/>
      <c r="BB86" s="160"/>
      <c r="BC86" s="160"/>
      <c r="BD86" s="160"/>
      <c r="BE86" s="160"/>
      <c r="BF86" s="160"/>
      <c r="BG86" s="160"/>
      <c r="BH86" s="36"/>
      <c r="BI86" s="150" cm="1">
        <f t="array" ref="BI86">IF(A86="","",IFERROR(MATCH(1,INDEX((pjNo=A86)*(pjType="Project"),0),0),""))</f>
        <v>57</v>
      </c>
      <c r="BJ86" s="150" t="str">
        <f>IF(D86="","",IFERROR(INDEX(tblStaff[Staff Level],MATCH(D86,tblStaff[Initials],0)),"?"))</f>
        <v>Senior Designer</v>
      </c>
      <c r="BK86" s="151" t="str" cm="1">
        <f t="array" ref="BK86">IF(BI86="","",INDEX(pjStart,BI86))</f>
        <v/>
      </c>
      <c r="BL86" s="151" t="str" cm="1">
        <f t="array" ref="BL86">IF(BI86="","",INDEX(pjEnd,BI86))</f>
        <v/>
      </c>
      <c r="BM86" s="150">
        <f>IF(BI86="",0,IF(C86="Active",1,IF(C86="Prospective",IF(Assumptions!$B$6="Active only",0,Assumptions!$B$7),0)))</f>
        <v>1</v>
      </c>
      <c r="BN86" s="150">
        <v>4</v>
      </c>
      <c r="BO86" s="36"/>
      <c r="BP86" s="36"/>
    </row>
    <row r="87" spans="1:68" hidden="1" outlineLevel="1" x14ac:dyDescent="0.25">
      <c r="A87" s="158">
        <v>2494</v>
      </c>
      <c r="B87" s="157" t="str" cm="1">
        <f t="array" ref="B87">IF(BI87="","",INDEX(pjName,BI87))</f>
        <v>Laurel Park Garden</v>
      </c>
      <c r="C87" s="158" t="str" cm="1">
        <f t="array" ref="C87">IF(BI87="","",IF(INDEX(pjStatus,BI87)="","",INDEX(pjStatus,BI87)))</f>
        <v>Active</v>
      </c>
      <c r="D87" s="158" t="str" cm="1">
        <f t="array" ref="D87">IFERROR(INDEX(tblStaff[Initials],BN87),"")</f>
        <v>EHH</v>
      </c>
      <c r="E87" s="159" cm="1">
        <f t="array" ref="E87">IF(OR(BI87="",D87=""),"",IFERROR(SUMPRODUCT((pjNo=A87)*(pjType="Phase")*INDEX(Projects!$I$5:$O$1188,0,MATCH(D87,Projects!$I$4:$O$4,0))*pjWk),0))</f>
        <v>0</v>
      </c>
      <c r="F87" s="159">
        <f t="shared" si="34"/>
        <v>0</v>
      </c>
      <c r="G87" s="159">
        <f t="shared" si="35"/>
        <v>0</v>
      </c>
      <c r="H87" s="160"/>
      <c r="I87" s="160"/>
      <c r="J87" s="160"/>
      <c r="K87" s="160"/>
      <c r="L87" s="160"/>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c r="AJ87" s="160"/>
      <c r="AK87" s="160"/>
      <c r="AL87" s="160"/>
      <c r="AM87" s="160"/>
      <c r="AN87" s="160"/>
      <c r="AO87" s="160"/>
      <c r="AP87" s="160"/>
      <c r="AQ87" s="160"/>
      <c r="AR87" s="160"/>
      <c r="AS87" s="160"/>
      <c r="AT87" s="160"/>
      <c r="AU87" s="160"/>
      <c r="AV87" s="160"/>
      <c r="AW87" s="160"/>
      <c r="AX87" s="160"/>
      <c r="AY87" s="160"/>
      <c r="AZ87" s="160"/>
      <c r="BA87" s="160"/>
      <c r="BB87" s="160"/>
      <c r="BC87" s="160"/>
      <c r="BD87" s="160"/>
      <c r="BE87" s="160"/>
      <c r="BF87" s="160"/>
      <c r="BG87" s="160"/>
      <c r="BH87" s="36"/>
      <c r="BI87" s="150" cm="1">
        <f t="array" ref="BI87">IF(A87="","",IFERROR(MATCH(1,INDEX((pjNo=A87)*(pjType="Project"),0),0),""))</f>
        <v>57</v>
      </c>
      <c r="BJ87" s="150" t="str">
        <f>IF(D87="","",IFERROR(INDEX(tblStaff[Staff Level],MATCH(D87,tblStaff[Initials],0)),"?"))</f>
        <v>Mid Level Designer</v>
      </c>
      <c r="BK87" s="151" t="str" cm="1">
        <f t="array" ref="BK87">IF(BI87="","",INDEX(pjStart,BI87))</f>
        <v/>
      </c>
      <c r="BL87" s="151" t="str" cm="1">
        <f t="array" ref="BL87">IF(BI87="","",INDEX(pjEnd,BI87))</f>
        <v/>
      </c>
      <c r="BM87" s="150">
        <f>IF(BI87="",0,IF(C87="Active",1,IF(C87="Prospective",IF(Assumptions!$B$6="Active only",0,Assumptions!$B$7),0)))</f>
        <v>1</v>
      </c>
      <c r="BN87" s="150">
        <v>5</v>
      </c>
      <c r="BO87" s="36"/>
      <c r="BP87" s="36"/>
    </row>
    <row r="88" spans="1:68" hidden="1" outlineLevel="1" x14ac:dyDescent="0.25">
      <c r="A88" s="158">
        <v>2494</v>
      </c>
      <c r="B88" s="157" t="str" cm="1">
        <f t="array" ref="B88">IF(BI88="","",INDEX(pjName,BI88))</f>
        <v>Laurel Park Garden</v>
      </c>
      <c r="C88" s="158" t="str" cm="1">
        <f t="array" ref="C88">IF(BI88="","",IF(INDEX(pjStatus,BI88)="","",INDEX(pjStatus,BI88)))</f>
        <v>Active</v>
      </c>
      <c r="D88" s="158" t="str" cm="1">
        <f t="array" ref="D88">IFERROR(INDEX(tblStaff[Initials],BN88),"")</f>
        <v>KD</v>
      </c>
      <c r="E88" s="159" cm="1">
        <f t="array" ref="E88">IF(OR(BI88="",D88=""),"",IFERROR(SUMPRODUCT((pjNo=A88)*(pjType="Phase")*INDEX(Projects!$I$5:$O$1188,0,MATCH(D88,Projects!$I$4:$O$4,0))*pjWk),0))</f>
        <v>0</v>
      </c>
      <c r="F88" s="159">
        <f t="shared" si="34"/>
        <v>0</v>
      </c>
      <c r="G88" s="159">
        <f t="shared" si="35"/>
        <v>0</v>
      </c>
      <c r="H88" s="160"/>
      <c r="I88" s="160"/>
      <c r="J88" s="160"/>
      <c r="K88" s="160"/>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c r="AJ88" s="160"/>
      <c r="AK88" s="160"/>
      <c r="AL88" s="160"/>
      <c r="AM88" s="160"/>
      <c r="AN88" s="160"/>
      <c r="AO88" s="160"/>
      <c r="AP88" s="160"/>
      <c r="AQ88" s="160"/>
      <c r="AR88" s="160"/>
      <c r="AS88" s="160"/>
      <c r="AT88" s="160"/>
      <c r="AU88" s="160"/>
      <c r="AV88" s="160"/>
      <c r="AW88" s="160"/>
      <c r="AX88" s="160"/>
      <c r="AY88" s="160"/>
      <c r="AZ88" s="160"/>
      <c r="BA88" s="160"/>
      <c r="BB88" s="160"/>
      <c r="BC88" s="160"/>
      <c r="BD88" s="160"/>
      <c r="BE88" s="160"/>
      <c r="BF88" s="160"/>
      <c r="BG88" s="160"/>
      <c r="BH88" s="36"/>
      <c r="BI88" s="150" cm="1">
        <f t="array" ref="BI88">IF(A88="","",IFERROR(MATCH(1,INDEX((pjNo=A88)*(pjType="Project"),0),0),""))</f>
        <v>57</v>
      </c>
      <c r="BJ88" s="150" t="str">
        <f>IF(D88="","",IFERROR(INDEX(tblStaff[Staff Level],MATCH(D88,tblStaff[Initials],0)),"?"))</f>
        <v>Mid Level Designer</v>
      </c>
      <c r="BK88" s="151" t="str" cm="1">
        <f t="array" ref="BK88">IF(BI88="","",INDEX(pjStart,BI88))</f>
        <v/>
      </c>
      <c r="BL88" s="151" t="str" cm="1">
        <f t="array" ref="BL88">IF(BI88="","",INDEX(pjEnd,BI88))</f>
        <v/>
      </c>
      <c r="BM88" s="150">
        <f>IF(BI88="",0,IF(C88="Active",1,IF(C88="Prospective",IF(Assumptions!$B$6="Active only",0,Assumptions!$B$7),0)))</f>
        <v>1</v>
      </c>
      <c r="BN88" s="150">
        <v>6</v>
      </c>
      <c r="BO88" s="36"/>
      <c r="BP88" s="36"/>
    </row>
    <row r="89" spans="1:68" hidden="1" outlineLevel="1" x14ac:dyDescent="0.25">
      <c r="A89" s="158">
        <v>2494</v>
      </c>
      <c r="B89" s="157" t="str" cm="1">
        <f t="array" ref="B89">IF(BI89="","",INDEX(pjName,BI89))</f>
        <v>Laurel Park Garden</v>
      </c>
      <c r="C89" s="158" t="str" cm="1">
        <f t="array" ref="C89">IF(BI89="","",IF(INDEX(pjStatus,BI89)="","",INDEX(pjStatus,BI89)))</f>
        <v>Active</v>
      </c>
      <c r="D89" s="158" t="str" cm="1">
        <f t="array" ref="D89">IFERROR(INDEX(tblStaff[Initials],BN89),"")</f>
        <v>XX</v>
      </c>
      <c r="E89" s="159" cm="1">
        <f t="array" ref="E89">IF(OR(BI89="",D89=""),"",IFERROR(SUMPRODUCT((pjNo=A89)*(pjType="Phase")*INDEX(Projects!$I$5:$O$1188,0,MATCH(D89,Projects!$I$4:$O$4,0))*pjWk),0))</f>
        <v>0</v>
      </c>
      <c r="F89" s="159">
        <f t="shared" si="34"/>
        <v>0</v>
      </c>
      <c r="G89" s="159">
        <f t="shared" si="35"/>
        <v>0</v>
      </c>
      <c r="H89" s="160"/>
      <c r="I89" s="160"/>
      <c r="J89" s="160"/>
      <c r="K89" s="160"/>
      <c r="L89" s="160"/>
      <c r="M89" s="160"/>
      <c r="N89" s="160"/>
      <c r="O89" s="160"/>
      <c r="P89" s="160"/>
      <c r="Q89" s="160"/>
      <c r="R89" s="160"/>
      <c r="S89" s="160"/>
      <c r="T89" s="160"/>
      <c r="U89" s="160"/>
      <c r="V89" s="160"/>
      <c r="W89" s="160"/>
      <c r="X89" s="160"/>
      <c r="Y89" s="160"/>
      <c r="Z89" s="160"/>
      <c r="AA89" s="160"/>
      <c r="AB89" s="160"/>
      <c r="AC89" s="160"/>
      <c r="AD89" s="160"/>
      <c r="AE89" s="160"/>
      <c r="AF89" s="160"/>
      <c r="AG89" s="160"/>
      <c r="AH89" s="160"/>
      <c r="AI89" s="160"/>
      <c r="AJ89" s="160"/>
      <c r="AK89" s="160"/>
      <c r="AL89" s="160"/>
      <c r="AM89" s="160"/>
      <c r="AN89" s="160"/>
      <c r="AO89" s="160"/>
      <c r="AP89" s="160"/>
      <c r="AQ89" s="160"/>
      <c r="AR89" s="160"/>
      <c r="AS89" s="160"/>
      <c r="AT89" s="160"/>
      <c r="AU89" s="160"/>
      <c r="AV89" s="160"/>
      <c r="AW89" s="160"/>
      <c r="AX89" s="160"/>
      <c r="AY89" s="160"/>
      <c r="AZ89" s="160"/>
      <c r="BA89" s="160"/>
      <c r="BB89" s="160"/>
      <c r="BC89" s="160"/>
      <c r="BD89" s="160"/>
      <c r="BE89" s="160"/>
      <c r="BF89" s="160"/>
      <c r="BG89" s="160"/>
      <c r="BH89" s="36"/>
      <c r="BI89" s="150" cm="1">
        <f t="array" ref="BI89">IF(A89="","",IFERROR(MATCH(1,INDEX((pjNo=A89)*(pjType="Project"),0),0),""))</f>
        <v>57</v>
      </c>
      <c r="BJ89" s="150" t="str">
        <f>IF(D89="","",IFERROR(INDEX(tblStaff[Staff Level],MATCH(D89,tblStaff[Initials],0)),"?"))</f>
        <v>Project Designer</v>
      </c>
      <c r="BK89" s="151" t="str" cm="1">
        <f t="array" ref="BK89">IF(BI89="","",INDEX(pjStart,BI89))</f>
        <v/>
      </c>
      <c r="BL89" s="151" t="str" cm="1">
        <f t="array" ref="BL89">IF(BI89="","",INDEX(pjEnd,BI89))</f>
        <v/>
      </c>
      <c r="BM89" s="150">
        <f>IF(BI89="",0,IF(C89="Active",1,IF(C89="Prospective",IF(Assumptions!$B$6="Active only",0,Assumptions!$B$7),0)))</f>
        <v>1</v>
      </c>
      <c r="BN89" s="150">
        <v>7</v>
      </c>
      <c r="BO89" s="36"/>
      <c r="BP89" s="36"/>
    </row>
    <row r="90" spans="1:68" hidden="1" outlineLevel="1" x14ac:dyDescent="0.25">
      <c r="A90" s="162">
        <v>2494</v>
      </c>
      <c r="B90" s="161" t="str" cm="1">
        <f t="array" ref="B90">IF(BI90="","",INDEX(pjName,BI90))</f>
        <v>Laurel Park Garden</v>
      </c>
      <c r="C90" s="162" t="str" cm="1">
        <f t="array" ref="C90">IF(BI90="","",IF(INDEX(pjStatus,BI90)="","",INDEX(pjStatus,BI90)))</f>
        <v>Active</v>
      </c>
      <c r="D90" s="162" t="str" cm="1">
        <f t="array" ref="D90">IFERROR(INDEX(tblStaff[Initials],BN90),"")</f>
        <v/>
      </c>
      <c r="E90" s="163" t="str" cm="1">
        <f t="array" ref="E90">IF(OR(BI90="",D90=""),"",IFERROR(SUMPRODUCT((pjNo=A90)*(pjType="Phase")*INDEX(Projects!$I$5:$O$1188,0,MATCH(D90,Projects!$I$4:$O$4,0))*pjWk),0))</f>
        <v/>
      </c>
      <c r="F90" s="163">
        <f t="shared" si="34"/>
        <v>0</v>
      </c>
      <c r="G90" s="163" t="str">
        <f t="shared" si="35"/>
        <v/>
      </c>
      <c r="H90" s="164"/>
      <c r="I90" s="164"/>
      <c r="J90" s="164"/>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164"/>
      <c r="AH90" s="164"/>
      <c r="AI90" s="164"/>
      <c r="AJ90" s="164"/>
      <c r="AK90" s="164"/>
      <c r="AL90" s="164"/>
      <c r="AM90" s="164"/>
      <c r="AN90" s="164"/>
      <c r="AO90" s="164"/>
      <c r="AP90" s="164"/>
      <c r="AQ90" s="164"/>
      <c r="AR90" s="164"/>
      <c r="AS90" s="164"/>
      <c r="AT90" s="164"/>
      <c r="AU90" s="164"/>
      <c r="AV90" s="164"/>
      <c r="AW90" s="164"/>
      <c r="AX90" s="164"/>
      <c r="AY90" s="164"/>
      <c r="AZ90" s="164"/>
      <c r="BA90" s="164"/>
      <c r="BB90" s="164"/>
      <c r="BC90" s="164"/>
      <c r="BD90" s="164"/>
      <c r="BE90" s="164"/>
      <c r="BF90" s="164"/>
      <c r="BG90" s="164"/>
      <c r="BH90" s="36"/>
      <c r="BI90" s="150" cm="1">
        <f t="array" ref="BI90">IF(A90="","",IFERROR(MATCH(1,INDEX((pjNo=A90)*(pjType="Project"),0),0),""))</f>
        <v>57</v>
      </c>
      <c r="BJ90" s="150" t="str">
        <f>IF(D90="","",IFERROR(INDEX(tblStaff[Staff Level],MATCH(D90,tblStaff[Initials],0)),"?"))</f>
        <v/>
      </c>
      <c r="BK90" s="151" t="str" cm="1">
        <f t="array" ref="BK90">IF(BI90="","",INDEX(pjStart,BI90))</f>
        <v/>
      </c>
      <c r="BL90" s="151" t="str" cm="1">
        <f t="array" ref="BL90">IF(BI90="","",INDEX(pjEnd,BI90))</f>
        <v/>
      </c>
      <c r="BM90" s="150">
        <f>IF(BI90="",0,IF(C90="Active",1,IF(C90="Prospective",IF(Assumptions!$B$6="Active only",0,Assumptions!$B$7),0)))</f>
        <v>1</v>
      </c>
      <c r="BN90" s="150">
        <v>8</v>
      </c>
      <c r="BO90" s="36"/>
      <c r="BP90" s="36"/>
    </row>
    <row r="91" spans="1:68" collapsed="1" x14ac:dyDescent="0.25">
      <c r="A91" s="171"/>
      <c r="B91" s="173" t="str">
        <f>IF(A92="","",A92&amp;" · "&amp;B92)</f>
        <v>2499 · Zephyr Creative Office</v>
      </c>
      <c r="C91" s="171" t="str">
        <f>IF(A92="","",C92)</f>
        <v>Active</v>
      </c>
      <c r="D91" s="171"/>
      <c r="E91" s="172">
        <f>SUM(E92:E99)</f>
        <v>300</v>
      </c>
      <c r="F91" s="172">
        <f>SUM(F92:F99)</f>
        <v>300</v>
      </c>
      <c r="G91" s="172">
        <f>IF(E91=0,"",E91-F91)</f>
        <v>0</v>
      </c>
      <c r="H91" s="174">
        <f t="shared" ref="H91:AM91" si="36">SUM(H92:H99)</f>
        <v>0</v>
      </c>
      <c r="I91" s="174">
        <f t="shared" si="36"/>
        <v>28</v>
      </c>
      <c r="J91" s="174">
        <f t="shared" si="36"/>
        <v>28</v>
      </c>
      <c r="K91" s="174">
        <f t="shared" si="36"/>
        <v>28</v>
      </c>
      <c r="L91" s="174">
        <f t="shared" si="36"/>
        <v>28</v>
      </c>
      <c r="M91" s="174">
        <f t="shared" si="36"/>
        <v>28</v>
      </c>
      <c r="N91" s="174">
        <f t="shared" si="36"/>
        <v>32</v>
      </c>
      <c r="O91" s="174">
        <f t="shared" si="36"/>
        <v>32</v>
      </c>
      <c r="P91" s="174">
        <f t="shared" si="36"/>
        <v>32</v>
      </c>
      <c r="Q91" s="174">
        <f t="shared" si="36"/>
        <v>32</v>
      </c>
      <c r="R91" s="174">
        <f t="shared" si="36"/>
        <v>32</v>
      </c>
      <c r="S91" s="174">
        <f t="shared" si="36"/>
        <v>0</v>
      </c>
      <c r="T91" s="174">
        <f t="shared" si="36"/>
        <v>0</v>
      </c>
      <c r="U91" s="174">
        <f t="shared" si="36"/>
        <v>0</v>
      </c>
      <c r="V91" s="174">
        <f t="shared" si="36"/>
        <v>0</v>
      </c>
      <c r="W91" s="174">
        <f t="shared" si="36"/>
        <v>0</v>
      </c>
      <c r="X91" s="174">
        <f t="shared" si="36"/>
        <v>0</v>
      </c>
      <c r="Y91" s="174">
        <f t="shared" si="36"/>
        <v>0</v>
      </c>
      <c r="Z91" s="174">
        <f t="shared" si="36"/>
        <v>0</v>
      </c>
      <c r="AA91" s="174">
        <f t="shared" si="36"/>
        <v>0</v>
      </c>
      <c r="AB91" s="174">
        <f t="shared" si="36"/>
        <v>0</v>
      </c>
      <c r="AC91" s="174">
        <f t="shared" si="36"/>
        <v>0</v>
      </c>
      <c r="AD91" s="174">
        <f t="shared" si="36"/>
        <v>0</v>
      </c>
      <c r="AE91" s="174">
        <f t="shared" si="36"/>
        <v>0</v>
      </c>
      <c r="AF91" s="174">
        <f t="shared" si="36"/>
        <v>0</v>
      </c>
      <c r="AG91" s="174">
        <f t="shared" si="36"/>
        <v>0</v>
      </c>
      <c r="AH91" s="174">
        <f t="shared" si="36"/>
        <v>0</v>
      </c>
      <c r="AI91" s="174">
        <f t="shared" si="36"/>
        <v>0</v>
      </c>
      <c r="AJ91" s="174">
        <f t="shared" si="36"/>
        <v>0</v>
      </c>
      <c r="AK91" s="174">
        <f t="shared" si="36"/>
        <v>0</v>
      </c>
      <c r="AL91" s="174">
        <f t="shared" si="36"/>
        <v>0</v>
      </c>
      <c r="AM91" s="174">
        <f t="shared" si="36"/>
        <v>0</v>
      </c>
      <c r="AN91" s="174">
        <f t="shared" ref="AN91:BG91" si="37">SUM(AN92:AN99)</f>
        <v>0</v>
      </c>
      <c r="AO91" s="174">
        <f t="shared" si="37"/>
        <v>0</v>
      </c>
      <c r="AP91" s="174">
        <f t="shared" si="37"/>
        <v>0</v>
      </c>
      <c r="AQ91" s="174">
        <f t="shared" si="37"/>
        <v>0</v>
      </c>
      <c r="AR91" s="174">
        <f t="shared" si="37"/>
        <v>0</v>
      </c>
      <c r="AS91" s="174">
        <f t="shared" si="37"/>
        <v>0</v>
      </c>
      <c r="AT91" s="174">
        <f t="shared" si="37"/>
        <v>0</v>
      </c>
      <c r="AU91" s="174">
        <f t="shared" si="37"/>
        <v>0</v>
      </c>
      <c r="AV91" s="174">
        <f t="shared" si="37"/>
        <v>0</v>
      </c>
      <c r="AW91" s="174">
        <f t="shared" si="37"/>
        <v>0</v>
      </c>
      <c r="AX91" s="174">
        <f t="shared" si="37"/>
        <v>0</v>
      </c>
      <c r="AY91" s="174">
        <f t="shared" si="37"/>
        <v>0</v>
      </c>
      <c r="AZ91" s="174">
        <f t="shared" si="37"/>
        <v>0</v>
      </c>
      <c r="BA91" s="174">
        <f t="shared" si="37"/>
        <v>0</v>
      </c>
      <c r="BB91" s="174">
        <f t="shared" si="37"/>
        <v>0</v>
      </c>
      <c r="BC91" s="174">
        <f t="shared" si="37"/>
        <v>0</v>
      </c>
      <c r="BD91" s="174">
        <f t="shared" si="37"/>
        <v>0</v>
      </c>
      <c r="BE91" s="174">
        <f t="shared" si="37"/>
        <v>0</v>
      </c>
      <c r="BF91" s="174">
        <f t="shared" si="37"/>
        <v>0</v>
      </c>
      <c r="BG91" s="174">
        <f t="shared" si="37"/>
        <v>0</v>
      </c>
      <c r="BH91" s="36"/>
      <c r="BI91" s="150"/>
      <c r="BJ91" s="150"/>
      <c r="BK91" s="151"/>
      <c r="BL91" s="151"/>
      <c r="BM91" s="150"/>
      <c r="BN91" s="150"/>
      <c r="BO91" s="36"/>
      <c r="BP91" s="36"/>
    </row>
    <row r="92" spans="1:68" outlineLevel="1" x14ac:dyDescent="0.25">
      <c r="A92" s="167">
        <v>2499</v>
      </c>
      <c r="B92" s="168" t="str" cm="1">
        <f t="array" ref="B92">IF(BI92="","",INDEX(pjName,BI92))</f>
        <v>Zephyr Creative Office</v>
      </c>
      <c r="C92" s="167" t="str" cm="1">
        <f t="array" ref="C92">IF(BI92="","",IF(INDEX(pjStatus,BI92)="","",INDEX(pjStatus,BI92)))</f>
        <v>Active</v>
      </c>
      <c r="D92" s="167" t="str" cm="1">
        <f t="array" ref="D92">IFERROR(INDEX(tblStaff[Initials],BN92),"")</f>
        <v>PK</v>
      </c>
      <c r="E92" s="169" cm="1">
        <f t="array" ref="E92">IF(OR(BI92="",D92=""),"",IFERROR(SUMPRODUCT((pjNo=A92)*(pjType="Phase")*INDEX(Projects!$I$5:$O$1188,0,MATCH(D92,Projects!$I$4:$O$4,0))*pjWk),0))</f>
        <v>40</v>
      </c>
      <c r="F92" s="169">
        <f t="shared" ref="F92:F99" si="38">IF(BI92="","",SUM(H92:BG92))</f>
        <v>40</v>
      </c>
      <c r="G92" s="169">
        <f t="shared" ref="G92:G99" si="39">IF(OR(E92="",F92=""),"",E92-F92)</f>
        <v>0</v>
      </c>
      <c r="H92" s="170"/>
      <c r="I92" s="170">
        <v>4</v>
      </c>
      <c r="J92" s="170">
        <v>4</v>
      </c>
      <c r="K92" s="170">
        <v>4</v>
      </c>
      <c r="L92" s="170">
        <v>4</v>
      </c>
      <c r="M92" s="170">
        <v>4</v>
      </c>
      <c r="N92" s="170">
        <v>4</v>
      </c>
      <c r="O92" s="170">
        <v>4</v>
      </c>
      <c r="P92" s="170">
        <v>4</v>
      </c>
      <c r="Q92" s="170">
        <v>4</v>
      </c>
      <c r="R92" s="170">
        <v>4</v>
      </c>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W92" s="170"/>
      <c r="AX92" s="170"/>
      <c r="AY92" s="170"/>
      <c r="AZ92" s="170"/>
      <c r="BA92" s="170"/>
      <c r="BB92" s="170"/>
      <c r="BC92" s="170"/>
      <c r="BD92" s="170"/>
      <c r="BE92" s="170"/>
      <c r="BF92" s="170"/>
      <c r="BG92" s="170"/>
      <c r="BH92" s="36"/>
      <c r="BI92" s="150" cm="1">
        <f t="array" ref="BI92">IF(A92="","",IFERROR(MATCH(1,INDEX((pjNo=A92)*(pjType="Project"),0),0),""))</f>
        <v>61</v>
      </c>
      <c r="BJ92" s="150" t="str">
        <f>IF(D92="","",IFERROR(INDEX(tblStaff[Staff Level],MATCH(D92,tblStaff[Initials],0)),"?"))</f>
        <v>Principal</v>
      </c>
      <c r="BK92" s="151" cm="1">
        <f t="array" ref="BK92">IF(BI92="","",INDEX(pjStart,BI92))</f>
        <v>46307</v>
      </c>
      <c r="BL92" s="151" cm="1">
        <f t="array" ref="BL92">IF(BI92="","",INDEX(pjEnd,BI92))</f>
        <v>46376</v>
      </c>
      <c r="BM92" s="150">
        <f>IF(BI92="",0,IF(C92="Active",1,IF(C92="Prospective",IF(Assumptions!$B$6="Active only",0,Assumptions!$B$7),0)))</f>
        <v>1</v>
      </c>
      <c r="BN92" s="150">
        <v>1</v>
      </c>
      <c r="BO92" s="36"/>
      <c r="BP92" s="36"/>
    </row>
    <row r="93" spans="1:68" outlineLevel="1" x14ac:dyDescent="0.25">
      <c r="A93" s="167">
        <v>2499</v>
      </c>
      <c r="B93" s="168" t="str" cm="1">
        <f t="array" ref="B93">IF(BI93="","",INDEX(pjName,BI93))</f>
        <v>Zephyr Creative Office</v>
      </c>
      <c r="C93" s="167" t="str" cm="1">
        <f t="array" ref="C93">IF(BI93="","",IF(INDEX(pjStatus,BI93)="","",INDEX(pjStatus,BI93)))</f>
        <v>Active</v>
      </c>
      <c r="D93" s="167" t="str" cm="1">
        <f t="array" ref="D93">IFERROR(INDEX(tblStaff[Initials],BN93),"")</f>
        <v>DF</v>
      </c>
      <c r="E93" s="169" cm="1">
        <f t="array" ref="E93">IF(OR(BI93="",D93=""),"",IFERROR(SUMPRODUCT((pjNo=A93)*(pjType="Phase")*INDEX(Projects!$I$5:$O$1188,0,MATCH(D93,Projects!$I$4:$O$4,0))*pjWk),0))</f>
        <v>0</v>
      </c>
      <c r="F93" s="169">
        <f t="shared" si="38"/>
        <v>0</v>
      </c>
      <c r="G93" s="169">
        <f t="shared" si="39"/>
        <v>0</v>
      </c>
      <c r="H93" s="170"/>
      <c r="I93" s="170"/>
      <c r="J93" s="170"/>
      <c r="K93" s="170"/>
      <c r="L93" s="170"/>
      <c r="M93" s="170"/>
      <c r="N93" s="170"/>
      <c r="O93" s="170"/>
      <c r="P93" s="170"/>
      <c r="Q93" s="170"/>
      <c r="R93" s="170"/>
      <c r="S93" s="170"/>
      <c r="T93" s="170"/>
      <c r="U93" s="170"/>
      <c r="V93" s="170"/>
      <c r="W93" s="170"/>
      <c r="X93" s="170"/>
      <c r="Y93" s="170"/>
      <c r="Z93" s="170"/>
      <c r="AA93" s="170"/>
      <c r="AB93" s="170"/>
      <c r="AC93" s="170"/>
      <c r="AD93" s="170"/>
      <c r="AE93" s="170"/>
      <c r="AF93" s="170"/>
      <c r="AG93" s="170"/>
      <c r="AH93" s="170"/>
      <c r="AI93" s="170"/>
      <c r="AJ93" s="170"/>
      <c r="AK93" s="170"/>
      <c r="AL93" s="170"/>
      <c r="AM93" s="170"/>
      <c r="AN93" s="170"/>
      <c r="AO93" s="170"/>
      <c r="AP93" s="170"/>
      <c r="AQ93" s="170"/>
      <c r="AR93" s="170"/>
      <c r="AS93" s="170"/>
      <c r="AT93" s="170"/>
      <c r="AU93" s="170"/>
      <c r="AV93" s="170"/>
      <c r="AW93" s="170"/>
      <c r="AX93" s="170"/>
      <c r="AY93" s="170"/>
      <c r="AZ93" s="170"/>
      <c r="BA93" s="170"/>
      <c r="BB93" s="170"/>
      <c r="BC93" s="170"/>
      <c r="BD93" s="170"/>
      <c r="BE93" s="170"/>
      <c r="BF93" s="170"/>
      <c r="BG93" s="170"/>
      <c r="BH93" s="36"/>
      <c r="BI93" s="150" cm="1">
        <f t="array" ref="BI93">IF(A93="","",IFERROR(MATCH(1,INDEX((pjNo=A93)*(pjType="Project"),0),0),""))</f>
        <v>61</v>
      </c>
      <c r="BJ93" s="150" t="str">
        <f>IF(D93="","",IFERROR(INDEX(tblStaff[Staff Level],MATCH(D93,tblStaff[Initials],0)),"?"))</f>
        <v>Principal</v>
      </c>
      <c r="BK93" s="151" cm="1">
        <f t="array" ref="BK93">IF(BI93="","",INDEX(pjStart,BI93))</f>
        <v>46307</v>
      </c>
      <c r="BL93" s="151" cm="1">
        <f t="array" ref="BL93">IF(BI93="","",INDEX(pjEnd,BI93))</f>
        <v>46376</v>
      </c>
      <c r="BM93" s="150">
        <f>IF(BI93="",0,IF(C93="Active",1,IF(C93="Prospective",IF(Assumptions!$B$6="Active only",0,Assumptions!$B$7),0)))</f>
        <v>1</v>
      </c>
      <c r="BN93" s="150">
        <v>2</v>
      </c>
      <c r="BO93" s="36"/>
      <c r="BP93" s="36"/>
    </row>
    <row r="94" spans="1:68" outlineLevel="1" x14ac:dyDescent="0.25">
      <c r="A94" s="158">
        <v>2499</v>
      </c>
      <c r="B94" s="157" t="str" cm="1">
        <f t="array" ref="B94">IF(BI94="","",INDEX(pjName,BI94))</f>
        <v>Zephyr Creative Office</v>
      </c>
      <c r="C94" s="158" t="str" cm="1">
        <f t="array" ref="C94">IF(BI94="","",IF(INDEX(pjStatus,BI94)="","",INDEX(pjStatus,BI94)))</f>
        <v>Active</v>
      </c>
      <c r="D94" s="158" t="str" cm="1">
        <f t="array" ref="D94">IFERROR(INDEX(tblStaff[Initials],BN94),"")</f>
        <v>KJ</v>
      </c>
      <c r="E94" s="159" cm="1">
        <f t="array" ref="E94">IF(OR(BI94="",D94=""),"",IFERROR(SUMPRODUCT((pjNo=A94)*(pjType="Phase")*INDEX(Projects!$I$5:$O$1188,0,MATCH(D94,Projects!$I$4:$O$4,0))*pjWk),0))</f>
        <v>80</v>
      </c>
      <c r="F94" s="159">
        <f t="shared" si="38"/>
        <v>80</v>
      </c>
      <c r="G94" s="159">
        <f t="shared" si="39"/>
        <v>0</v>
      </c>
      <c r="H94" s="160"/>
      <c r="I94" s="160">
        <v>8</v>
      </c>
      <c r="J94" s="160">
        <v>8</v>
      </c>
      <c r="K94" s="160">
        <v>8</v>
      </c>
      <c r="L94" s="160">
        <v>8</v>
      </c>
      <c r="M94" s="160">
        <v>8</v>
      </c>
      <c r="N94" s="160">
        <v>8</v>
      </c>
      <c r="O94" s="160">
        <v>8</v>
      </c>
      <c r="P94" s="160">
        <v>8</v>
      </c>
      <c r="Q94" s="160">
        <v>8</v>
      </c>
      <c r="R94" s="160">
        <v>8</v>
      </c>
      <c r="S94" s="160"/>
      <c r="T94" s="160"/>
      <c r="U94" s="160"/>
      <c r="V94" s="160"/>
      <c r="W94" s="160"/>
      <c r="X94" s="160"/>
      <c r="Y94" s="160"/>
      <c r="Z94" s="160"/>
      <c r="AA94" s="160"/>
      <c r="AB94" s="160"/>
      <c r="AC94" s="160"/>
      <c r="AD94" s="160"/>
      <c r="AE94" s="160"/>
      <c r="AF94" s="160"/>
      <c r="AG94" s="160"/>
      <c r="AH94" s="160"/>
      <c r="AI94" s="160"/>
      <c r="AJ94" s="160"/>
      <c r="AK94" s="160"/>
      <c r="AL94" s="160"/>
      <c r="AM94" s="160"/>
      <c r="AN94" s="160"/>
      <c r="AO94" s="160"/>
      <c r="AP94" s="160"/>
      <c r="AQ94" s="160"/>
      <c r="AR94" s="160"/>
      <c r="AS94" s="160"/>
      <c r="AT94" s="160"/>
      <c r="AU94" s="160"/>
      <c r="AV94" s="160"/>
      <c r="AW94" s="160"/>
      <c r="AX94" s="160"/>
      <c r="AY94" s="160"/>
      <c r="AZ94" s="160"/>
      <c r="BA94" s="160"/>
      <c r="BB94" s="160"/>
      <c r="BC94" s="160"/>
      <c r="BD94" s="160"/>
      <c r="BE94" s="160"/>
      <c r="BF94" s="160"/>
      <c r="BG94" s="160"/>
      <c r="BH94" s="36"/>
      <c r="BI94" s="150" cm="1">
        <f t="array" ref="BI94">IF(A94="","",IFERROR(MATCH(1,INDEX((pjNo=A94)*(pjType="Project"),0),0),""))</f>
        <v>61</v>
      </c>
      <c r="BJ94" s="150" t="str">
        <f>IF(D94="","",IFERROR(INDEX(tblStaff[Staff Level],MATCH(D94,tblStaff[Initials],0)),"?"))</f>
        <v>Director</v>
      </c>
      <c r="BK94" s="151" cm="1">
        <f t="array" ref="BK94">IF(BI94="","",INDEX(pjStart,BI94))</f>
        <v>46307</v>
      </c>
      <c r="BL94" s="151" cm="1">
        <f t="array" ref="BL94">IF(BI94="","",INDEX(pjEnd,BI94))</f>
        <v>46376</v>
      </c>
      <c r="BM94" s="150">
        <f>IF(BI94="",0,IF(C94="Active",1,IF(C94="Prospective",IF(Assumptions!$B$6="Active only",0,Assumptions!$B$7),0)))</f>
        <v>1</v>
      </c>
      <c r="BN94" s="150">
        <v>3</v>
      </c>
      <c r="BO94" s="36"/>
      <c r="BP94" s="36"/>
    </row>
    <row r="95" spans="1:68" outlineLevel="1" x14ac:dyDescent="0.25">
      <c r="A95" s="158">
        <v>2499</v>
      </c>
      <c r="B95" s="157" t="str" cm="1">
        <f t="array" ref="B95">IF(BI95="","",INDEX(pjName,BI95))</f>
        <v>Zephyr Creative Office</v>
      </c>
      <c r="C95" s="158" t="str" cm="1">
        <f t="array" ref="C95">IF(BI95="","",IF(INDEX(pjStatus,BI95)="","",INDEX(pjStatus,BI95)))</f>
        <v>Active</v>
      </c>
      <c r="D95" s="158" t="str" cm="1">
        <f t="array" ref="D95">IFERROR(INDEX(tblStaff[Initials],BN95),"")</f>
        <v>HL</v>
      </c>
      <c r="E95" s="159" cm="1">
        <f t="array" ref="E95">IF(OR(BI95="",D95=""),"",IFERROR(SUMPRODUCT((pjNo=A95)*(pjType="Phase")*INDEX(Projects!$I$5:$O$1188,0,MATCH(D95,Projects!$I$4:$O$4,0))*pjWk),0))</f>
        <v>0</v>
      </c>
      <c r="F95" s="159">
        <f t="shared" si="38"/>
        <v>0</v>
      </c>
      <c r="G95" s="159">
        <f t="shared" si="39"/>
        <v>0</v>
      </c>
      <c r="H95" s="160"/>
      <c r="I95" s="160"/>
      <c r="J95" s="160"/>
      <c r="K95" s="160"/>
      <c r="L95" s="160"/>
      <c r="M95" s="160"/>
      <c r="N95" s="160"/>
      <c r="O95" s="160"/>
      <c r="P95" s="160"/>
      <c r="Q95" s="160"/>
      <c r="R95" s="160"/>
      <c r="S95" s="160"/>
      <c r="T95" s="160"/>
      <c r="U95" s="160"/>
      <c r="V95" s="160"/>
      <c r="W95" s="160"/>
      <c r="X95" s="160"/>
      <c r="Y95" s="160"/>
      <c r="Z95" s="160"/>
      <c r="AA95" s="160"/>
      <c r="AB95" s="160"/>
      <c r="AC95" s="160"/>
      <c r="AD95" s="160"/>
      <c r="AE95" s="160"/>
      <c r="AF95" s="160"/>
      <c r="AG95" s="160"/>
      <c r="AH95" s="160"/>
      <c r="AI95" s="160"/>
      <c r="AJ95" s="160"/>
      <c r="AK95" s="160"/>
      <c r="AL95" s="160"/>
      <c r="AM95" s="160"/>
      <c r="AN95" s="160"/>
      <c r="AO95" s="160"/>
      <c r="AP95" s="160"/>
      <c r="AQ95" s="160"/>
      <c r="AR95" s="160"/>
      <c r="AS95" s="160"/>
      <c r="AT95" s="160"/>
      <c r="AU95" s="160"/>
      <c r="AV95" s="160"/>
      <c r="AW95" s="160"/>
      <c r="AX95" s="160"/>
      <c r="AY95" s="160"/>
      <c r="AZ95" s="160"/>
      <c r="BA95" s="160"/>
      <c r="BB95" s="160"/>
      <c r="BC95" s="160"/>
      <c r="BD95" s="160"/>
      <c r="BE95" s="160"/>
      <c r="BF95" s="160"/>
      <c r="BG95" s="160"/>
      <c r="BH95" s="36"/>
      <c r="BI95" s="150" cm="1">
        <f t="array" ref="BI95">IF(A95="","",IFERROR(MATCH(1,INDEX((pjNo=A95)*(pjType="Project"),0),0),""))</f>
        <v>61</v>
      </c>
      <c r="BJ95" s="150" t="str">
        <f>IF(D95="","",IFERROR(INDEX(tblStaff[Staff Level],MATCH(D95,tblStaff[Initials],0)),"?"))</f>
        <v>Senior Designer</v>
      </c>
      <c r="BK95" s="151" cm="1">
        <f t="array" ref="BK95">IF(BI95="","",INDEX(pjStart,BI95))</f>
        <v>46307</v>
      </c>
      <c r="BL95" s="151" cm="1">
        <f t="array" ref="BL95">IF(BI95="","",INDEX(pjEnd,BI95))</f>
        <v>46376</v>
      </c>
      <c r="BM95" s="150">
        <f>IF(BI95="",0,IF(C95="Active",1,IF(C95="Prospective",IF(Assumptions!$B$6="Active only",0,Assumptions!$B$7),0)))</f>
        <v>1</v>
      </c>
      <c r="BN95" s="150">
        <v>4</v>
      </c>
      <c r="BO95" s="36"/>
      <c r="BP95" s="36"/>
    </row>
    <row r="96" spans="1:68" outlineLevel="1" x14ac:dyDescent="0.25">
      <c r="A96" s="158">
        <v>2499</v>
      </c>
      <c r="B96" s="157" t="str" cm="1">
        <f t="array" ref="B96">IF(BI96="","",INDEX(pjName,BI96))</f>
        <v>Zephyr Creative Office</v>
      </c>
      <c r="C96" s="158" t="str" cm="1">
        <f t="array" ref="C96">IF(BI96="","",IF(INDEX(pjStatus,BI96)="","",INDEX(pjStatus,BI96)))</f>
        <v>Active</v>
      </c>
      <c r="D96" s="158" t="str" cm="1">
        <f t="array" ref="D96">IFERROR(INDEX(tblStaff[Initials],BN96),"")</f>
        <v>EHH</v>
      </c>
      <c r="E96" s="159" cm="1">
        <f t="array" ref="E96">IF(OR(BI96="",D96=""),"",IFERROR(SUMPRODUCT((pjNo=A96)*(pjType="Phase")*INDEX(Projects!$I$5:$O$1188,0,MATCH(D96,Projects!$I$4:$O$4,0))*pjWk),0))</f>
        <v>0</v>
      </c>
      <c r="F96" s="159">
        <f t="shared" si="38"/>
        <v>0</v>
      </c>
      <c r="G96" s="159">
        <f t="shared" si="39"/>
        <v>0</v>
      </c>
      <c r="H96" s="160"/>
      <c r="I96" s="160"/>
      <c r="J96" s="160"/>
      <c r="K96" s="160"/>
      <c r="L96" s="160"/>
      <c r="M96" s="160"/>
      <c r="N96" s="160"/>
      <c r="O96" s="160"/>
      <c r="P96" s="160"/>
      <c r="Q96" s="160"/>
      <c r="R96" s="160"/>
      <c r="S96" s="160"/>
      <c r="T96" s="160"/>
      <c r="U96" s="160"/>
      <c r="V96" s="160"/>
      <c r="W96" s="160"/>
      <c r="X96" s="160"/>
      <c r="Y96" s="160"/>
      <c r="Z96" s="160"/>
      <c r="AA96" s="160"/>
      <c r="AB96" s="160"/>
      <c r="AC96" s="160"/>
      <c r="AD96" s="160"/>
      <c r="AE96" s="160"/>
      <c r="AF96" s="160"/>
      <c r="AG96" s="160"/>
      <c r="AH96" s="160"/>
      <c r="AI96" s="160"/>
      <c r="AJ96" s="160"/>
      <c r="AK96" s="160"/>
      <c r="AL96" s="160"/>
      <c r="AM96" s="160"/>
      <c r="AN96" s="160"/>
      <c r="AO96" s="160"/>
      <c r="AP96" s="160"/>
      <c r="AQ96" s="160"/>
      <c r="AR96" s="160"/>
      <c r="AS96" s="160"/>
      <c r="AT96" s="160"/>
      <c r="AU96" s="160"/>
      <c r="AV96" s="160"/>
      <c r="AW96" s="160"/>
      <c r="AX96" s="160"/>
      <c r="AY96" s="160"/>
      <c r="AZ96" s="160"/>
      <c r="BA96" s="160"/>
      <c r="BB96" s="160"/>
      <c r="BC96" s="160"/>
      <c r="BD96" s="160"/>
      <c r="BE96" s="160"/>
      <c r="BF96" s="160"/>
      <c r="BG96" s="160"/>
      <c r="BH96" s="36"/>
      <c r="BI96" s="150" cm="1">
        <f t="array" ref="BI96">IF(A96="","",IFERROR(MATCH(1,INDEX((pjNo=A96)*(pjType="Project"),0),0),""))</f>
        <v>61</v>
      </c>
      <c r="BJ96" s="150" t="str">
        <f>IF(D96="","",IFERROR(INDEX(tblStaff[Staff Level],MATCH(D96,tblStaff[Initials],0)),"?"))</f>
        <v>Mid Level Designer</v>
      </c>
      <c r="BK96" s="151" cm="1">
        <f t="array" ref="BK96">IF(BI96="","",INDEX(pjStart,BI96))</f>
        <v>46307</v>
      </c>
      <c r="BL96" s="151" cm="1">
        <f t="array" ref="BL96">IF(BI96="","",INDEX(pjEnd,BI96))</f>
        <v>46376</v>
      </c>
      <c r="BM96" s="150">
        <f>IF(BI96="",0,IF(C96="Active",1,IF(C96="Prospective",IF(Assumptions!$B$6="Active only",0,Assumptions!$B$7),0)))</f>
        <v>1</v>
      </c>
      <c r="BN96" s="150">
        <v>5</v>
      </c>
      <c r="BO96" s="36"/>
      <c r="BP96" s="36"/>
    </row>
    <row r="97" spans="1:68" outlineLevel="1" x14ac:dyDescent="0.25">
      <c r="A97" s="158">
        <v>2499</v>
      </c>
      <c r="B97" s="157" t="str" cm="1">
        <f t="array" ref="B97">IF(BI97="","",INDEX(pjName,BI97))</f>
        <v>Zephyr Creative Office</v>
      </c>
      <c r="C97" s="158" t="str" cm="1">
        <f t="array" ref="C97">IF(BI97="","",IF(INDEX(pjStatus,BI97)="","",INDEX(pjStatus,BI97)))</f>
        <v>Active</v>
      </c>
      <c r="D97" s="158" t="str" cm="1">
        <f t="array" ref="D97">IFERROR(INDEX(tblStaff[Initials],BN97),"")</f>
        <v>KD</v>
      </c>
      <c r="E97" s="159" cm="1">
        <f t="array" ref="E97">IF(OR(BI97="",D97=""),"",IFERROR(SUMPRODUCT((pjNo=A97)*(pjType="Phase")*INDEX(Projects!$I$5:$O$1188,0,MATCH(D97,Projects!$I$4:$O$4,0))*pjWk),0))</f>
        <v>180</v>
      </c>
      <c r="F97" s="159">
        <f t="shared" si="38"/>
        <v>180</v>
      </c>
      <c r="G97" s="159">
        <f t="shared" si="39"/>
        <v>0</v>
      </c>
      <c r="H97" s="160"/>
      <c r="I97" s="160">
        <v>16</v>
      </c>
      <c r="J97" s="160">
        <v>16</v>
      </c>
      <c r="K97" s="160">
        <v>16</v>
      </c>
      <c r="L97" s="160">
        <v>16</v>
      </c>
      <c r="M97" s="160">
        <v>16</v>
      </c>
      <c r="N97" s="160">
        <v>20</v>
      </c>
      <c r="O97" s="160">
        <v>20</v>
      </c>
      <c r="P97" s="160">
        <v>20</v>
      </c>
      <c r="Q97" s="160">
        <v>20</v>
      </c>
      <c r="R97" s="160">
        <v>20</v>
      </c>
      <c r="S97" s="160"/>
      <c r="T97" s="160"/>
      <c r="U97" s="160"/>
      <c r="V97" s="160"/>
      <c r="W97" s="160"/>
      <c r="X97" s="160"/>
      <c r="Y97" s="160"/>
      <c r="Z97" s="160"/>
      <c r="AA97" s="160"/>
      <c r="AB97" s="160"/>
      <c r="AC97" s="160"/>
      <c r="AD97" s="160"/>
      <c r="AE97" s="160"/>
      <c r="AF97" s="160"/>
      <c r="AG97" s="160"/>
      <c r="AH97" s="160"/>
      <c r="AI97" s="160"/>
      <c r="AJ97" s="160"/>
      <c r="AK97" s="160"/>
      <c r="AL97" s="160"/>
      <c r="AM97" s="160"/>
      <c r="AN97" s="160"/>
      <c r="AO97" s="160"/>
      <c r="AP97" s="160"/>
      <c r="AQ97" s="160"/>
      <c r="AR97" s="160"/>
      <c r="AS97" s="160"/>
      <c r="AT97" s="160"/>
      <c r="AU97" s="160"/>
      <c r="AV97" s="160"/>
      <c r="AW97" s="160"/>
      <c r="AX97" s="160"/>
      <c r="AY97" s="160"/>
      <c r="AZ97" s="160"/>
      <c r="BA97" s="160"/>
      <c r="BB97" s="160"/>
      <c r="BC97" s="160"/>
      <c r="BD97" s="160"/>
      <c r="BE97" s="160"/>
      <c r="BF97" s="160"/>
      <c r="BG97" s="160"/>
      <c r="BH97" s="36"/>
      <c r="BI97" s="150" cm="1">
        <f t="array" ref="BI97">IF(A97="","",IFERROR(MATCH(1,INDEX((pjNo=A97)*(pjType="Project"),0),0),""))</f>
        <v>61</v>
      </c>
      <c r="BJ97" s="150" t="str">
        <f>IF(D97="","",IFERROR(INDEX(tblStaff[Staff Level],MATCH(D97,tblStaff[Initials],0)),"?"))</f>
        <v>Mid Level Designer</v>
      </c>
      <c r="BK97" s="151" cm="1">
        <f t="array" ref="BK97">IF(BI97="","",INDEX(pjStart,BI97))</f>
        <v>46307</v>
      </c>
      <c r="BL97" s="151" cm="1">
        <f t="array" ref="BL97">IF(BI97="","",INDEX(pjEnd,BI97))</f>
        <v>46376</v>
      </c>
      <c r="BM97" s="150">
        <f>IF(BI97="",0,IF(C97="Active",1,IF(C97="Prospective",IF(Assumptions!$B$6="Active only",0,Assumptions!$B$7),0)))</f>
        <v>1</v>
      </c>
      <c r="BN97" s="150">
        <v>6</v>
      </c>
      <c r="BO97" s="36"/>
      <c r="BP97" s="36"/>
    </row>
    <row r="98" spans="1:68" outlineLevel="1" x14ac:dyDescent="0.25">
      <c r="A98" s="158">
        <v>2499</v>
      </c>
      <c r="B98" s="157" t="str" cm="1">
        <f t="array" ref="B98">IF(BI98="","",INDEX(pjName,BI98))</f>
        <v>Zephyr Creative Office</v>
      </c>
      <c r="C98" s="158" t="str" cm="1">
        <f t="array" ref="C98">IF(BI98="","",IF(INDEX(pjStatus,BI98)="","",INDEX(pjStatus,BI98)))</f>
        <v>Active</v>
      </c>
      <c r="D98" s="158" t="str" cm="1">
        <f t="array" ref="D98">IFERROR(INDEX(tblStaff[Initials],BN98),"")</f>
        <v>XX</v>
      </c>
      <c r="E98" s="159" cm="1">
        <f t="array" ref="E98">IF(OR(BI98="",D98=""),"",IFERROR(SUMPRODUCT((pjNo=A98)*(pjType="Phase")*INDEX(Projects!$I$5:$O$1188,0,MATCH(D98,Projects!$I$4:$O$4,0))*pjWk),0))</f>
        <v>0</v>
      </c>
      <c r="F98" s="159">
        <f t="shared" si="38"/>
        <v>0</v>
      </c>
      <c r="G98" s="159">
        <f t="shared" si="39"/>
        <v>0</v>
      </c>
      <c r="H98" s="160"/>
      <c r="I98" s="160"/>
      <c r="J98" s="160"/>
      <c r="K98" s="160"/>
      <c r="L98" s="160"/>
      <c r="M98" s="160"/>
      <c r="N98" s="160"/>
      <c r="O98" s="160"/>
      <c r="P98" s="160"/>
      <c r="Q98" s="160"/>
      <c r="R98" s="160"/>
      <c r="S98" s="160"/>
      <c r="T98" s="160"/>
      <c r="U98" s="160"/>
      <c r="V98" s="160"/>
      <c r="W98" s="160"/>
      <c r="X98" s="160"/>
      <c r="Y98" s="160"/>
      <c r="Z98" s="160"/>
      <c r="AA98" s="160"/>
      <c r="AB98" s="160"/>
      <c r="AC98" s="160"/>
      <c r="AD98" s="160"/>
      <c r="AE98" s="160"/>
      <c r="AF98" s="160"/>
      <c r="AG98" s="160"/>
      <c r="AH98" s="160"/>
      <c r="AI98" s="160"/>
      <c r="AJ98" s="160"/>
      <c r="AK98" s="160"/>
      <c r="AL98" s="160"/>
      <c r="AM98" s="160"/>
      <c r="AN98" s="160"/>
      <c r="AO98" s="160"/>
      <c r="AP98" s="160"/>
      <c r="AQ98" s="160"/>
      <c r="AR98" s="160"/>
      <c r="AS98" s="160"/>
      <c r="AT98" s="160"/>
      <c r="AU98" s="160"/>
      <c r="AV98" s="160"/>
      <c r="AW98" s="160"/>
      <c r="AX98" s="160"/>
      <c r="AY98" s="160"/>
      <c r="AZ98" s="160"/>
      <c r="BA98" s="160"/>
      <c r="BB98" s="160"/>
      <c r="BC98" s="160"/>
      <c r="BD98" s="160"/>
      <c r="BE98" s="160"/>
      <c r="BF98" s="160"/>
      <c r="BG98" s="160"/>
      <c r="BH98" s="36"/>
      <c r="BI98" s="150" cm="1">
        <f t="array" ref="BI98">IF(A98="","",IFERROR(MATCH(1,INDEX((pjNo=A98)*(pjType="Project"),0),0),""))</f>
        <v>61</v>
      </c>
      <c r="BJ98" s="150" t="str">
        <f>IF(D98="","",IFERROR(INDEX(tblStaff[Staff Level],MATCH(D98,tblStaff[Initials],0)),"?"))</f>
        <v>Project Designer</v>
      </c>
      <c r="BK98" s="151" cm="1">
        <f t="array" ref="BK98">IF(BI98="","",INDEX(pjStart,BI98))</f>
        <v>46307</v>
      </c>
      <c r="BL98" s="151" cm="1">
        <f t="array" ref="BL98">IF(BI98="","",INDEX(pjEnd,BI98))</f>
        <v>46376</v>
      </c>
      <c r="BM98" s="150">
        <f>IF(BI98="",0,IF(C98="Active",1,IF(C98="Prospective",IF(Assumptions!$B$6="Active only",0,Assumptions!$B$7),0)))</f>
        <v>1</v>
      </c>
      <c r="BN98" s="150">
        <v>7</v>
      </c>
      <c r="BO98" s="36"/>
      <c r="BP98" s="36"/>
    </row>
    <row r="99" spans="1:68" outlineLevel="1" x14ac:dyDescent="0.25">
      <c r="A99" s="162">
        <v>2499</v>
      </c>
      <c r="B99" s="161" t="str" cm="1">
        <f t="array" ref="B99">IF(BI99="","",INDEX(pjName,BI99))</f>
        <v>Zephyr Creative Office</v>
      </c>
      <c r="C99" s="162" t="str" cm="1">
        <f t="array" ref="C99">IF(BI99="","",IF(INDEX(pjStatus,BI99)="","",INDEX(pjStatus,BI99)))</f>
        <v>Active</v>
      </c>
      <c r="D99" s="162" t="str" cm="1">
        <f t="array" ref="D99">IFERROR(INDEX(tblStaff[Initials],BN99),"")</f>
        <v/>
      </c>
      <c r="E99" s="163" t="str" cm="1">
        <f t="array" ref="E99">IF(OR(BI99="",D99=""),"",IFERROR(SUMPRODUCT((pjNo=A99)*(pjType="Phase")*INDEX(Projects!$I$5:$O$1188,0,MATCH(D99,Projects!$I$4:$O$4,0))*pjWk),0))</f>
        <v/>
      </c>
      <c r="F99" s="163">
        <f t="shared" si="38"/>
        <v>0</v>
      </c>
      <c r="G99" s="163" t="str">
        <f t="shared" si="39"/>
        <v/>
      </c>
      <c r="H99" s="164"/>
      <c r="I99" s="164"/>
      <c r="J99" s="164"/>
      <c r="K99" s="164"/>
      <c r="L99" s="164"/>
      <c r="M99" s="164"/>
      <c r="N99" s="164"/>
      <c r="O99" s="164"/>
      <c r="P99" s="164"/>
      <c r="Q99" s="164"/>
      <c r="R99" s="164"/>
      <c r="S99" s="164"/>
      <c r="T99" s="164"/>
      <c r="U99" s="164"/>
      <c r="V99" s="164"/>
      <c r="W99" s="164"/>
      <c r="X99" s="164"/>
      <c r="Y99" s="164"/>
      <c r="Z99" s="164"/>
      <c r="AA99" s="164"/>
      <c r="AB99" s="164"/>
      <c r="AC99" s="164"/>
      <c r="AD99" s="164"/>
      <c r="AE99" s="164"/>
      <c r="AF99" s="164"/>
      <c r="AG99" s="164"/>
      <c r="AH99" s="164"/>
      <c r="AI99" s="164"/>
      <c r="AJ99" s="164"/>
      <c r="AK99" s="164"/>
      <c r="AL99" s="164"/>
      <c r="AM99" s="164"/>
      <c r="AN99" s="164"/>
      <c r="AO99" s="164"/>
      <c r="AP99" s="164"/>
      <c r="AQ99" s="164"/>
      <c r="AR99" s="164"/>
      <c r="AS99" s="164"/>
      <c r="AT99" s="164"/>
      <c r="AU99" s="164"/>
      <c r="AV99" s="164"/>
      <c r="AW99" s="164"/>
      <c r="AX99" s="164"/>
      <c r="AY99" s="164"/>
      <c r="AZ99" s="164"/>
      <c r="BA99" s="164"/>
      <c r="BB99" s="164"/>
      <c r="BC99" s="164"/>
      <c r="BD99" s="164"/>
      <c r="BE99" s="164"/>
      <c r="BF99" s="164"/>
      <c r="BG99" s="164"/>
      <c r="BH99" s="36"/>
      <c r="BI99" s="150" cm="1">
        <f t="array" ref="BI99">IF(A99="","",IFERROR(MATCH(1,INDEX((pjNo=A99)*(pjType="Project"),0),0),""))</f>
        <v>61</v>
      </c>
      <c r="BJ99" s="150" t="str">
        <f>IF(D99="","",IFERROR(INDEX(tblStaff[Staff Level],MATCH(D99,tblStaff[Initials],0)),"?"))</f>
        <v/>
      </c>
      <c r="BK99" s="151" cm="1">
        <f t="array" ref="BK99">IF(BI99="","",INDEX(pjStart,BI99))</f>
        <v>46307</v>
      </c>
      <c r="BL99" s="151" cm="1">
        <f t="array" ref="BL99">IF(BI99="","",INDEX(pjEnd,BI99))</f>
        <v>46376</v>
      </c>
      <c r="BM99" s="150">
        <f>IF(BI99="",0,IF(C99="Active",1,IF(C99="Prospective",IF(Assumptions!$B$6="Active only",0,Assumptions!$B$7),0)))</f>
        <v>1</v>
      </c>
      <c r="BN99" s="150">
        <v>8</v>
      </c>
      <c r="BO99" s="36"/>
      <c r="BP99" s="36"/>
    </row>
    <row r="100" spans="1:68" x14ac:dyDescent="0.25">
      <c r="A100" s="171"/>
      <c r="B100" s="173" t="str">
        <f>IF(A101="","",A101&amp;" · "&amp;B101)</f>
        <v>2545 · Mariner Courtyard</v>
      </c>
      <c r="C100" s="171" t="str">
        <f>IF(A101="","",C101)</f>
        <v>Inactive</v>
      </c>
      <c r="D100" s="171"/>
      <c r="E100" s="172">
        <f>SUM(E101:E108)</f>
        <v>0</v>
      </c>
      <c r="F100" s="172">
        <f>SUM(F101:F108)</f>
        <v>0</v>
      </c>
      <c r="G100" s="172" t="str">
        <f>IF(E100=0,"",E100-F100)</f>
        <v/>
      </c>
      <c r="H100" s="174">
        <f t="shared" ref="H100:AM100" si="40">SUM(H101:H108)</f>
        <v>0</v>
      </c>
      <c r="I100" s="174">
        <f t="shared" si="40"/>
        <v>0</v>
      </c>
      <c r="J100" s="174">
        <f t="shared" si="40"/>
        <v>0</v>
      </c>
      <c r="K100" s="174">
        <f t="shared" si="40"/>
        <v>0</v>
      </c>
      <c r="L100" s="174">
        <f t="shared" si="40"/>
        <v>0</v>
      </c>
      <c r="M100" s="174">
        <f t="shared" si="40"/>
        <v>0</v>
      </c>
      <c r="N100" s="174">
        <f t="shared" si="40"/>
        <v>0</v>
      </c>
      <c r="O100" s="174">
        <f t="shared" si="40"/>
        <v>0</v>
      </c>
      <c r="P100" s="174">
        <f t="shared" si="40"/>
        <v>0</v>
      </c>
      <c r="Q100" s="174">
        <f t="shared" si="40"/>
        <v>0</v>
      </c>
      <c r="R100" s="174">
        <f t="shared" si="40"/>
        <v>0</v>
      </c>
      <c r="S100" s="174">
        <f t="shared" si="40"/>
        <v>0</v>
      </c>
      <c r="T100" s="174">
        <f t="shared" si="40"/>
        <v>0</v>
      </c>
      <c r="U100" s="174">
        <f t="shared" si="40"/>
        <v>0</v>
      </c>
      <c r="V100" s="174">
        <f t="shared" si="40"/>
        <v>0</v>
      </c>
      <c r="W100" s="174">
        <f t="shared" si="40"/>
        <v>0</v>
      </c>
      <c r="X100" s="174">
        <f t="shared" si="40"/>
        <v>0</v>
      </c>
      <c r="Y100" s="174">
        <f t="shared" si="40"/>
        <v>0</v>
      </c>
      <c r="Z100" s="174">
        <f t="shared" si="40"/>
        <v>0</v>
      </c>
      <c r="AA100" s="174">
        <f t="shared" si="40"/>
        <v>0</v>
      </c>
      <c r="AB100" s="174">
        <f t="shared" si="40"/>
        <v>0</v>
      </c>
      <c r="AC100" s="174">
        <f t="shared" si="40"/>
        <v>0</v>
      </c>
      <c r="AD100" s="174">
        <f t="shared" si="40"/>
        <v>0</v>
      </c>
      <c r="AE100" s="174">
        <f t="shared" si="40"/>
        <v>0</v>
      </c>
      <c r="AF100" s="174">
        <f t="shared" si="40"/>
        <v>0</v>
      </c>
      <c r="AG100" s="174">
        <f t="shared" si="40"/>
        <v>0</v>
      </c>
      <c r="AH100" s="174">
        <f t="shared" si="40"/>
        <v>0</v>
      </c>
      <c r="AI100" s="174">
        <f t="shared" si="40"/>
        <v>0</v>
      </c>
      <c r="AJ100" s="174">
        <f t="shared" si="40"/>
        <v>0</v>
      </c>
      <c r="AK100" s="174">
        <f t="shared" si="40"/>
        <v>0</v>
      </c>
      <c r="AL100" s="174">
        <f t="shared" si="40"/>
        <v>0</v>
      </c>
      <c r="AM100" s="174">
        <f t="shared" si="40"/>
        <v>0</v>
      </c>
      <c r="AN100" s="174">
        <f t="shared" ref="AN100:BG100" si="41">SUM(AN101:AN108)</f>
        <v>0</v>
      </c>
      <c r="AO100" s="174">
        <f t="shared" si="41"/>
        <v>0</v>
      </c>
      <c r="AP100" s="174">
        <f t="shared" si="41"/>
        <v>0</v>
      </c>
      <c r="AQ100" s="174">
        <f t="shared" si="41"/>
        <v>0</v>
      </c>
      <c r="AR100" s="174">
        <f t="shared" si="41"/>
        <v>0</v>
      </c>
      <c r="AS100" s="174">
        <f t="shared" si="41"/>
        <v>0</v>
      </c>
      <c r="AT100" s="174">
        <f t="shared" si="41"/>
        <v>0</v>
      </c>
      <c r="AU100" s="174">
        <f t="shared" si="41"/>
        <v>0</v>
      </c>
      <c r="AV100" s="174">
        <f t="shared" si="41"/>
        <v>0</v>
      </c>
      <c r="AW100" s="174">
        <f t="shared" si="41"/>
        <v>0</v>
      </c>
      <c r="AX100" s="174">
        <f t="shared" si="41"/>
        <v>0</v>
      </c>
      <c r="AY100" s="174">
        <f t="shared" si="41"/>
        <v>0</v>
      </c>
      <c r="AZ100" s="174">
        <f t="shared" si="41"/>
        <v>0</v>
      </c>
      <c r="BA100" s="174">
        <f t="shared" si="41"/>
        <v>0</v>
      </c>
      <c r="BB100" s="174">
        <f t="shared" si="41"/>
        <v>0</v>
      </c>
      <c r="BC100" s="174">
        <f t="shared" si="41"/>
        <v>0</v>
      </c>
      <c r="BD100" s="174">
        <f t="shared" si="41"/>
        <v>0</v>
      </c>
      <c r="BE100" s="174">
        <f t="shared" si="41"/>
        <v>0</v>
      </c>
      <c r="BF100" s="174">
        <f t="shared" si="41"/>
        <v>0</v>
      </c>
      <c r="BG100" s="174">
        <f t="shared" si="41"/>
        <v>0</v>
      </c>
      <c r="BH100" s="36"/>
      <c r="BI100" s="150"/>
      <c r="BJ100" s="150"/>
      <c r="BK100" s="151"/>
      <c r="BL100" s="151"/>
      <c r="BM100" s="150"/>
      <c r="BN100" s="150"/>
      <c r="BO100" s="36"/>
      <c r="BP100" s="36"/>
    </row>
    <row r="101" spans="1:68" hidden="1" outlineLevel="1" x14ac:dyDescent="0.25">
      <c r="A101" s="167">
        <v>2545</v>
      </c>
      <c r="B101" s="168" t="str" cm="1">
        <f t="array" ref="B101">IF(BI101="","",INDEX(pjName,BI101))</f>
        <v>Mariner Courtyard</v>
      </c>
      <c r="C101" s="167" t="str" cm="1">
        <f t="array" ref="C101">IF(BI101="","",IF(INDEX(pjStatus,BI101)="","",INDEX(pjStatus,BI101)))</f>
        <v>Inactive</v>
      </c>
      <c r="D101" s="167" t="str" cm="1">
        <f t="array" ref="D101">IFERROR(INDEX(tblStaff[Initials],BN101),"")</f>
        <v>PK</v>
      </c>
      <c r="E101" s="169" cm="1">
        <f t="array" ref="E101">IF(OR(BI101="",D101=""),"",IFERROR(SUMPRODUCT((pjNo=A101)*(pjType="Phase")*INDEX(Projects!$I$5:$O$1188,0,MATCH(D101,Projects!$I$4:$O$4,0))*pjWk),0))</f>
        <v>0</v>
      </c>
      <c r="F101" s="169">
        <f t="shared" ref="F101:F108" si="42">IF(BI101="","",SUM(H101:BG101))</f>
        <v>0</v>
      </c>
      <c r="G101" s="169">
        <f t="shared" ref="G101:G108" si="43">IF(OR(E101="",F101=""),"",E101-F101)</f>
        <v>0</v>
      </c>
      <c r="H101" s="170"/>
      <c r="I101" s="170"/>
      <c r="J101" s="170"/>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c r="AQ101" s="170"/>
      <c r="AR101" s="170"/>
      <c r="AS101" s="170"/>
      <c r="AT101" s="170"/>
      <c r="AU101" s="170"/>
      <c r="AV101" s="170"/>
      <c r="AW101" s="170"/>
      <c r="AX101" s="170"/>
      <c r="AY101" s="170"/>
      <c r="AZ101" s="170"/>
      <c r="BA101" s="170"/>
      <c r="BB101" s="170"/>
      <c r="BC101" s="170"/>
      <c r="BD101" s="170"/>
      <c r="BE101" s="170"/>
      <c r="BF101" s="170"/>
      <c r="BG101" s="170"/>
      <c r="BH101" s="36"/>
      <c r="BI101" s="150" cm="1">
        <f t="array" ref="BI101">IF(A101="","",IFERROR(MATCH(1,INDEX((pjNo=A101)*(pjType="Project"),0),0),""))</f>
        <v>63</v>
      </c>
      <c r="BJ101" s="150" t="str">
        <f>IF(D101="","",IFERROR(INDEX(tblStaff[Staff Level],MATCH(D101,tblStaff[Initials],0)),"?"))</f>
        <v>Principal</v>
      </c>
      <c r="BK101" s="151" t="str" cm="1">
        <f t="array" ref="BK101">IF(BI101="","",INDEX(pjStart,BI101))</f>
        <v/>
      </c>
      <c r="BL101" s="151" t="str" cm="1">
        <f t="array" ref="BL101">IF(BI101="","",INDEX(pjEnd,BI101))</f>
        <v/>
      </c>
      <c r="BM101" s="150">
        <f>IF(BI101="",0,IF(C101="Active",1,IF(C101="Prospective",IF(Assumptions!$B$6="Active only",0,Assumptions!$B$7),0)))</f>
        <v>0</v>
      </c>
      <c r="BN101" s="150">
        <v>1</v>
      </c>
      <c r="BO101" s="36"/>
      <c r="BP101" s="36"/>
    </row>
    <row r="102" spans="1:68" hidden="1" outlineLevel="1" x14ac:dyDescent="0.25">
      <c r="A102" s="167">
        <v>2545</v>
      </c>
      <c r="B102" s="168" t="str" cm="1">
        <f t="array" ref="B102">IF(BI102="","",INDEX(pjName,BI102))</f>
        <v>Mariner Courtyard</v>
      </c>
      <c r="C102" s="167" t="str" cm="1">
        <f t="array" ref="C102">IF(BI102="","",IF(INDEX(pjStatus,BI102)="","",INDEX(pjStatus,BI102)))</f>
        <v>Inactive</v>
      </c>
      <c r="D102" s="167" t="str" cm="1">
        <f t="array" ref="D102">IFERROR(INDEX(tblStaff[Initials],BN102),"")</f>
        <v>DF</v>
      </c>
      <c r="E102" s="169" cm="1">
        <f t="array" ref="E102">IF(OR(BI102="",D102=""),"",IFERROR(SUMPRODUCT((pjNo=A102)*(pjType="Phase")*INDEX(Projects!$I$5:$O$1188,0,MATCH(D102,Projects!$I$4:$O$4,0))*pjWk),0))</f>
        <v>0</v>
      </c>
      <c r="F102" s="169">
        <f t="shared" si="42"/>
        <v>0</v>
      </c>
      <c r="G102" s="169">
        <f t="shared" si="43"/>
        <v>0</v>
      </c>
      <c r="H102" s="170"/>
      <c r="I102" s="170"/>
      <c r="J102" s="170"/>
      <c r="K102" s="170"/>
      <c r="L102" s="170"/>
      <c r="M102" s="170"/>
      <c r="N102" s="170"/>
      <c r="O102" s="170"/>
      <c r="P102" s="170"/>
      <c r="Q102" s="170"/>
      <c r="R102" s="170"/>
      <c r="S102" s="170"/>
      <c r="T102" s="170"/>
      <c r="U102" s="170"/>
      <c r="V102" s="170"/>
      <c r="W102" s="170"/>
      <c r="X102" s="170"/>
      <c r="Y102" s="170"/>
      <c r="Z102" s="170"/>
      <c r="AA102" s="170"/>
      <c r="AB102" s="170"/>
      <c r="AC102" s="170"/>
      <c r="AD102" s="170"/>
      <c r="AE102" s="170"/>
      <c r="AF102" s="170"/>
      <c r="AG102" s="170"/>
      <c r="AH102" s="170"/>
      <c r="AI102" s="170"/>
      <c r="AJ102" s="170"/>
      <c r="AK102" s="170"/>
      <c r="AL102" s="170"/>
      <c r="AM102" s="170"/>
      <c r="AN102" s="170"/>
      <c r="AO102" s="170"/>
      <c r="AP102" s="170"/>
      <c r="AQ102" s="170"/>
      <c r="AR102" s="170"/>
      <c r="AS102" s="170"/>
      <c r="AT102" s="170"/>
      <c r="AU102" s="170"/>
      <c r="AV102" s="170"/>
      <c r="AW102" s="170"/>
      <c r="AX102" s="170"/>
      <c r="AY102" s="170"/>
      <c r="AZ102" s="170"/>
      <c r="BA102" s="170"/>
      <c r="BB102" s="170"/>
      <c r="BC102" s="170"/>
      <c r="BD102" s="170"/>
      <c r="BE102" s="170"/>
      <c r="BF102" s="170"/>
      <c r="BG102" s="170"/>
      <c r="BH102" s="36"/>
      <c r="BI102" s="150" cm="1">
        <f t="array" ref="BI102">IF(A102="","",IFERROR(MATCH(1,INDEX((pjNo=A102)*(pjType="Project"),0),0),""))</f>
        <v>63</v>
      </c>
      <c r="BJ102" s="150" t="str">
        <f>IF(D102="","",IFERROR(INDEX(tblStaff[Staff Level],MATCH(D102,tblStaff[Initials],0)),"?"))</f>
        <v>Principal</v>
      </c>
      <c r="BK102" s="151" t="str" cm="1">
        <f t="array" ref="BK102">IF(BI102="","",INDEX(pjStart,BI102))</f>
        <v/>
      </c>
      <c r="BL102" s="151" t="str" cm="1">
        <f t="array" ref="BL102">IF(BI102="","",INDEX(pjEnd,BI102))</f>
        <v/>
      </c>
      <c r="BM102" s="150">
        <f>IF(BI102="",0,IF(C102="Active",1,IF(C102="Prospective",IF(Assumptions!$B$6="Active only",0,Assumptions!$B$7),0)))</f>
        <v>0</v>
      </c>
      <c r="BN102" s="150">
        <v>2</v>
      </c>
      <c r="BO102" s="36"/>
      <c r="BP102" s="36"/>
    </row>
    <row r="103" spans="1:68" hidden="1" outlineLevel="1" x14ac:dyDescent="0.25">
      <c r="A103" s="158">
        <v>2545</v>
      </c>
      <c r="B103" s="157" t="str" cm="1">
        <f t="array" ref="B103">IF(BI103="","",INDEX(pjName,BI103))</f>
        <v>Mariner Courtyard</v>
      </c>
      <c r="C103" s="158" t="str" cm="1">
        <f t="array" ref="C103">IF(BI103="","",IF(INDEX(pjStatus,BI103)="","",INDEX(pjStatus,BI103)))</f>
        <v>Inactive</v>
      </c>
      <c r="D103" s="158" t="str" cm="1">
        <f t="array" ref="D103">IFERROR(INDEX(tblStaff[Initials],BN103),"")</f>
        <v>KJ</v>
      </c>
      <c r="E103" s="159" cm="1">
        <f t="array" ref="E103">IF(OR(BI103="",D103=""),"",IFERROR(SUMPRODUCT((pjNo=A103)*(pjType="Phase")*INDEX(Projects!$I$5:$O$1188,0,MATCH(D103,Projects!$I$4:$O$4,0))*pjWk),0))</f>
        <v>0</v>
      </c>
      <c r="F103" s="159">
        <f t="shared" si="42"/>
        <v>0</v>
      </c>
      <c r="G103" s="159">
        <f t="shared" si="43"/>
        <v>0</v>
      </c>
      <c r="H103" s="160"/>
      <c r="I103" s="160"/>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160"/>
      <c r="AH103" s="160"/>
      <c r="AI103" s="160"/>
      <c r="AJ103" s="160"/>
      <c r="AK103" s="160"/>
      <c r="AL103" s="160"/>
      <c r="AM103" s="160"/>
      <c r="AN103" s="160"/>
      <c r="AO103" s="160"/>
      <c r="AP103" s="160"/>
      <c r="AQ103" s="160"/>
      <c r="AR103" s="160"/>
      <c r="AS103" s="160"/>
      <c r="AT103" s="160"/>
      <c r="AU103" s="160"/>
      <c r="AV103" s="160"/>
      <c r="AW103" s="160"/>
      <c r="AX103" s="160"/>
      <c r="AY103" s="160"/>
      <c r="AZ103" s="160"/>
      <c r="BA103" s="160"/>
      <c r="BB103" s="160"/>
      <c r="BC103" s="160"/>
      <c r="BD103" s="160"/>
      <c r="BE103" s="160"/>
      <c r="BF103" s="160"/>
      <c r="BG103" s="160"/>
      <c r="BH103" s="36"/>
      <c r="BI103" s="150" cm="1">
        <f t="array" ref="BI103">IF(A103="","",IFERROR(MATCH(1,INDEX((pjNo=A103)*(pjType="Project"),0),0),""))</f>
        <v>63</v>
      </c>
      <c r="BJ103" s="150" t="str">
        <f>IF(D103="","",IFERROR(INDEX(tblStaff[Staff Level],MATCH(D103,tblStaff[Initials],0)),"?"))</f>
        <v>Director</v>
      </c>
      <c r="BK103" s="151" t="str" cm="1">
        <f t="array" ref="BK103">IF(BI103="","",INDEX(pjStart,BI103))</f>
        <v/>
      </c>
      <c r="BL103" s="151" t="str" cm="1">
        <f t="array" ref="BL103">IF(BI103="","",INDEX(pjEnd,BI103))</f>
        <v/>
      </c>
      <c r="BM103" s="150">
        <f>IF(BI103="",0,IF(C103="Active",1,IF(C103="Prospective",IF(Assumptions!$B$6="Active only",0,Assumptions!$B$7),0)))</f>
        <v>0</v>
      </c>
      <c r="BN103" s="150">
        <v>3</v>
      </c>
      <c r="BO103" s="36"/>
      <c r="BP103" s="36"/>
    </row>
    <row r="104" spans="1:68" hidden="1" outlineLevel="1" x14ac:dyDescent="0.25">
      <c r="A104" s="158">
        <v>2545</v>
      </c>
      <c r="B104" s="157" t="str" cm="1">
        <f t="array" ref="B104">IF(BI104="","",INDEX(pjName,BI104))</f>
        <v>Mariner Courtyard</v>
      </c>
      <c r="C104" s="158" t="str" cm="1">
        <f t="array" ref="C104">IF(BI104="","",IF(INDEX(pjStatus,BI104)="","",INDEX(pjStatus,BI104)))</f>
        <v>Inactive</v>
      </c>
      <c r="D104" s="158" t="str" cm="1">
        <f t="array" ref="D104">IFERROR(INDEX(tblStaff[Initials],BN104),"")</f>
        <v>HL</v>
      </c>
      <c r="E104" s="159" cm="1">
        <f t="array" ref="E104">IF(OR(BI104="",D104=""),"",IFERROR(SUMPRODUCT((pjNo=A104)*(pjType="Phase")*INDEX(Projects!$I$5:$O$1188,0,MATCH(D104,Projects!$I$4:$O$4,0))*pjWk),0))</f>
        <v>0</v>
      </c>
      <c r="F104" s="159">
        <f t="shared" si="42"/>
        <v>0</v>
      </c>
      <c r="G104" s="159">
        <f t="shared" si="43"/>
        <v>0</v>
      </c>
      <c r="H104" s="160"/>
      <c r="I104" s="160"/>
      <c r="J104" s="160"/>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c r="AG104" s="160"/>
      <c r="AH104" s="160"/>
      <c r="AI104" s="160"/>
      <c r="AJ104" s="160"/>
      <c r="AK104" s="160"/>
      <c r="AL104" s="160"/>
      <c r="AM104" s="160"/>
      <c r="AN104" s="160"/>
      <c r="AO104" s="160"/>
      <c r="AP104" s="160"/>
      <c r="AQ104" s="160"/>
      <c r="AR104" s="160"/>
      <c r="AS104" s="160"/>
      <c r="AT104" s="160"/>
      <c r="AU104" s="160"/>
      <c r="AV104" s="160"/>
      <c r="AW104" s="160"/>
      <c r="AX104" s="160"/>
      <c r="AY104" s="160"/>
      <c r="AZ104" s="160"/>
      <c r="BA104" s="160"/>
      <c r="BB104" s="160"/>
      <c r="BC104" s="160"/>
      <c r="BD104" s="160"/>
      <c r="BE104" s="160"/>
      <c r="BF104" s="160"/>
      <c r="BG104" s="160"/>
      <c r="BH104" s="36"/>
      <c r="BI104" s="150" cm="1">
        <f t="array" ref="BI104">IF(A104="","",IFERROR(MATCH(1,INDEX((pjNo=A104)*(pjType="Project"),0),0),""))</f>
        <v>63</v>
      </c>
      <c r="BJ104" s="150" t="str">
        <f>IF(D104="","",IFERROR(INDEX(tblStaff[Staff Level],MATCH(D104,tblStaff[Initials],0)),"?"))</f>
        <v>Senior Designer</v>
      </c>
      <c r="BK104" s="151" t="str" cm="1">
        <f t="array" ref="BK104">IF(BI104="","",INDEX(pjStart,BI104))</f>
        <v/>
      </c>
      <c r="BL104" s="151" t="str" cm="1">
        <f t="array" ref="BL104">IF(BI104="","",INDEX(pjEnd,BI104))</f>
        <v/>
      </c>
      <c r="BM104" s="150">
        <f>IF(BI104="",0,IF(C104="Active",1,IF(C104="Prospective",IF(Assumptions!$B$6="Active only",0,Assumptions!$B$7),0)))</f>
        <v>0</v>
      </c>
      <c r="BN104" s="150">
        <v>4</v>
      </c>
      <c r="BO104" s="36"/>
      <c r="BP104" s="36"/>
    </row>
    <row r="105" spans="1:68" hidden="1" outlineLevel="1" x14ac:dyDescent="0.25">
      <c r="A105" s="158">
        <v>2545</v>
      </c>
      <c r="B105" s="157" t="str" cm="1">
        <f t="array" ref="B105">IF(BI105="","",INDEX(pjName,BI105))</f>
        <v>Mariner Courtyard</v>
      </c>
      <c r="C105" s="158" t="str" cm="1">
        <f t="array" ref="C105">IF(BI105="","",IF(INDEX(pjStatus,BI105)="","",INDEX(pjStatus,BI105)))</f>
        <v>Inactive</v>
      </c>
      <c r="D105" s="158" t="str" cm="1">
        <f t="array" ref="D105">IFERROR(INDEX(tblStaff[Initials],BN105),"")</f>
        <v>EHH</v>
      </c>
      <c r="E105" s="159" cm="1">
        <f t="array" ref="E105">IF(OR(BI105="",D105=""),"",IFERROR(SUMPRODUCT((pjNo=A105)*(pjType="Phase")*INDEX(Projects!$I$5:$O$1188,0,MATCH(D105,Projects!$I$4:$O$4,0))*pjWk),0))</f>
        <v>0</v>
      </c>
      <c r="F105" s="159">
        <f t="shared" si="42"/>
        <v>0</v>
      </c>
      <c r="G105" s="159">
        <f t="shared" si="43"/>
        <v>0</v>
      </c>
      <c r="H105" s="160"/>
      <c r="I105" s="160"/>
      <c r="J105" s="160"/>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60"/>
      <c r="AH105" s="160"/>
      <c r="AI105" s="160"/>
      <c r="AJ105" s="160"/>
      <c r="AK105" s="160"/>
      <c r="AL105" s="160"/>
      <c r="AM105" s="160"/>
      <c r="AN105" s="160"/>
      <c r="AO105" s="160"/>
      <c r="AP105" s="160"/>
      <c r="AQ105" s="160"/>
      <c r="AR105" s="160"/>
      <c r="AS105" s="160"/>
      <c r="AT105" s="160"/>
      <c r="AU105" s="160"/>
      <c r="AV105" s="160"/>
      <c r="AW105" s="160"/>
      <c r="AX105" s="160"/>
      <c r="AY105" s="160"/>
      <c r="AZ105" s="160"/>
      <c r="BA105" s="160"/>
      <c r="BB105" s="160"/>
      <c r="BC105" s="160"/>
      <c r="BD105" s="160"/>
      <c r="BE105" s="160"/>
      <c r="BF105" s="160"/>
      <c r="BG105" s="160"/>
      <c r="BH105" s="36"/>
      <c r="BI105" s="150" cm="1">
        <f t="array" ref="BI105">IF(A105="","",IFERROR(MATCH(1,INDEX((pjNo=A105)*(pjType="Project"),0),0),""))</f>
        <v>63</v>
      </c>
      <c r="BJ105" s="150" t="str">
        <f>IF(D105="","",IFERROR(INDEX(tblStaff[Staff Level],MATCH(D105,tblStaff[Initials],0)),"?"))</f>
        <v>Mid Level Designer</v>
      </c>
      <c r="BK105" s="151" t="str" cm="1">
        <f t="array" ref="BK105">IF(BI105="","",INDEX(pjStart,BI105))</f>
        <v/>
      </c>
      <c r="BL105" s="151" t="str" cm="1">
        <f t="array" ref="BL105">IF(BI105="","",INDEX(pjEnd,BI105))</f>
        <v/>
      </c>
      <c r="BM105" s="150">
        <f>IF(BI105="",0,IF(C105="Active",1,IF(C105="Prospective",IF(Assumptions!$B$6="Active only",0,Assumptions!$B$7),0)))</f>
        <v>0</v>
      </c>
      <c r="BN105" s="150">
        <v>5</v>
      </c>
      <c r="BO105" s="36"/>
      <c r="BP105" s="36"/>
    </row>
    <row r="106" spans="1:68" hidden="1" outlineLevel="1" x14ac:dyDescent="0.25">
      <c r="A106" s="158">
        <v>2545</v>
      </c>
      <c r="B106" s="157" t="str" cm="1">
        <f t="array" ref="B106">IF(BI106="","",INDEX(pjName,BI106))</f>
        <v>Mariner Courtyard</v>
      </c>
      <c r="C106" s="158" t="str" cm="1">
        <f t="array" ref="C106">IF(BI106="","",IF(INDEX(pjStatus,BI106)="","",INDEX(pjStatus,BI106)))</f>
        <v>Inactive</v>
      </c>
      <c r="D106" s="158" t="str" cm="1">
        <f t="array" ref="D106">IFERROR(INDEX(tblStaff[Initials],BN106),"")</f>
        <v>KD</v>
      </c>
      <c r="E106" s="159" cm="1">
        <f t="array" ref="E106">IF(OR(BI106="",D106=""),"",IFERROR(SUMPRODUCT((pjNo=A106)*(pjType="Phase")*INDEX(Projects!$I$5:$O$1188,0,MATCH(D106,Projects!$I$4:$O$4,0))*pjWk),0))</f>
        <v>0</v>
      </c>
      <c r="F106" s="159">
        <f t="shared" si="42"/>
        <v>0</v>
      </c>
      <c r="G106" s="159">
        <f t="shared" si="43"/>
        <v>0</v>
      </c>
      <c r="H106" s="160"/>
      <c r="I106" s="160"/>
      <c r="J106" s="160"/>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160"/>
      <c r="AH106" s="160"/>
      <c r="AI106" s="160"/>
      <c r="AJ106" s="160"/>
      <c r="AK106" s="160"/>
      <c r="AL106" s="160"/>
      <c r="AM106" s="160"/>
      <c r="AN106" s="160"/>
      <c r="AO106" s="160"/>
      <c r="AP106" s="160"/>
      <c r="AQ106" s="160"/>
      <c r="AR106" s="160"/>
      <c r="AS106" s="160"/>
      <c r="AT106" s="160"/>
      <c r="AU106" s="160"/>
      <c r="AV106" s="160"/>
      <c r="AW106" s="160"/>
      <c r="AX106" s="160"/>
      <c r="AY106" s="160"/>
      <c r="AZ106" s="160"/>
      <c r="BA106" s="160"/>
      <c r="BB106" s="160"/>
      <c r="BC106" s="160"/>
      <c r="BD106" s="160"/>
      <c r="BE106" s="160"/>
      <c r="BF106" s="160"/>
      <c r="BG106" s="160"/>
      <c r="BH106" s="36"/>
      <c r="BI106" s="150" cm="1">
        <f t="array" ref="BI106">IF(A106="","",IFERROR(MATCH(1,INDEX((pjNo=A106)*(pjType="Project"),0),0),""))</f>
        <v>63</v>
      </c>
      <c r="BJ106" s="150" t="str">
        <f>IF(D106="","",IFERROR(INDEX(tblStaff[Staff Level],MATCH(D106,tblStaff[Initials],0)),"?"))</f>
        <v>Mid Level Designer</v>
      </c>
      <c r="BK106" s="151" t="str" cm="1">
        <f t="array" ref="BK106">IF(BI106="","",INDEX(pjStart,BI106))</f>
        <v/>
      </c>
      <c r="BL106" s="151" t="str" cm="1">
        <f t="array" ref="BL106">IF(BI106="","",INDEX(pjEnd,BI106))</f>
        <v/>
      </c>
      <c r="BM106" s="150">
        <f>IF(BI106="",0,IF(C106="Active",1,IF(C106="Prospective",IF(Assumptions!$B$6="Active only",0,Assumptions!$B$7),0)))</f>
        <v>0</v>
      </c>
      <c r="BN106" s="150">
        <v>6</v>
      </c>
      <c r="BO106" s="36"/>
      <c r="BP106" s="36"/>
    </row>
    <row r="107" spans="1:68" hidden="1" outlineLevel="1" x14ac:dyDescent="0.25">
      <c r="A107" s="158">
        <v>2545</v>
      </c>
      <c r="B107" s="157" t="str" cm="1">
        <f t="array" ref="B107">IF(BI107="","",INDEX(pjName,BI107))</f>
        <v>Mariner Courtyard</v>
      </c>
      <c r="C107" s="158" t="str" cm="1">
        <f t="array" ref="C107">IF(BI107="","",IF(INDEX(pjStatus,BI107)="","",INDEX(pjStatus,BI107)))</f>
        <v>Inactive</v>
      </c>
      <c r="D107" s="158" t="str" cm="1">
        <f t="array" ref="D107">IFERROR(INDEX(tblStaff[Initials],BN107),"")</f>
        <v>XX</v>
      </c>
      <c r="E107" s="159" cm="1">
        <f t="array" ref="E107">IF(OR(BI107="",D107=""),"",IFERROR(SUMPRODUCT((pjNo=A107)*(pjType="Phase")*INDEX(Projects!$I$5:$O$1188,0,MATCH(D107,Projects!$I$4:$O$4,0))*pjWk),0))</f>
        <v>0</v>
      </c>
      <c r="F107" s="159">
        <f t="shared" si="42"/>
        <v>0</v>
      </c>
      <c r="G107" s="159">
        <f t="shared" si="43"/>
        <v>0</v>
      </c>
      <c r="H107" s="160"/>
      <c r="I107" s="160"/>
      <c r="J107" s="160"/>
      <c r="K107" s="160"/>
      <c r="L107" s="160"/>
      <c r="M107" s="160"/>
      <c r="N107" s="160"/>
      <c r="O107" s="160"/>
      <c r="P107" s="160"/>
      <c r="Q107" s="160"/>
      <c r="R107" s="160"/>
      <c r="S107" s="160"/>
      <c r="T107" s="160"/>
      <c r="U107" s="160"/>
      <c r="V107" s="160"/>
      <c r="W107" s="160"/>
      <c r="X107" s="160"/>
      <c r="Y107" s="160"/>
      <c r="Z107" s="160"/>
      <c r="AA107" s="160"/>
      <c r="AB107" s="160"/>
      <c r="AC107" s="160"/>
      <c r="AD107" s="160"/>
      <c r="AE107" s="160"/>
      <c r="AF107" s="160"/>
      <c r="AG107" s="160"/>
      <c r="AH107" s="160"/>
      <c r="AI107" s="160"/>
      <c r="AJ107" s="160"/>
      <c r="AK107" s="160"/>
      <c r="AL107" s="160"/>
      <c r="AM107" s="160"/>
      <c r="AN107" s="160"/>
      <c r="AO107" s="160"/>
      <c r="AP107" s="160"/>
      <c r="AQ107" s="160"/>
      <c r="AR107" s="160"/>
      <c r="AS107" s="160"/>
      <c r="AT107" s="160"/>
      <c r="AU107" s="160"/>
      <c r="AV107" s="160"/>
      <c r="AW107" s="160"/>
      <c r="AX107" s="160"/>
      <c r="AY107" s="160"/>
      <c r="AZ107" s="160"/>
      <c r="BA107" s="160"/>
      <c r="BB107" s="160"/>
      <c r="BC107" s="160"/>
      <c r="BD107" s="160"/>
      <c r="BE107" s="160"/>
      <c r="BF107" s="160"/>
      <c r="BG107" s="160"/>
      <c r="BH107" s="36"/>
      <c r="BI107" s="150" cm="1">
        <f t="array" ref="BI107">IF(A107="","",IFERROR(MATCH(1,INDEX((pjNo=A107)*(pjType="Project"),0),0),""))</f>
        <v>63</v>
      </c>
      <c r="BJ107" s="150" t="str">
        <f>IF(D107="","",IFERROR(INDEX(tblStaff[Staff Level],MATCH(D107,tblStaff[Initials],0)),"?"))</f>
        <v>Project Designer</v>
      </c>
      <c r="BK107" s="151" t="str" cm="1">
        <f t="array" ref="BK107">IF(BI107="","",INDEX(pjStart,BI107))</f>
        <v/>
      </c>
      <c r="BL107" s="151" t="str" cm="1">
        <f t="array" ref="BL107">IF(BI107="","",INDEX(pjEnd,BI107))</f>
        <v/>
      </c>
      <c r="BM107" s="150">
        <f>IF(BI107="",0,IF(C107="Active",1,IF(C107="Prospective",IF(Assumptions!$B$6="Active only",0,Assumptions!$B$7),0)))</f>
        <v>0</v>
      </c>
      <c r="BN107" s="150">
        <v>7</v>
      </c>
      <c r="BO107" s="36"/>
      <c r="BP107" s="36"/>
    </row>
    <row r="108" spans="1:68" hidden="1" outlineLevel="1" x14ac:dyDescent="0.25">
      <c r="A108" s="162">
        <v>2545</v>
      </c>
      <c r="B108" s="161" t="str" cm="1">
        <f t="array" ref="B108">IF(BI108="","",INDEX(pjName,BI108))</f>
        <v>Mariner Courtyard</v>
      </c>
      <c r="C108" s="162" t="str" cm="1">
        <f t="array" ref="C108">IF(BI108="","",IF(INDEX(pjStatus,BI108)="","",INDEX(pjStatus,BI108)))</f>
        <v>Inactive</v>
      </c>
      <c r="D108" s="162" t="str" cm="1">
        <f t="array" ref="D108">IFERROR(INDEX(tblStaff[Initials],BN108),"")</f>
        <v/>
      </c>
      <c r="E108" s="163" t="str" cm="1">
        <f t="array" ref="E108">IF(OR(BI108="",D108=""),"",IFERROR(SUMPRODUCT((pjNo=A108)*(pjType="Phase")*INDEX(Projects!$I$5:$O$1188,0,MATCH(D108,Projects!$I$4:$O$4,0))*pjWk),0))</f>
        <v/>
      </c>
      <c r="F108" s="163">
        <f t="shared" si="42"/>
        <v>0</v>
      </c>
      <c r="G108" s="163" t="str">
        <f t="shared" si="43"/>
        <v/>
      </c>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4"/>
      <c r="AI108" s="164"/>
      <c r="AJ108" s="164"/>
      <c r="AK108" s="164"/>
      <c r="AL108" s="164"/>
      <c r="AM108" s="164"/>
      <c r="AN108" s="164"/>
      <c r="AO108" s="164"/>
      <c r="AP108" s="164"/>
      <c r="AQ108" s="164"/>
      <c r="AR108" s="164"/>
      <c r="AS108" s="164"/>
      <c r="AT108" s="164"/>
      <c r="AU108" s="164"/>
      <c r="AV108" s="164"/>
      <c r="AW108" s="164"/>
      <c r="AX108" s="164"/>
      <c r="AY108" s="164"/>
      <c r="AZ108" s="164"/>
      <c r="BA108" s="164"/>
      <c r="BB108" s="164"/>
      <c r="BC108" s="164"/>
      <c r="BD108" s="164"/>
      <c r="BE108" s="164"/>
      <c r="BF108" s="164"/>
      <c r="BG108" s="164"/>
      <c r="BH108" s="36"/>
      <c r="BI108" s="150" cm="1">
        <f t="array" ref="BI108">IF(A108="","",IFERROR(MATCH(1,INDEX((pjNo=A108)*(pjType="Project"),0),0),""))</f>
        <v>63</v>
      </c>
      <c r="BJ108" s="150" t="str">
        <f>IF(D108="","",IFERROR(INDEX(tblStaff[Staff Level],MATCH(D108,tblStaff[Initials],0)),"?"))</f>
        <v/>
      </c>
      <c r="BK108" s="151" t="str" cm="1">
        <f t="array" ref="BK108">IF(BI108="","",INDEX(pjStart,BI108))</f>
        <v/>
      </c>
      <c r="BL108" s="151" t="str" cm="1">
        <f t="array" ref="BL108">IF(BI108="","",INDEX(pjEnd,BI108))</f>
        <v/>
      </c>
      <c r="BM108" s="150">
        <f>IF(BI108="",0,IF(C108="Active",1,IF(C108="Prospective",IF(Assumptions!$B$6="Active only",0,Assumptions!$B$7),0)))</f>
        <v>0</v>
      </c>
      <c r="BN108" s="150">
        <v>8</v>
      </c>
      <c r="BO108" s="36"/>
      <c r="BP108" s="36"/>
    </row>
    <row r="109" spans="1:68" collapsed="1" x14ac:dyDescent="0.25">
      <c r="A109" s="171"/>
      <c r="B109" s="173" t="str">
        <f>IF(A110="","",A110&amp;" · "&amp;B110)</f>
        <v>2550 · Driftwood Park</v>
      </c>
      <c r="C109" s="171" t="str">
        <f>IF(A110="","",C110)</f>
        <v>Active</v>
      </c>
      <c r="D109" s="171"/>
      <c r="E109" s="172">
        <f>SUM(E110:E117)</f>
        <v>0</v>
      </c>
      <c r="F109" s="172">
        <f>SUM(F110:F117)</f>
        <v>0</v>
      </c>
      <c r="G109" s="172" t="str">
        <f>IF(E109=0,"",E109-F109)</f>
        <v/>
      </c>
      <c r="H109" s="174">
        <f t="shared" ref="H109:AM109" si="44">SUM(H110:H117)</f>
        <v>0</v>
      </c>
      <c r="I109" s="174">
        <f t="shared" si="44"/>
        <v>0</v>
      </c>
      <c r="J109" s="174">
        <f t="shared" si="44"/>
        <v>0</v>
      </c>
      <c r="K109" s="174">
        <f t="shared" si="44"/>
        <v>0</v>
      </c>
      <c r="L109" s="174">
        <f t="shared" si="44"/>
        <v>0</v>
      </c>
      <c r="M109" s="174">
        <f t="shared" si="44"/>
        <v>0</v>
      </c>
      <c r="N109" s="174">
        <f t="shared" si="44"/>
        <v>0</v>
      </c>
      <c r="O109" s="174">
        <f t="shared" si="44"/>
        <v>0</v>
      </c>
      <c r="P109" s="174">
        <f t="shared" si="44"/>
        <v>0</v>
      </c>
      <c r="Q109" s="174">
        <f t="shared" si="44"/>
        <v>0</v>
      </c>
      <c r="R109" s="174">
        <f t="shared" si="44"/>
        <v>0</v>
      </c>
      <c r="S109" s="174">
        <f t="shared" si="44"/>
        <v>0</v>
      </c>
      <c r="T109" s="174">
        <f t="shared" si="44"/>
        <v>0</v>
      </c>
      <c r="U109" s="174">
        <f t="shared" si="44"/>
        <v>0</v>
      </c>
      <c r="V109" s="174">
        <f t="shared" si="44"/>
        <v>0</v>
      </c>
      <c r="W109" s="174">
        <f t="shared" si="44"/>
        <v>0</v>
      </c>
      <c r="X109" s="174">
        <f t="shared" si="44"/>
        <v>0</v>
      </c>
      <c r="Y109" s="174">
        <f t="shared" si="44"/>
        <v>0</v>
      </c>
      <c r="Z109" s="174">
        <f t="shared" si="44"/>
        <v>0</v>
      </c>
      <c r="AA109" s="174">
        <f t="shared" si="44"/>
        <v>0</v>
      </c>
      <c r="AB109" s="174">
        <f t="shared" si="44"/>
        <v>0</v>
      </c>
      <c r="AC109" s="174">
        <f t="shared" si="44"/>
        <v>0</v>
      </c>
      <c r="AD109" s="174">
        <f t="shared" si="44"/>
        <v>0</v>
      </c>
      <c r="AE109" s="174">
        <f t="shared" si="44"/>
        <v>0</v>
      </c>
      <c r="AF109" s="174">
        <f t="shared" si="44"/>
        <v>0</v>
      </c>
      <c r="AG109" s="174">
        <f t="shared" si="44"/>
        <v>0</v>
      </c>
      <c r="AH109" s="174">
        <f t="shared" si="44"/>
        <v>0</v>
      </c>
      <c r="AI109" s="174">
        <f t="shared" si="44"/>
        <v>0</v>
      </c>
      <c r="AJ109" s="174">
        <f t="shared" si="44"/>
        <v>0</v>
      </c>
      <c r="AK109" s="174">
        <f t="shared" si="44"/>
        <v>0</v>
      </c>
      <c r="AL109" s="174">
        <f t="shared" si="44"/>
        <v>0</v>
      </c>
      <c r="AM109" s="174">
        <f t="shared" si="44"/>
        <v>0</v>
      </c>
      <c r="AN109" s="174">
        <f t="shared" ref="AN109:BG109" si="45">SUM(AN110:AN117)</f>
        <v>0</v>
      </c>
      <c r="AO109" s="174">
        <f t="shared" si="45"/>
        <v>0</v>
      </c>
      <c r="AP109" s="174">
        <f t="shared" si="45"/>
        <v>0</v>
      </c>
      <c r="AQ109" s="174">
        <f t="shared" si="45"/>
        <v>0</v>
      </c>
      <c r="AR109" s="174">
        <f t="shared" si="45"/>
        <v>0</v>
      </c>
      <c r="AS109" s="174">
        <f t="shared" si="45"/>
        <v>0</v>
      </c>
      <c r="AT109" s="174">
        <f t="shared" si="45"/>
        <v>0</v>
      </c>
      <c r="AU109" s="174">
        <f t="shared" si="45"/>
        <v>0</v>
      </c>
      <c r="AV109" s="174">
        <f t="shared" si="45"/>
        <v>0</v>
      </c>
      <c r="AW109" s="174">
        <f t="shared" si="45"/>
        <v>0</v>
      </c>
      <c r="AX109" s="174">
        <f t="shared" si="45"/>
        <v>0</v>
      </c>
      <c r="AY109" s="174">
        <f t="shared" si="45"/>
        <v>0</v>
      </c>
      <c r="AZ109" s="174">
        <f t="shared" si="45"/>
        <v>0</v>
      </c>
      <c r="BA109" s="174">
        <f t="shared" si="45"/>
        <v>0</v>
      </c>
      <c r="BB109" s="174">
        <f t="shared" si="45"/>
        <v>0</v>
      </c>
      <c r="BC109" s="174">
        <f t="shared" si="45"/>
        <v>0</v>
      </c>
      <c r="BD109" s="174">
        <f t="shared" si="45"/>
        <v>0</v>
      </c>
      <c r="BE109" s="174">
        <f t="shared" si="45"/>
        <v>0</v>
      </c>
      <c r="BF109" s="174">
        <f t="shared" si="45"/>
        <v>0</v>
      </c>
      <c r="BG109" s="174">
        <f t="shared" si="45"/>
        <v>0</v>
      </c>
      <c r="BH109" s="36"/>
      <c r="BI109" s="150"/>
      <c r="BJ109" s="150"/>
      <c r="BK109" s="151"/>
      <c r="BL109" s="151"/>
      <c r="BM109" s="150"/>
      <c r="BN109" s="150"/>
      <c r="BO109" s="36"/>
      <c r="BP109" s="36"/>
    </row>
    <row r="110" spans="1:68" hidden="1" outlineLevel="1" x14ac:dyDescent="0.25">
      <c r="A110" s="167">
        <v>2550</v>
      </c>
      <c r="B110" s="168" t="str" cm="1">
        <f t="array" ref="B110">IF(BI110="","",INDEX(pjName,BI110))</f>
        <v>Driftwood Park</v>
      </c>
      <c r="C110" s="167" t="str" cm="1">
        <f t="array" ref="C110">IF(BI110="","",IF(INDEX(pjStatus,BI110)="","",INDEX(pjStatus,BI110)))</f>
        <v>Active</v>
      </c>
      <c r="D110" s="167" t="str" cm="1">
        <f t="array" ref="D110">IFERROR(INDEX(tblStaff[Initials],BN110),"")</f>
        <v>PK</v>
      </c>
      <c r="E110" s="169" cm="1">
        <f t="array" ref="E110">IF(OR(BI110="",D110=""),"",IFERROR(SUMPRODUCT((pjNo=A110)*(pjType="Phase")*INDEX(Projects!$I$5:$O$1188,0,MATCH(D110,Projects!$I$4:$O$4,0))*pjWk),0))</f>
        <v>0</v>
      </c>
      <c r="F110" s="169">
        <f t="shared" ref="F110:F117" si="46">IF(BI110="","",SUM(H110:BG110))</f>
        <v>0</v>
      </c>
      <c r="G110" s="169">
        <f t="shared" ref="G110:G117" si="47">IF(OR(E110="",F110=""),"",E110-F110)</f>
        <v>0</v>
      </c>
      <c r="H110" s="170"/>
      <c r="I110" s="170"/>
      <c r="J110" s="170"/>
      <c r="K110" s="170"/>
      <c r="L110" s="170"/>
      <c r="M110" s="170"/>
      <c r="N110" s="170"/>
      <c r="O110" s="170"/>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0"/>
      <c r="AT110" s="170"/>
      <c r="AU110" s="170"/>
      <c r="AV110" s="170"/>
      <c r="AW110" s="170"/>
      <c r="AX110" s="170"/>
      <c r="AY110" s="170"/>
      <c r="AZ110" s="170"/>
      <c r="BA110" s="170"/>
      <c r="BB110" s="170"/>
      <c r="BC110" s="170"/>
      <c r="BD110" s="170"/>
      <c r="BE110" s="170"/>
      <c r="BF110" s="170"/>
      <c r="BG110" s="170"/>
      <c r="BH110" s="36"/>
      <c r="BI110" s="150" cm="1">
        <f t="array" ref="BI110">IF(A110="","",IFERROR(MATCH(1,INDEX((pjNo=A110)*(pjType="Project"),0),0),""))</f>
        <v>72</v>
      </c>
      <c r="BJ110" s="150" t="str">
        <f>IF(D110="","",IFERROR(INDEX(tblStaff[Staff Level],MATCH(D110,tblStaff[Initials],0)),"?"))</f>
        <v>Principal</v>
      </c>
      <c r="BK110" s="151" t="str" cm="1">
        <f t="array" ref="BK110">IF(BI110="","",INDEX(pjStart,BI110))</f>
        <v/>
      </c>
      <c r="BL110" s="151" t="str" cm="1">
        <f t="array" ref="BL110">IF(BI110="","",INDEX(pjEnd,BI110))</f>
        <v/>
      </c>
      <c r="BM110" s="150">
        <f>IF(BI110="",0,IF(C110="Active",1,IF(C110="Prospective",IF(Assumptions!$B$6="Active only",0,Assumptions!$B$7),0)))</f>
        <v>1</v>
      </c>
      <c r="BN110" s="150">
        <v>1</v>
      </c>
      <c r="BO110" s="36"/>
      <c r="BP110" s="36"/>
    </row>
    <row r="111" spans="1:68" hidden="1" outlineLevel="1" x14ac:dyDescent="0.25">
      <c r="A111" s="167">
        <v>2550</v>
      </c>
      <c r="B111" s="168" t="str" cm="1">
        <f t="array" ref="B111">IF(BI111="","",INDEX(pjName,BI111))</f>
        <v>Driftwood Park</v>
      </c>
      <c r="C111" s="167" t="str" cm="1">
        <f t="array" ref="C111">IF(BI111="","",IF(INDEX(pjStatus,BI111)="","",INDEX(pjStatus,BI111)))</f>
        <v>Active</v>
      </c>
      <c r="D111" s="167" t="str" cm="1">
        <f t="array" ref="D111">IFERROR(INDEX(tblStaff[Initials],BN111),"")</f>
        <v>DF</v>
      </c>
      <c r="E111" s="169" cm="1">
        <f t="array" ref="E111">IF(OR(BI111="",D111=""),"",IFERROR(SUMPRODUCT((pjNo=A111)*(pjType="Phase")*INDEX(Projects!$I$5:$O$1188,0,MATCH(D111,Projects!$I$4:$O$4,0))*pjWk),0))</f>
        <v>0</v>
      </c>
      <c r="F111" s="169">
        <f t="shared" si="46"/>
        <v>0</v>
      </c>
      <c r="G111" s="169">
        <f t="shared" si="47"/>
        <v>0</v>
      </c>
      <c r="H111" s="170"/>
      <c r="I111" s="170"/>
      <c r="J111" s="170"/>
      <c r="K111" s="170"/>
      <c r="L111" s="170"/>
      <c r="M111" s="170"/>
      <c r="N111" s="170"/>
      <c r="O111" s="170"/>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c r="AT111" s="170"/>
      <c r="AU111" s="170"/>
      <c r="AV111" s="170"/>
      <c r="AW111" s="170"/>
      <c r="AX111" s="170"/>
      <c r="AY111" s="170"/>
      <c r="AZ111" s="170"/>
      <c r="BA111" s="170"/>
      <c r="BB111" s="170"/>
      <c r="BC111" s="170"/>
      <c r="BD111" s="170"/>
      <c r="BE111" s="170"/>
      <c r="BF111" s="170"/>
      <c r="BG111" s="170"/>
      <c r="BH111" s="36"/>
      <c r="BI111" s="150" cm="1">
        <f t="array" ref="BI111">IF(A111="","",IFERROR(MATCH(1,INDEX((pjNo=A111)*(pjType="Project"),0),0),""))</f>
        <v>72</v>
      </c>
      <c r="BJ111" s="150" t="str">
        <f>IF(D111="","",IFERROR(INDEX(tblStaff[Staff Level],MATCH(D111,tblStaff[Initials],0)),"?"))</f>
        <v>Principal</v>
      </c>
      <c r="BK111" s="151" t="str" cm="1">
        <f t="array" ref="BK111">IF(BI111="","",INDEX(pjStart,BI111))</f>
        <v/>
      </c>
      <c r="BL111" s="151" t="str" cm="1">
        <f t="array" ref="BL111">IF(BI111="","",INDEX(pjEnd,BI111))</f>
        <v/>
      </c>
      <c r="BM111" s="150">
        <f>IF(BI111="",0,IF(C111="Active",1,IF(C111="Prospective",IF(Assumptions!$B$6="Active only",0,Assumptions!$B$7),0)))</f>
        <v>1</v>
      </c>
      <c r="BN111" s="150">
        <v>2</v>
      </c>
      <c r="BO111" s="36"/>
      <c r="BP111" s="36"/>
    </row>
    <row r="112" spans="1:68" hidden="1" outlineLevel="1" x14ac:dyDescent="0.25">
      <c r="A112" s="158">
        <v>2550</v>
      </c>
      <c r="B112" s="157" t="str" cm="1">
        <f t="array" ref="B112">IF(BI112="","",INDEX(pjName,BI112))</f>
        <v>Driftwood Park</v>
      </c>
      <c r="C112" s="158" t="str" cm="1">
        <f t="array" ref="C112">IF(BI112="","",IF(INDEX(pjStatus,BI112)="","",INDEX(pjStatus,BI112)))</f>
        <v>Active</v>
      </c>
      <c r="D112" s="158" t="str" cm="1">
        <f t="array" ref="D112">IFERROR(INDEX(tblStaff[Initials],BN112),"")</f>
        <v>KJ</v>
      </c>
      <c r="E112" s="159" cm="1">
        <f t="array" ref="E112">IF(OR(BI112="",D112=""),"",IFERROR(SUMPRODUCT((pjNo=A112)*(pjType="Phase")*INDEX(Projects!$I$5:$O$1188,0,MATCH(D112,Projects!$I$4:$O$4,0))*pjWk),0))</f>
        <v>0</v>
      </c>
      <c r="F112" s="159">
        <f t="shared" si="46"/>
        <v>0</v>
      </c>
      <c r="G112" s="159">
        <f t="shared" si="47"/>
        <v>0</v>
      </c>
      <c r="H112" s="160"/>
      <c r="I112" s="160"/>
      <c r="J112" s="160"/>
      <c r="K112" s="160"/>
      <c r="L112" s="160"/>
      <c r="M112" s="160"/>
      <c r="N112" s="160"/>
      <c r="O112" s="160"/>
      <c r="P112" s="160"/>
      <c r="Q112" s="160"/>
      <c r="R112" s="160"/>
      <c r="S112" s="160"/>
      <c r="T112" s="160"/>
      <c r="U112" s="160"/>
      <c r="V112" s="160"/>
      <c r="W112" s="160"/>
      <c r="X112" s="160"/>
      <c r="Y112" s="160"/>
      <c r="Z112" s="160"/>
      <c r="AA112" s="160"/>
      <c r="AB112" s="160"/>
      <c r="AC112" s="160"/>
      <c r="AD112" s="160"/>
      <c r="AE112" s="160"/>
      <c r="AF112" s="160"/>
      <c r="AG112" s="160"/>
      <c r="AH112" s="160"/>
      <c r="AI112" s="160"/>
      <c r="AJ112" s="160"/>
      <c r="AK112" s="160"/>
      <c r="AL112" s="160"/>
      <c r="AM112" s="160"/>
      <c r="AN112" s="160"/>
      <c r="AO112" s="160"/>
      <c r="AP112" s="160"/>
      <c r="AQ112" s="160"/>
      <c r="AR112" s="160"/>
      <c r="AS112" s="160"/>
      <c r="AT112" s="160"/>
      <c r="AU112" s="160"/>
      <c r="AV112" s="160"/>
      <c r="AW112" s="160"/>
      <c r="AX112" s="160"/>
      <c r="AY112" s="160"/>
      <c r="AZ112" s="160"/>
      <c r="BA112" s="160"/>
      <c r="BB112" s="160"/>
      <c r="BC112" s="160"/>
      <c r="BD112" s="160"/>
      <c r="BE112" s="160"/>
      <c r="BF112" s="160"/>
      <c r="BG112" s="160"/>
      <c r="BH112" s="36"/>
      <c r="BI112" s="150" cm="1">
        <f t="array" ref="BI112">IF(A112="","",IFERROR(MATCH(1,INDEX((pjNo=A112)*(pjType="Project"),0),0),""))</f>
        <v>72</v>
      </c>
      <c r="BJ112" s="150" t="str">
        <f>IF(D112="","",IFERROR(INDEX(tblStaff[Staff Level],MATCH(D112,tblStaff[Initials],0)),"?"))</f>
        <v>Director</v>
      </c>
      <c r="BK112" s="151" t="str" cm="1">
        <f t="array" ref="BK112">IF(BI112="","",INDEX(pjStart,BI112))</f>
        <v/>
      </c>
      <c r="BL112" s="151" t="str" cm="1">
        <f t="array" ref="BL112">IF(BI112="","",INDEX(pjEnd,BI112))</f>
        <v/>
      </c>
      <c r="BM112" s="150">
        <f>IF(BI112="",0,IF(C112="Active",1,IF(C112="Prospective",IF(Assumptions!$B$6="Active only",0,Assumptions!$B$7),0)))</f>
        <v>1</v>
      </c>
      <c r="BN112" s="150">
        <v>3</v>
      </c>
      <c r="BO112" s="36"/>
      <c r="BP112" s="36"/>
    </row>
    <row r="113" spans="1:68" hidden="1" outlineLevel="1" x14ac:dyDescent="0.25">
      <c r="A113" s="158">
        <v>2550</v>
      </c>
      <c r="B113" s="157" t="str" cm="1">
        <f t="array" ref="B113">IF(BI113="","",INDEX(pjName,BI113))</f>
        <v>Driftwood Park</v>
      </c>
      <c r="C113" s="158" t="str" cm="1">
        <f t="array" ref="C113">IF(BI113="","",IF(INDEX(pjStatus,BI113)="","",INDEX(pjStatus,BI113)))</f>
        <v>Active</v>
      </c>
      <c r="D113" s="158" t="str" cm="1">
        <f t="array" ref="D113">IFERROR(INDEX(tblStaff[Initials],BN113),"")</f>
        <v>HL</v>
      </c>
      <c r="E113" s="159" cm="1">
        <f t="array" ref="E113">IF(OR(BI113="",D113=""),"",IFERROR(SUMPRODUCT((pjNo=A113)*(pjType="Phase")*INDEX(Projects!$I$5:$O$1188,0,MATCH(D113,Projects!$I$4:$O$4,0))*pjWk),0))</f>
        <v>0</v>
      </c>
      <c r="F113" s="159">
        <f t="shared" si="46"/>
        <v>0</v>
      </c>
      <c r="G113" s="159">
        <f t="shared" si="47"/>
        <v>0</v>
      </c>
      <c r="H113" s="160"/>
      <c r="I113" s="160"/>
      <c r="J113" s="160"/>
      <c r="K113" s="160"/>
      <c r="L113" s="160"/>
      <c r="M113" s="160"/>
      <c r="N113" s="160"/>
      <c r="O113" s="160"/>
      <c r="P113" s="160"/>
      <c r="Q113" s="160"/>
      <c r="R113" s="160"/>
      <c r="S113" s="160"/>
      <c r="T113" s="160"/>
      <c r="U113" s="160"/>
      <c r="V113" s="160"/>
      <c r="W113" s="160"/>
      <c r="X113" s="160"/>
      <c r="Y113" s="160"/>
      <c r="Z113" s="160"/>
      <c r="AA113" s="160"/>
      <c r="AB113" s="160"/>
      <c r="AC113" s="160"/>
      <c r="AD113" s="160"/>
      <c r="AE113" s="160"/>
      <c r="AF113" s="160"/>
      <c r="AG113" s="160"/>
      <c r="AH113" s="160"/>
      <c r="AI113" s="160"/>
      <c r="AJ113" s="160"/>
      <c r="AK113" s="160"/>
      <c r="AL113" s="160"/>
      <c r="AM113" s="160"/>
      <c r="AN113" s="160"/>
      <c r="AO113" s="160"/>
      <c r="AP113" s="160"/>
      <c r="AQ113" s="160"/>
      <c r="AR113" s="160"/>
      <c r="AS113" s="160"/>
      <c r="AT113" s="160"/>
      <c r="AU113" s="160"/>
      <c r="AV113" s="160"/>
      <c r="AW113" s="160"/>
      <c r="AX113" s="160"/>
      <c r="AY113" s="160"/>
      <c r="AZ113" s="160"/>
      <c r="BA113" s="160"/>
      <c r="BB113" s="160"/>
      <c r="BC113" s="160"/>
      <c r="BD113" s="160"/>
      <c r="BE113" s="160"/>
      <c r="BF113" s="160"/>
      <c r="BG113" s="160"/>
      <c r="BH113" s="36"/>
      <c r="BI113" s="150" cm="1">
        <f t="array" ref="BI113">IF(A113="","",IFERROR(MATCH(1,INDEX((pjNo=A113)*(pjType="Project"),0),0),""))</f>
        <v>72</v>
      </c>
      <c r="BJ113" s="150" t="str">
        <f>IF(D113="","",IFERROR(INDEX(tblStaff[Staff Level],MATCH(D113,tblStaff[Initials],0)),"?"))</f>
        <v>Senior Designer</v>
      </c>
      <c r="BK113" s="151" t="str" cm="1">
        <f t="array" ref="BK113">IF(BI113="","",INDEX(pjStart,BI113))</f>
        <v/>
      </c>
      <c r="BL113" s="151" t="str" cm="1">
        <f t="array" ref="BL113">IF(BI113="","",INDEX(pjEnd,BI113))</f>
        <v/>
      </c>
      <c r="BM113" s="150">
        <f>IF(BI113="",0,IF(C113="Active",1,IF(C113="Prospective",IF(Assumptions!$B$6="Active only",0,Assumptions!$B$7),0)))</f>
        <v>1</v>
      </c>
      <c r="BN113" s="150">
        <v>4</v>
      </c>
      <c r="BO113" s="36"/>
      <c r="BP113" s="36"/>
    </row>
    <row r="114" spans="1:68" hidden="1" outlineLevel="1" x14ac:dyDescent="0.25">
      <c r="A114" s="158">
        <v>2550</v>
      </c>
      <c r="B114" s="157" t="str" cm="1">
        <f t="array" ref="B114">IF(BI114="","",INDEX(pjName,BI114))</f>
        <v>Driftwood Park</v>
      </c>
      <c r="C114" s="158" t="str" cm="1">
        <f t="array" ref="C114">IF(BI114="","",IF(INDEX(pjStatus,BI114)="","",INDEX(pjStatus,BI114)))</f>
        <v>Active</v>
      </c>
      <c r="D114" s="158" t="str" cm="1">
        <f t="array" ref="D114">IFERROR(INDEX(tblStaff[Initials],BN114),"")</f>
        <v>EHH</v>
      </c>
      <c r="E114" s="159" cm="1">
        <f t="array" ref="E114">IF(OR(BI114="",D114=""),"",IFERROR(SUMPRODUCT((pjNo=A114)*(pjType="Phase")*INDEX(Projects!$I$5:$O$1188,0,MATCH(D114,Projects!$I$4:$O$4,0))*pjWk),0))</f>
        <v>0</v>
      </c>
      <c r="F114" s="159">
        <f t="shared" si="46"/>
        <v>0</v>
      </c>
      <c r="G114" s="159">
        <f t="shared" si="47"/>
        <v>0</v>
      </c>
      <c r="H114" s="160"/>
      <c r="I114" s="160"/>
      <c r="J114" s="160"/>
      <c r="K114" s="160"/>
      <c r="L114" s="160"/>
      <c r="M114" s="160"/>
      <c r="N114" s="160"/>
      <c r="O114" s="160"/>
      <c r="P114" s="160"/>
      <c r="Q114" s="160"/>
      <c r="R114" s="160"/>
      <c r="S114" s="160"/>
      <c r="T114" s="160"/>
      <c r="U114" s="160"/>
      <c r="V114" s="160"/>
      <c r="W114" s="160"/>
      <c r="X114" s="160"/>
      <c r="Y114" s="160"/>
      <c r="Z114" s="160"/>
      <c r="AA114" s="160"/>
      <c r="AB114" s="160"/>
      <c r="AC114" s="160"/>
      <c r="AD114" s="160"/>
      <c r="AE114" s="160"/>
      <c r="AF114" s="160"/>
      <c r="AG114" s="160"/>
      <c r="AH114" s="160"/>
      <c r="AI114" s="160"/>
      <c r="AJ114" s="160"/>
      <c r="AK114" s="160"/>
      <c r="AL114" s="160"/>
      <c r="AM114" s="160"/>
      <c r="AN114" s="160"/>
      <c r="AO114" s="160"/>
      <c r="AP114" s="160"/>
      <c r="AQ114" s="160"/>
      <c r="AR114" s="160"/>
      <c r="AS114" s="160"/>
      <c r="AT114" s="160"/>
      <c r="AU114" s="160"/>
      <c r="AV114" s="160"/>
      <c r="AW114" s="160"/>
      <c r="AX114" s="160"/>
      <c r="AY114" s="160"/>
      <c r="AZ114" s="160"/>
      <c r="BA114" s="160"/>
      <c r="BB114" s="160"/>
      <c r="BC114" s="160"/>
      <c r="BD114" s="160"/>
      <c r="BE114" s="160"/>
      <c r="BF114" s="160"/>
      <c r="BG114" s="160"/>
      <c r="BH114" s="36"/>
      <c r="BI114" s="150" cm="1">
        <f t="array" ref="BI114">IF(A114="","",IFERROR(MATCH(1,INDEX((pjNo=A114)*(pjType="Project"),0),0),""))</f>
        <v>72</v>
      </c>
      <c r="BJ114" s="150" t="str">
        <f>IF(D114="","",IFERROR(INDEX(tblStaff[Staff Level],MATCH(D114,tblStaff[Initials],0)),"?"))</f>
        <v>Mid Level Designer</v>
      </c>
      <c r="BK114" s="151" t="str" cm="1">
        <f t="array" ref="BK114">IF(BI114="","",INDEX(pjStart,BI114))</f>
        <v/>
      </c>
      <c r="BL114" s="151" t="str" cm="1">
        <f t="array" ref="BL114">IF(BI114="","",INDEX(pjEnd,BI114))</f>
        <v/>
      </c>
      <c r="BM114" s="150">
        <f>IF(BI114="",0,IF(C114="Active",1,IF(C114="Prospective",IF(Assumptions!$B$6="Active only",0,Assumptions!$B$7),0)))</f>
        <v>1</v>
      </c>
      <c r="BN114" s="150">
        <v>5</v>
      </c>
      <c r="BO114" s="36"/>
      <c r="BP114" s="36"/>
    </row>
    <row r="115" spans="1:68" hidden="1" outlineLevel="1" x14ac:dyDescent="0.25">
      <c r="A115" s="158">
        <v>2550</v>
      </c>
      <c r="B115" s="157" t="str" cm="1">
        <f t="array" ref="B115">IF(BI115="","",INDEX(pjName,BI115))</f>
        <v>Driftwood Park</v>
      </c>
      <c r="C115" s="158" t="str" cm="1">
        <f t="array" ref="C115">IF(BI115="","",IF(INDEX(pjStatus,BI115)="","",INDEX(pjStatus,BI115)))</f>
        <v>Active</v>
      </c>
      <c r="D115" s="158" t="str" cm="1">
        <f t="array" ref="D115">IFERROR(INDEX(tblStaff[Initials],BN115),"")</f>
        <v>KD</v>
      </c>
      <c r="E115" s="159" cm="1">
        <f t="array" ref="E115">IF(OR(BI115="",D115=""),"",IFERROR(SUMPRODUCT((pjNo=A115)*(pjType="Phase")*INDEX(Projects!$I$5:$O$1188,0,MATCH(D115,Projects!$I$4:$O$4,0))*pjWk),0))</f>
        <v>0</v>
      </c>
      <c r="F115" s="159">
        <f t="shared" si="46"/>
        <v>0</v>
      </c>
      <c r="G115" s="159">
        <f t="shared" si="47"/>
        <v>0</v>
      </c>
      <c r="H115" s="160"/>
      <c r="I115" s="160"/>
      <c r="J115" s="160"/>
      <c r="K115" s="160"/>
      <c r="L115" s="160"/>
      <c r="M115" s="160"/>
      <c r="N115" s="160"/>
      <c r="O115" s="160"/>
      <c r="P115" s="160"/>
      <c r="Q115" s="160"/>
      <c r="R115" s="160"/>
      <c r="S115" s="160"/>
      <c r="T115" s="160"/>
      <c r="U115" s="160"/>
      <c r="V115" s="160"/>
      <c r="W115" s="160"/>
      <c r="X115" s="160"/>
      <c r="Y115" s="160"/>
      <c r="Z115" s="160"/>
      <c r="AA115" s="160"/>
      <c r="AB115" s="160"/>
      <c r="AC115" s="160"/>
      <c r="AD115" s="160"/>
      <c r="AE115" s="160"/>
      <c r="AF115" s="160"/>
      <c r="AG115" s="160"/>
      <c r="AH115" s="160"/>
      <c r="AI115" s="160"/>
      <c r="AJ115" s="160"/>
      <c r="AK115" s="160"/>
      <c r="AL115" s="160"/>
      <c r="AM115" s="160"/>
      <c r="AN115" s="160"/>
      <c r="AO115" s="160"/>
      <c r="AP115" s="160"/>
      <c r="AQ115" s="160"/>
      <c r="AR115" s="160"/>
      <c r="AS115" s="160"/>
      <c r="AT115" s="160"/>
      <c r="AU115" s="160"/>
      <c r="AV115" s="160"/>
      <c r="AW115" s="160"/>
      <c r="AX115" s="160"/>
      <c r="AY115" s="160"/>
      <c r="AZ115" s="160"/>
      <c r="BA115" s="160"/>
      <c r="BB115" s="160"/>
      <c r="BC115" s="160"/>
      <c r="BD115" s="160"/>
      <c r="BE115" s="160"/>
      <c r="BF115" s="160"/>
      <c r="BG115" s="160"/>
      <c r="BH115" s="36"/>
      <c r="BI115" s="150" cm="1">
        <f t="array" ref="BI115">IF(A115="","",IFERROR(MATCH(1,INDEX((pjNo=A115)*(pjType="Project"),0),0),""))</f>
        <v>72</v>
      </c>
      <c r="BJ115" s="150" t="str">
        <f>IF(D115="","",IFERROR(INDEX(tblStaff[Staff Level],MATCH(D115,tblStaff[Initials],0)),"?"))</f>
        <v>Mid Level Designer</v>
      </c>
      <c r="BK115" s="151" t="str" cm="1">
        <f t="array" ref="BK115">IF(BI115="","",INDEX(pjStart,BI115))</f>
        <v/>
      </c>
      <c r="BL115" s="151" t="str" cm="1">
        <f t="array" ref="BL115">IF(BI115="","",INDEX(pjEnd,BI115))</f>
        <v/>
      </c>
      <c r="BM115" s="150">
        <f>IF(BI115="",0,IF(C115="Active",1,IF(C115="Prospective",IF(Assumptions!$B$6="Active only",0,Assumptions!$B$7),0)))</f>
        <v>1</v>
      </c>
      <c r="BN115" s="150">
        <v>6</v>
      </c>
      <c r="BO115" s="36"/>
      <c r="BP115" s="36"/>
    </row>
    <row r="116" spans="1:68" hidden="1" outlineLevel="1" x14ac:dyDescent="0.25">
      <c r="A116" s="158">
        <v>2550</v>
      </c>
      <c r="B116" s="157" t="str" cm="1">
        <f t="array" ref="B116">IF(BI116="","",INDEX(pjName,BI116))</f>
        <v>Driftwood Park</v>
      </c>
      <c r="C116" s="158" t="str" cm="1">
        <f t="array" ref="C116">IF(BI116="","",IF(INDEX(pjStatus,BI116)="","",INDEX(pjStatus,BI116)))</f>
        <v>Active</v>
      </c>
      <c r="D116" s="158" t="str" cm="1">
        <f t="array" ref="D116">IFERROR(INDEX(tblStaff[Initials],BN116),"")</f>
        <v>XX</v>
      </c>
      <c r="E116" s="159" cm="1">
        <f t="array" ref="E116">IF(OR(BI116="",D116=""),"",IFERROR(SUMPRODUCT((pjNo=A116)*(pjType="Phase")*INDEX(Projects!$I$5:$O$1188,0,MATCH(D116,Projects!$I$4:$O$4,0))*pjWk),0))</f>
        <v>0</v>
      </c>
      <c r="F116" s="159">
        <f t="shared" si="46"/>
        <v>0</v>
      </c>
      <c r="G116" s="159">
        <f t="shared" si="47"/>
        <v>0</v>
      </c>
      <c r="H116" s="160"/>
      <c r="I116" s="160"/>
      <c r="J116" s="160"/>
      <c r="K116" s="160"/>
      <c r="L116" s="160"/>
      <c r="M116" s="160"/>
      <c r="N116" s="160"/>
      <c r="O116" s="160"/>
      <c r="P116" s="160"/>
      <c r="Q116" s="160"/>
      <c r="R116" s="160"/>
      <c r="S116" s="160"/>
      <c r="T116" s="160"/>
      <c r="U116" s="160"/>
      <c r="V116" s="160"/>
      <c r="W116" s="160"/>
      <c r="X116" s="160"/>
      <c r="Y116" s="160"/>
      <c r="Z116" s="160"/>
      <c r="AA116" s="160"/>
      <c r="AB116" s="160"/>
      <c r="AC116" s="160"/>
      <c r="AD116" s="160"/>
      <c r="AE116" s="160"/>
      <c r="AF116" s="160"/>
      <c r="AG116" s="160"/>
      <c r="AH116" s="160"/>
      <c r="AI116" s="160"/>
      <c r="AJ116" s="160"/>
      <c r="AK116" s="160"/>
      <c r="AL116" s="160"/>
      <c r="AM116" s="160"/>
      <c r="AN116" s="160"/>
      <c r="AO116" s="160"/>
      <c r="AP116" s="160"/>
      <c r="AQ116" s="160"/>
      <c r="AR116" s="160"/>
      <c r="AS116" s="160"/>
      <c r="AT116" s="160"/>
      <c r="AU116" s="160"/>
      <c r="AV116" s="160"/>
      <c r="AW116" s="160"/>
      <c r="AX116" s="160"/>
      <c r="AY116" s="160"/>
      <c r="AZ116" s="160"/>
      <c r="BA116" s="160"/>
      <c r="BB116" s="160"/>
      <c r="BC116" s="160"/>
      <c r="BD116" s="160"/>
      <c r="BE116" s="160"/>
      <c r="BF116" s="160"/>
      <c r="BG116" s="160"/>
      <c r="BH116" s="36"/>
      <c r="BI116" s="150" cm="1">
        <f t="array" ref="BI116">IF(A116="","",IFERROR(MATCH(1,INDEX((pjNo=A116)*(pjType="Project"),0),0),""))</f>
        <v>72</v>
      </c>
      <c r="BJ116" s="150" t="str">
        <f>IF(D116="","",IFERROR(INDEX(tblStaff[Staff Level],MATCH(D116,tblStaff[Initials],0)),"?"))</f>
        <v>Project Designer</v>
      </c>
      <c r="BK116" s="151" t="str" cm="1">
        <f t="array" ref="BK116">IF(BI116="","",INDEX(pjStart,BI116))</f>
        <v/>
      </c>
      <c r="BL116" s="151" t="str" cm="1">
        <f t="array" ref="BL116">IF(BI116="","",INDEX(pjEnd,BI116))</f>
        <v/>
      </c>
      <c r="BM116" s="150">
        <f>IF(BI116="",0,IF(C116="Active",1,IF(C116="Prospective",IF(Assumptions!$B$6="Active only",0,Assumptions!$B$7),0)))</f>
        <v>1</v>
      </c>
      <c r="BN116" s="150">
        <v>7</v>
      </c>
      <c r="BO116" s="36"/>
      <c r="BP116" s="36"/>
    </row>
    <row r="117" spans="1:68" hidden="1" outlineLevel="1" x14ac:dyDescent="0.25">
      <c r="A117" s="162">
        <v>2550</v>
      </c>
      <c r="B117" s="161" t="str" cm="1">
        <f t="array" ref="B117">IF(BI117="","",INDEX(pjName,BI117))</f>
        <v>Driftwood Park</v>
      </c>
      <c r="C117" s="162" t="str" cm="1">
        <f t="array" ref="C117">IF(BI117="","",IF(INDEX(pjStatus,BI117)="","",INDEX(pjStatus,BI117)))</f>
        <v>Active</v>
      </c>
      <c r="D117" s="162" t="str" cm="1">
        <f t="array" ref="D117">IFERROR(INDEX(tblStaff[Initials],BN117),"")</f>
        <v/>
      </c>
      <c r="E117" s="163" t="str" cm="1">
        <f t="array" ref="E117">IF(OR(BI117="",D117=""),"",IFERROR(SUMPRODUCT((pjNo=A117)*(pjType="Phase")*INDEX(Projects!$I$5:$O$1188,0,MATCH(D117,Projects!$I$4:$O$4,0))*pjWk),0))</f>
        <v/>
      </c>
      <c r="F117" s="163">
        <f t="shared" si="46"/>
        <v>0</v>
      </c>
      <c r="G117" s="163" t="str">
        <f t="shared" si="47"/>
        <v/>
      </c>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c r="AH117" s="164"/>
      <c r="AI117" s="164"/>
      <c r="AJ117" s="164"/>
      <c r="AK117" s="164"/>
      <c r="AL117" s="164"/>
      <c r="AM117" s="164"/>
      <c r="AN117" s="164"/>
      <c r="AO117" s="164"/>
      <c r="AP117" s="164"/>
      <c r="AQ117" s="164"/>
      <c r="AR117" s="164"/>
      <c r="AS117" s="164"/>
      <c r="AT117" s="164"/>
      <c r="AU117" s="164"/>
      <c r="AV117" s="164"/>
      <c r="AW117" s="164"/>
      <c r="AX117" s="164"/>
      <c r="AY117" s="164"/>
      <c r="AZ117" s="164"/>
      <c r="BA117" s="164"/>
      <c r="BB117" s="164"/>
      <c r="BC117" s="164"/>
      <c r="BD117" s="164"/>
      <c r="BE117" s="164"/>
      <c r="BF117" s="164"/>
      <c r="BG117" s="164"/>
      <c r="BH117" s="36"/>
      <c r="BI117" s="150" cm="1">
        <f t="array" ref="BI117">IF(A117="","",IFERROR(MATCH(1,INDEX((pjNo=A117)*(pjType="Project"),0),0),""))</f>
        <v>72</v>
      </c>
      <c r="BJ117" s="150" t="str">
        <f>IF(D117="","",IFERROR(INDEX(tblStaff[Staff Level],MATCH(D117,tblStaff[Initials],0)),"?"))</f>
        <v/>
      </c>
      <c r="BK117" s="151" t="str" cm="1">
        <f t="array" ref="BK117">IF(BI117="","",INDEX(pjStart,BI117))</f>
        <v/>
      </c>
      <c r="BL117" s="151" t="str" cm="1">
        <f t="array" ref="BL117">IF(BI117="","",INDEX(pjEnd,BI117))</f>
        <v/>
      </c>
      <c r="BM117" s="150">
        <f>IF(BI117="",0,IF(C117="Active",1,IF(C117="Prospective",IF(Assumptions!$B$6="Active only",0,Assumptions!$B$7),0)))</f>
        <v>1</v>
      </c>
      <c r="BN117" s="150">
        <v>8</v>
      </c>
      <c r="BO117" s="36"/>
      <c r="BP117" s="36"/>
    </row>
    <row r="118" spans="1:68" collapsed="1" x14ac:dyDescent="0.25">
      <c r="A118" s="171"/>
      <c r="B118" s="173" t="str">
        <f>IF(A119="","",A119&amp;" · "&amp;B119)</f>
        <v>2551 · Bayside Community Center</v>
      </c>
      <c r="C118" s="171" t="str">
        <f>IF(A119="","",C119)</f>
        <v>Active</v>
      </c>
      <c r="D118" s="171"/>
      <c r="E118" s="172">
        <f>SUM(E119:E126)</f>
        <v>0</v>
      </c>
      <c r="F118" s="172">
        <f>SUM(F119:F126)</f>
        <v>0</v>
      </c>
      <c r="G118" s="172" t="str">
        <f>IF(E118=0,"",E118-F118)</f>
        <v/>
      </c>
      <c r="H118" s="174">
        <f t="shared" ref="H118:AM118" si="48">SUM(H119:H126)</f>
        <v>0</v>
      </c>
      <c r="I118" s="174">
        <f t="shared" si="48"/>
        <v>0</v>
      </c>
      <c r="J118" s="174">
        <f t="shared" si="48"/>
        <v>0</v>
      </c>
      <c r="K118" s="174">
        <f t="shared" si="48"/>
        <v>0</v>
      </c>
      <c r="L118" s="174">
        <f t="shared" si="48"/>
        <v>0</v>
      </c>
      <c r="M118" s="174">
        <f t="shared" si="48"/>
        <v>0</v>
      </c>
      <c r="N118" s="174">
        <f t="shared" si="48"/>
        <v>0</v>
      </c>
      <c r="O118" s="174">
        <f t="shared" si="48"/>
        <v>0</v>
      </c>
      <c r="P118" s="174">
        <f t="shared" si="48"/>
        <v>0</v>
      </c>
      <c r="Q118" s="174">
        <f t="shared" si="48"/>
        <v>0</v>
      </c>
      <c r="R118" s="174">
        <f t="shared" si="48"/>
        <v>0</v>
      </c>
      <c r="S118" s="174">
        <f t="shared" si="48"/>
        <v>0</v>
      </c>
      <c r="T118" s="174">
        <f t="shared" si="48"/>
        <v>0</v>
      </c>
      <c r="U118" s="174">
        <f t="shared" si="48"/>
        <v>0</v>
      </c>
      <c r="V118" s="174">
        <f t="shared" si="48"/>
        <v>0</v>
      </c>
      <c r="W118" s="174">
        <f t="shared" si="48"/>
        <v>0</v>
      </c>
      <c r="X118" s="174">
        <f t="shared" si="48"/>
        <v>0</v>
      </c>
      <c r="Y118" s="174">
        <f t="shared" si="48"/>
        <v>0</v>
      </c>
      <c r="Z118" s="174">
        <f t="shared" si="48"/>
        <v>0</v>
      </c>
      <c r="AA118" s="174">
        <f t="shared" si="48"/>
        <v>0</v>
      </c>
      <c r="AB118" s="174">
        <f t="shared" si="48"/>
        <v>0</v>
      </c>
      <c r="AC118" s="174">
        <f t="shared" si="48"/>
        <v>0</v>
      </c>
      <c r="AD118" s="174">
        <f t="shared" si="48"/>
        <v>0</v>
      </c>
      <c r="AE118" s="174">
        <f t="shared" si="48"/>
        <v>0</v>
      </c>
      <c r="AF118" s="174">
        <f t="shared" si="48"/>
        <v>0</v>
      </c>
      <c r="AG118" s="174">
        <f t="shared" si="48"/>
        <v>0</v>
      </c>
      <c r="AH118" s="174">
        <f t="shared" si="48"/>
        <v>0</v>
      </c>
      <c r="AI118" s="174">
        <f t="shared" si="48"/>
        <v>0</v>
      </c>
      <c r="AJ118" s="174">
        <f t="shared" si="48"/>
        <v>0</v>
      </c>
      <c r="AK118" s="174">
        <f t="shared" si="48"/>
        <v>0</v>
      </c>
      <c r="AL118" s="174">
        <f t="shared" si="48"/>
        <v>0</v>
      </c>
      <c r="AM118" s="174">
        <f t="shared" si="48"/>
        <v>0</v>
      </c>
      <c r="AN118" s="174">
        <f t="shared" ref="AN118:BG118" si="49">SUM(AN119:AN126)</f>
        <v>0</v>
      </c>
      <c r="AO118" s="174">
        <f t="shared" si="49"/>
        <v>0</v>
      </c>
      <c r="AP118" s="174">
        <f t="shared" si="49"/>
        <v>0</v>
      </c>
      <c r="AQ118" s="174">
        <f t="shared" si="49"/>
        <v>0</v>
      </c>
      <c r="AR118" s="174">
        <f t="shared" si="49"/>
        <v>0</v>
      </c>
      <c r="AS118" s="174">
        <f t="shared" si="49"/>
        <v>0</v>
      </c>
      <c r="AT118" s="174">
        <f t="shared" si="49"/>
        <v>0</v>
      </c>
      <c r="AU118" s="174">
        <f t="shared" si="49"/>
        <v>0</v>
      </c>
      <c r="AV118" s="174">
        <f t="shared" si="49"/>
        <v>0</v>
      </c>
      <c r="AW118" s="174">
        <f t="shared" si="49"/>
        <v>0</v>
      </c>
      <c r="AX118" s="174">
        <f t="shared" si="49"/>
        <v>0</v>
      </c>
      <c r="AY118" s="174">
        <f t="shared" si="49"/>
        <v>0</v>
      </c>
      <c r="AZ118" s="174">
        <f t="shared" si="49"/>
        <v>0</v>
      </c>
      <c r="BA118" s="174">
        <f t="shared" si="49"/>
        <v>0</v>
      </c>
      <c r="BB118" s="174">
        <f t="shared" si="49"/>
        <v>0</v>
      </c>
      <c r="BC118" s="174">
        <f t="shared" si="49"/>
        <v>0</v>
      </c>
      <c r="BD118" s="174">
        <f t="shared" si="49"/>
        <v>0</v>
      </c>
      <c r="BE118" s="174">
        <f t="shared" si="49"/>
        <v>0</v>
      </c>
      <c r="BF118" s="174">
        <f t="shared" si="49"/>
        <v>0</v>
      </c>
      <c r="BG118" s="174">
        <f t="shared" si="49"/>
        <v>0</v>
      </c>
      <c r="BH118" s="36"/>
      <c r="BI118" s="150"/>
      <c r="BJ118" s="150"/>
      <c r="BK118" s="151"/>
      <c r="BL118" s="151"/>
      <c r="BM118" s="150"/>
      <c r="BN118" s="150"/>
      <c r="BO118" s="36"/>
      <c r="BP118" s="36"/>
    </row>
    <row r="119" spans="1:68" hidden="1" outlineLevel="1" x14ac:dyDescent="0.25">
      <c r="A119" s="167">
        <v>2551</v>
      </c>
      <c r="B119" s="168" t="str" cm="1">
        <f t="array" ref="B119">IF(BI119="","",INDEX(pjName,BI119))</f>
        <v>Bayside Community Center</v>
      </c>
      <c r="C119" s="167" t="str" cm="1">
        <f t="array" ref="C119">IF(BI119="","",IF(INDEX(pjStatus,BI119)="","",INDEX(pjStatus,BI119)))</f>
        <v>Active</v>
      </c>
      <c r="D119" s="167" t="str" cm="1">
        <f t="array" ref="D119">IFERROR(INDEX(tblStaff[Initials],BN119),"")</f>
        <v>PK</v>
      </c>
      <c r="E119" s="169" cm="1">
        <f t="array" ref="E119">IF(OR(BI119="",D119=""),"",IFERROR(SUMPRODUCT((pjNo=A119)*(pjType="Phase")*INDEX(Projects!$I$5:$O$1188,0,MATCH(D119,Projects!$I$4:$O$4,0))*pjWk),0))</f>
        <v>0</v>
      </c>
      <c r="F119" s="169">
        <f t="shared" ref="F119:F126" si="50">IF(BI119="","",SUM(H119:BG119))</f>
        <v>0</v>
      </c>
      <c r="G119" s="169">
        <f t="shared" ref="G119:G126" si="51">IF(OR(E119="",F119=""),"",E119-F119)</f>
        <v>0</v>
      </c>
      <c r="H119" s="170"/>
      <c r="I119" s="170"/>
      <c r="J119" s="170"/>
      <c r="K119" s="170"/>
      <c r="L119" s="170"/>
      <c r="M119" s="170"/>
      <c r="N119" s="170"/>
      <c r="O119" s="170"/>
      <c r="P119" s="170"/>
      <c r="Q119" s="170"/>
      <c r="R119" s="170"/>
      <c r="S119" s="170"/>
      <c r="T119" s="170"/>
      <c r="U119" s="170"/>
      <c r="V119" s="170"/>
      <c r="W119" s="170"/>
      <c r="X119" s="170"/>
      <c r="Y119" s="170"/>
      <c r="Z119" s="170"/>
      <c r="AA119" s="170"/>
      <c r="AB119" s="170"/>
      <c r="AC119" s="170"/>
      <c r="AD119" s="170"/>
      <c r="AE119" s="170"/>
      <c r="AF119" s="170"/>
      <c r="AG119" s="170"/>
      <c r="AH119" s="170"/>
      <c r="AI119" s="170"/>
      <c r="AJ119" s="170"/>
      <c r="AK119" s="170"/>
      <c r="AL119" s="170"/>
      <c r="AM119" s="170"/>
      <c r="AN119" s="170"/>
      <c r="AO119" s="170"/>
      <c r="AP119" s="170"/>
      <c r="AQ119" s="170"/>
      <c r="AR119" s="170"/>
      <c r="AS119" s="170"/>
      <c r="AT119" s="170"/>
      <c r="AU119" s="170"/>
      <c r="AV119" s="170"/>
      <c r="AW119" s="170"/>
      <c r="AX119" s="170"/>
      <c r="AY119" s="170"/>
      <c r="AZ119" s="170"/>
      <c r="BA119" s="170"/>
      <c r="BB119" s="170"/>
      <c r="BC119" s="170"/>
      <c r="BD119" s="170"/>
      <c r="BE119" s="170"/>
      <c r="BF119" s="170"/>
      <c r="BG119" s="170"/>
      <c r="BH119" s="36"/>
      <c r="BI119" s="150" cm="1">
        <f t="array" ref="BI119">IF(A119="","",IFERROR(MATCH(1,INDEX((pjNo=A119)*(pjType="Project"),0),0),""))</f>
        <v>81</v>
      </c>
      <c r="BJ119" s="150" t="str">
        <f>IF(D119="","",IFERROR(INDEX(tblStaff[Staff Level],MATCH(D119,tblStaff[Initials],0)),"?"))</f>
        <v>Principal</v>
      </c>
      <c r="BK119" s="151" t="str" cm="1">
        <f t="array" ref="BK119">IF(BI119="","",INDEX(pjStart,BI119))</f>
        <v/>
      </c>
      <c r="BL119" s="151" t="str" cm="1">
        <f t="array" ref="BL119">IF(BI119="","",INDEX(pjEnd,BI119))</f>
        <v/>
      </c>
      <c r="BM119" s="150">
        <f>IF(BI119="",0,IF(C119="Active",1,IF(C119="Prospective",IF(Assumptions!$B$6="Active only",0,Assumptions!$B$7),0)))</f>
        <v>1</v>
      </c>
      <c r="BN119" s="150">
        <v>1</v>
      </c>
      <c r="BO119" s="36"/>
      <c r="BP119" s="36"/>
    </row>
    <row r="120" spans="1:68" hidden="1" outlineLevel="1" x14ac:dyDescent="0.25">
      <c r="A120" s="167">
        <v>2551</v>
      </c>
      <c r="B120" s="168" t="str" cm="1">
        <f t="array" ref="B120">IF(BI120="","",INDEX(pjName,BI120))</f>
        <v>Bayside Community Center</v>
      </c>
      <c r="C120" s="167" t="str" cm="1">
        <f t="array" ref="C120">IF(BI120="","",IF(INDEX(pjStatus,BI120)="","",INDEX(pjStatus,BI120)))</f>
        <v>Active</v>
      </c>
      <c r="D120" s="167" t="str" cm="1">
        <f t="array" ref="D120">IFERROR(INDEX(tblStaff[Initials],BN120),"")</f>
        <v>DF</v>
      </c>
      <c r="E120" s="169" cm="1">
        <f t="array" ref="E120">IF(OR(BI120="",D120=""),"",IFERROR(SUMPRODUCT((pjNo=A120)*(pjType="Phase")*INDEX(Projects!$I$5:$O$1188,0,MATCH(D120,Projects!$I$4:$O$4,0))*pjWk),0))</f>
        <v>0</v>
      </c>
      <c r="F120" s="169">
        <f t="shared" si="50"/>
        <v>0</v>
      </c>
      <c r="G120" s="169">
        <f t="shared" si="51"/>
        <v>0</v>
      </c>
      <c r="H120" s="170"/>
      <c r="I120" s="170"/>
      <c r="J120" s="170"/>
      <c r="K120" s="170"/>
      <c r="L120" s="170"/>
      <c r="M120" s="170"/>
      <c r="N120" s="170"/>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70"/>
      <c r="AN120" s="170"/>
      <c r="AO120" s="170"/>
      <c r="AP120" s="170"/>
      <c r="AQ120" s="170"/>
      <c r="AR120" s="170"/>
      <c r="AS120" s="170"/>
      <c r="AT120" s="170"/>
      <c r="AU120" s="170"/>
      <c r="AV120" s="170"/>
      <c r="AW120" s="170"/>
      <c r="AX120" s="170"/>
      <c r="AY120" s="170"/>
      <c r="AZ120" s="170"/>
      <c r="BA120" s="170"/>
      <c r="BB120" s="170"/>
      <c r="BC120" s="170"/>
      <c r="BD120" s="170"/>
      <c r="BE120" s="170"/>
      <c r="BF120" s="170"/>
      <c r="BG120" s="170"/>
      <c r="BH120" s="36"/>
      <c r="BI120" s="150" cm="1">
        <f t="array" ref="BI120">IF(A120="","",IFERROR(MATCH(1,INDEX((pjNo=A120)*(pjType="Project"),0),0),""))</f>
        <v>81</v>
      </c>
      <c r="BJ120" s="150" t="str">
        <f>IF(D120="","",IFERROR(INDEX(tblStaff[Staff Level],MATCH(D120,tblStaff[Initials],0)),"?"))</f>
        <v>Principal</v>
      </c>
      <c r="BK120" s="151" t="str" cm="1">
        <f t="array" ref="BK120">IF(BI120="","",INDEX(pjStart,BI120))</f>
        <v/>
      </c>
      <c r="BL120" s="151" t="str" cm="1">
        <f t="array" ref="BL120">IF(BI120="","",INDEX(pjEnd,BI120))</f>
        <v/>
      </c>
      <c r="BM120" s="150">
        <f>IF(BI120="",0,IF(C120="Active",1,IF(C120="Prospective",IF(Assumptions!$B$6="Active only",0,Assumptions!$B$7),0)))</f>
        <v>1</v>
      </c>
      <c r="BN120" s="150">
        <v>2</v>
      </c>
      <c r="BO120" s="36"/>
      <c r="BP120" s="36"/>
    </row>
    <row r="121" spans="1:68" hidden="1" outlineLevel="1" x14ac:dyDescent="0.25">
      <c r="A121" s="158">
        <v>2551</v>
      </c>
      <c r="B121" s="157" t="str" cm="1">
        <f t="array" ref="B121">IF(BI121="","",INDEX(pjName,BI121))</f>
        <v>Bayside Community Center</v>
      </c>
      <c r="C121" s="158" t="str" cm="1">
        <f t="array" ref="C121">IF(BI121="","",IF(INDEX(pjStatus,BI121)="","",INDEX(pjStatus,BI121)))</f>
        <v>Active</v>
      </c>
      <c r="D121" s="158" t="str" cm="1">
        <f t="array" ref="D121">IFERROR(INDEX(tblStaff[Initials],BN121),"")</f>
        <v>KJ</v>
      </c>
      <c r="E121" s="159" cm="1">
        <f t="array" ref="E121">IF(OR(BI121="",D121=""),"",IFERROR(SUMPRODUCT((pjNo=A121)*(pjType="Phase")*INDEX(Projects!$I$5:$O$1188,0,MATCH(D121,Projects!$I$4:$O$4,0))*pjWk),0))</f>
        <v>0</v>
      </c>
      <c r="F121" s="159">
        <f t="shared" si="50"/>
        <v>0</v>
      </c>
      <c r="G121" s="159">
        <f t="shared" si="51"/>
        <v>0</v>
      </c>
      <c r="H121" s="160"/>
      <c r="I121" s="160"/>
      <c r="J121" s="160"/>
      <c r="K121" s="160"/>
      <c r="L121" s="160"/>
      <c r="M121" s="160"/>
      <c r="N121" s="160"/>
      <c r="O121" s="160"/>
      <c r="P121" s="160"/>
      <c r="Q121" s="160"/>
      <c r="R121" s="160"/>
      <c r="S121" s="160"/>
      <c r="T121" s="160"/>
      <c r="U121" s="160"/>
      <c r="V121" s="160"/>
      <c r="W121" s="160"/>
      <c r="X121" s="160"/>
      <c r="Y121" s="160"/>
      <c r="Z121" s="160"/>
      <c r="AA121" s="160"/>
      <c r="AB121" s="160"/>
      <c r="AC121" s="160"/>
      <c r="AD121" s="160"/>
      <c r="AE121" s="160"/>
      <c r="AF121" s="160"/>
      <c r="AG121" s="160"/>
      <c r="AH121" s="160"/>
      <c r="AI121" s="160"/>
      <c r="AJ121" s="160"/>
      <c r="AK121" s="160"/>
      <c r="AL121" s="160"/>
      <c r="AM121" s="160"/>
      <c r="AN121" s="160"/>
      <c r="AO121" s="160"/>
      <c r="AP121" s="160"/>
      <c r="AQ121" s="160"/>
      <c r="AR121" s="160"/>
      <c r="AS121" s="160"/>
      <c r="AT121" s="160"/>
      <c r="AU121" s="160"/>
      <c r="AV121" s="160"/>
      <c r="AW121" s="160"/>
      <c r="AX121" s="160"/>
      <c r="AY121" s="160"/>
      <c r="AZ121" s="160"/>
      <c r="BA121" s="160"/>
      <c r="BB121" s="160"/>
      <c r="BC121" s="160"/>
      <c r="BD121" s="160"/>
      <c r="BE121" s="160"/>
      <c r="BF121" s="160"/>
      <c r="BG121" s="160"/>
      <c r="BH121" s="36"/>
      <c r="BI121" s="150" cm="1">
        <f t="array" ref="BI121">IF(A121="","",IFERROR(MATCH(1,INDEX((pjNo=A121)*(pjType="Project"),0),0),""))</f>
        <v>81</v>
      </c>
      <c r="BJ121" s="150" t="str">
        <f>IF(D121="","",IFERROR(INDEX(tblStaff[Staff Level],MATCH(D121,tblStaff[Initials],0)),"?"))</f>
        <v>Director</v>
      </c>
      <c r="BK121" s="151" t="str" cm="1">
        <f t="array" ref="BK121">IF(BI121="","",INDEX(pjStart,BI121))</f>
        <v/>
      </c>
      <c r="BL121" s="151" t="str" cm="1">
        <f t="array" ref="BL121">IF(BI121="","",INDEX(pjEnd,BI121))</f>
        <v/>
      </c>
      <c r="BM121" s="150">
        <f>IF(BI121="",0,IF(C121="Active",1,IF(C121="Prospective",IF(Assumptions!$B$6="Active only",0,Assumptions!$B$7),0)))</f>
        <v>1</v>
      </c>
      <c r="BN121" s="150">
        <v>3</v>
      </c>
      <c r="BO121" s="36"/>
      <c r="BP121" s="36"/>
    </row>
    <row r="122" spans="1:68" hidden="1" outlineLevel="1" x14ac:dyDescent="0.25">
      <c r="A122" s="158">
        <v>2551</v>
      </c>
      <c r="B122" s="157" t="str" cm="1">
        <f t="array" ref="B122">IF(BI122="","",INDEX(pjName,BI122))</f>
        <v>Bayside Community Center</v>
      </c>
      <c r="C122" s="158" t="str" cm="1">
        <f t="array" ref="C122">IF(BI122="","",IF(INDEX(pjStatus,BI122)="","",INDEX(pjStatus,BI122)))</f>
        <v>Active</v>
      </c>
      <c r="D122" s="158" t="str" cm="1">
        <f t="array" ref="D122">IFERROR(INDEX(tblStaff[Initials],BN122),"")</f>
        <v>HL</v>
      </c>
      <c r="E122" s="159" cm="1">
        <f t="array" ref="E122">IF(OR(BI122="",D122=""),"",IFERROR(SUMPRODUCT((pjNo=A122)*(pjType="Phase")*INDEX(Projects!$I$5:$O$1188,0,MATCH(D122,Projects!$I$4:$O$4,0))*pjWk),0))</f>
        <v>0</v>
      </c>
      <c r="F122" s="159">
        <f t="shared" si="50"/>
        <v>0</v>
      </c>
      <c r="G122" s="159">
        <f t="shared" si="51"/>
        <v>0</v>
      </c>
      <c r="H122" s="160"/>
      <c r="I122" s="160"/>
      <c r="J122" s="160"/>
      <c r="K122" s="160"/>
      <c r="L122" s="160"/>
      <c r="M122" s="160"/>
      <c r="N122" s="160"/>
      <c r="O122" s="160"/>
      <c r="P122" s="160"/>
      <c r="Q122" s="160"/>
      <c r="R122" s="160"/>
      <c r="S122" s="160"/>
      <c r="T122" s="160"/>
      <c r="U122" s="160"/>
      <c r="V122" s="160"/>
      <c r="W122" s="160"/>
      <c r="X122" s="160"/>
      <c r="Y122" s="160"/>
      <c r="Z122" s="160"/>
      <c r="AA122" s="160"/>
      <c r="AB122" s="160"/>
      <c r="AC122" s="160"/>
      <c r="AD122" s="160"/>
      <c r="AE122" s="160"/>
      <c r="AF122" s="160"/>
      <c r="AG122" s="160"/>
      <c r="AH122" s="160"/>
      <c r="AI122" s="160"/>
      <c r="AJ122" s="160"/>
      <c r="AK122" s="160"/>
      <c r="AL122" s="160"/>
      <c r="AM122" s="160"/>
      <c r="AN122" s="160"/>
      <c r="AO122" s="160"/>
      <c r="AP122" s="160"/>
      <c r="AQ122" s="160"/>
      <c r="AR122" s="160"/>
      <c r="AS122" s="160"/>
      <c r="AT122" s="160"/>
      <c r="AU122" s="160"/>
      <c r="AV122" s="160"/>
      <c r="AW122" s="160"/>
      <c r="AX122" s="160"/>
      <c r="AY122" s="160"/>
      <c r="AZ122" s="160"/>
      <c r="BA122" s="160"/>
      <c r="BB122" s="160"/>
      <c r="BC122" s="160"/>
      <c r="BD122" s="160"/>
      <c r="BE122" s="160"/>
      <c r="BF122" s="160"/>
      <c r="BG122" s="160"/>
      <c r="BH122" s="36"/>
      <c r="BI122" s="150" cm="1">
        <f t="array" ref="BI122">IF(A122="","",IFERROR(MATCH(1,INDEX((pjNo=A122)*(pjType="Project"),0),0),""))</f>
        <v>81</v>
      </c>
      <c r="BJ122" s="150" t="str">
        <f>IF(D122="","",IFERROR(INDEX(tblStaff[Staff Level],MATCH(D122,tblStaff[Initials],0)),"?"))</f>
        <v>Senior Designer</v>
      </c>
      <c r="BK122" s="151" t="str" cm="1">
        <f t="array" ref="BK122">IF(BI122="","",INDEX(pjStart,BI122))</f>
        <v/>
      </c>
      <c r="BL122" s="151" t="str" cm="1">
        <f t="array" ref="BL122">IF(BI122="","",INDEX(pjEnd,BI122))</f>
        <v/>
      </c>
      <c r="BM122" s="150">
        <f>IF(BI122="",0,IF(C122="Active",1,IF(C122="Prospective",IF(Assumptions!$B$6="Active only",0,Assumptions!$B$7),0)))</f>
        <v>1</v>
      </c>
      <c r="BN122" s="150">
        <v>4</v>
      </c>
      <c r="BO122" s="36"/>
      <c r="BP122" s="36"/>
    </row>
    <row r="123" spans="1:68" hidden="1" outlineLevel="1" x14ac:dyDescent="0.25">
      <c r="A123" s="158">
        <v>2551</v>
      </c>
      <c r="B123" s="157" t="str" cm="1">
        <f t="array" ref="B123">IF(BI123="","",INDEX(pjName,BI123))</f>
        <v>Bayside Community Center</v>
      </c>
      <c r="C123" s="158" t="str" cm="1">
        <f t="array" ref="C123">IF(BI123="","",IF(INDEX(pjStatus,BI123)="","",INDEX(pjStatus,BI123)))</f>
        <v>Active</v>
      </c>
      <c r="D123" s="158" t="str" cm="1">
        <f t="array" ref="D123">IFERROR(INDEX(tblStaff[Initials],BN123),"")</f>
        <v>EHH</v>
      </c>
      <c r="E123" s="159" cm="1">
        <f t="array" ref="E123">IF(OR(BI123="",D123=""),"",IFERROR(SUMPRODUCT((pjNo=A123)*(pjType="Phase")*INDEX(Projects!$I$5:$O$1188,0,MATCH(D123,Projects!$I$4:$O$4,0))*pjWk),0))</f>
        <v>0</v>
      </c>
      <c r="F123" s="159">
        <f t="shared" si="50"/>
        <v>0</v>
      </c>
      <c r="G123" s="159">
        <f t="shared" si="51"/>
        <v>0</v>
      </c>
      <c r="H123" s="160"/>
      <c r="I123" s="160"/>
      <c r="J123" s="160"/>
      <c r="K123" s="160"/>
      <c r="L123" s="160"/>
      <c r="M123" s="160"/>
      <c r="N123" s="160"/>
      <c r="O123" s="160"/>
      <c r="P123" s="160"/>
      <c r="Q123" s="160"/>
      <c r="R123" s="160"/>
      <c r="S123" s="160"/>
      <c r="T123" s="160"/>
      <c r="U123" s="160"/>
      <c r="V123" s="160"/>
      <c r="W123" s="160"/>
      <c r="X123" s="160"/>
      <c r="Y123" s="160"/>
      <c r="Z123" s="160"/>
      <c r="AA123" s="160"/>
      <c r="AB123" s="160"/>
      <c r="AC123" s="160"/>
      <c r="AD123" s="160"/>
      <c r="AE123" s="160"/>
      <c r="AF123" s="160"/>
      <c r="AG123" s="160"/>
      <c r="AH123" s="160"/>
      <c r="AI123" s="160"/>
      <c r="AJ123" s="160"/>
      <c r="AK123" s="160"/>
      <c r="AL123" s="160"/>
      <c r="AM123" s="160"/>
      <c r="AN123" s="160"/>
      <c r="AO123" s="160"/>
      <c r="AP123" s="160"/>
      <c r="AQ123" s="160"/>
      <c r="AR123" s="160"/>
      <c r="AS123" s="160"/>
      <c r="AT123" s="160"/>
      <c r="AU123" s="160"/>
      <c r="AV123" s="160"/>
      <c r="AW123" s="160"/>
      <c r="AX123" s="160"/>
      <c r="AY123" s="160"/>
      <c r="AZ123" s="160"/>
      <c r="BA123" s="160"/>
      <c r="BB123" s="160"/>
      <c r="BC123" s="160"/>
      <c r="BD123" s="160"/>
      <c r="BE123" s="160"/>
      <c r="BF123" s="160"/>
      <c r="BG123" s="160"/>
      <c r="BH123" s="36"/>
      <c r="BI123" s="150" cm="1">
        <f t="array" ref="BI123">IF(A123="","",IFERROR(MATCH(1,INDEX((pjNo=A123)*(pjType="Project"),0),0),""))</f>
        <v>81</v>
      </c>
      <c r="BJ123" s="150" t="str">
        <f>IF(D123="","",IFERROR(INDEX(tblStaff[Staff Level],MATCH(D123,tblStaff[Initials],0)),"?"))</f>
        <v>Mid Level Designer</v>
      </c>
      <c r="BK123" s="151" t="str" cm="1">
        <f t="array" ref="BK123">IF(BI123="","",INDEX(pjStart,BI123))</f>
        <v/>
      </c>
      <c r="BL123" s="151" t="str" cm="1">
        <f t="array" ref="BL123">IF(BI123="","",INDEX(pjEnd,BI123))</f>
        <v/>
      </c>
      <c r="BM123" s="150">
        <f>IF(BI123="",0,IF(C123="Active",1,IF(C123="Prospective",IF(Assumptions!$B$6="Active only",0,Assumptions!$B$7),0)))</f>
        <v>1</v>
      </c>
      <c r="BN123" s="150">
        <v>5</v>
      </c>
      <c r="BO123" s="36"/>
      <c r="BP123" s="36"/>
    </row>
    <row r="124" spans="1:68" hidden="1" outlineLevel="1" x14ac:dyDescent="0.25">
      <c r="A124" s="158">
        <v>2551</v>
      </c>
      <c r="B124" s="157" t="str" cm="1">
        <f t="array" ref="B124">IF(BI124="","",INDEX(pjName,BI124))</f>
        <v>Bayside Community Center</v>
      </c>
      <c r="C124" s="158" t="str" cm="1">
        <f t="array" ref="C124">IF(BI124="","",IF(INDEX(pjStatus,BI124)="","",INDEX(pjStatus,BI124)))</f>
        <v>Active</v>
      </c>
      <c r="D124" s="158" t="str" cm="1">
        <f t="array" ref="D124">IFERROR(INDEX(tblStaff[Initials],BN124),"")</f>
        <v>KD</v>
      </c>
      <c r="E124" s="159" cm="1">
        <f t="array" ref="E124">IF(OR(BI124="",D124=""),"",IFERROR(SUMPRODUCT((pjNo=A124)*(pjType="Phase")*INDEX(Projects!$I$5:$O$1188,0,MATCH(D124,Projects!$I$4:$O$4,0))*pjWk),0))</f>
        <v>0</v>
      </c>
      <c r="F124" s="159">
        <f t="shared" si="50"/>
        <v>0</v>
      </c>
      <c r="G124" s="159">
        <f t="shared" si="51"/>
        <v>0</v>
      </c>
      <c r="H124" s="160"/>
      <c r="I124" s="160"/>
      <c r="J124" s="160"/>
      <c r="K124" s="160"/>
      <c r="L124" s="160"/>
      <c r="M124" s="160"/>
      <c r="N124" s="160"/>
      <c r="O124" s="160"/>
      <c r="P124" s="160"/>
      <c r="Q124" s="160"/>
      <c r="R124" s="160"/>
      <c r="S124" s="160"/>
      <c r="T124" s="160"/>
      <c r="U124" s="160"/>
      <c r="V124" s="160"/>
      <c r="W124" s="160"/>
      <c r="X124" s="160"/>
      <c r="Y124" s="160"/>
      <c r="Z124" s="160"/>
      <c r="AA124" s="160"/>
      <c r="AB124" s="160"/>
      <c r="AC124" s="160"/>
      <c r="AD124" s="160"/>
      <c r="AE124" s="160"/>
      <c r="AF124" s="160"/>
      <c r="AG124" s="160"/>
      <c r="AH124" s="160"/>
      <c r="AI124" s="160"/>
      <c r="AJ124" s="160"/>
      <c r="AK124" s="160"/>
      <c r="AL124" s="160"/>
      <c r="AM124" s="160"/>
      <c r="AN124" s="160"/>
      <c r="AO124" s="160"/>
      <c r="AP124" s="160"/>
      <c r="AQ124" s="160"/>
      <c r="AR124" s="160"/>
      <c r="AS124" s="160"/>
      <c r="AT124" s="160"/>
      <c r="AU124" s="160"/>
      <c r="AV124" s="160"/>
      <c r="AW124" s="160"/>
      <c r="AX124" s="160"/>
      <c r="AY124" s="160"/>
      <c r="AZ124" s="160"/>
      <c r="BA124" s="160"/>
      <c r="BB124" s="160"/>
      <c r="BC124" s="160"/>
      <c r="BD124" s="160"/>
      <c r="BE124" s="160"/>
      <c r="BF124" s="160"/>
      <c r="BG124" s="160"/>
      <c r="BH124" s="36"/>
      <c r="BI124" s="150" cm="1">
        <f t="array" ref="BI124">IF(A124="","",IFERROR(MATCH(1,INDEX((pjNo=A124)*(pjType="Project"),0),0),""))</f>
        <v>81</v>
      </c>
      <c r="BJ124" s="150" t="str">
        <f>IF(D124="","",IFERROR(INDEX(tblStaff[Staff Level],MATCH(D124,tblStaff[Initials],0)),"?"))</f>
        <v>Mid Level Designer</v>
      </c>
      <c r="BK124" s="151" t="str" cm="1">
        <f t="array" ref="BK124">IF(BI124="","",INDEX(pjStart,BI124))</f>
        <v/>
      </c>
      <c r="BL124" s="151" t="str" cm="1">
        <f t="array" ref="BL124">IF(BI124="","",INDEX(pjEnd,BI124))</f>
        <v/>
      </c>
      <c r="BM124" s="150">
        <f>IF(BI124="",0,IF(C124="Active",1,IF(C124="Prospective",IF(Assumptions!$B$6="Active only",0,Assumptions!$B$7),0)))</f>
        <v>1</v>
      </c>
      <c r="BN124" s="150">
        <v>6</v>
      </c>
      <c r="BO124" s="36"/>
      <c r="BP124" s="36"/>
    </row>
    <row r="125" spans="1:68" hidden="1" outlineLevel="1" x14ac:dyDescent="0.25">
      <c r="A125" s="158">
        <v>2551</v>
      </c>
      <c r="B125" s="157" t="str" cm="1">
        <f t="array" ref="B125">IF(BI125="","",INDEX(pjName,BI125))</f>
        <v>Bayside Community Center</v>
      </c>
      <c r="C125" s="158" t="str" cm="1">
        <f t="array" ref="C125">IF(BI125="","",IF(INDEX(pjStatus,BI125)="","",INDEX(pjStatus,BI125)))</f>
        <v>Active</v>
      </c>
      <c r="D125" s="158" t="str" cm="1">
        <f t="array" ref="D125">IFERROR(INDEX(tblStaff[Initials],BN125),"")</f>
        <v>XX</v>
      </c>
      <c r="E125" s="159" cm="1">
        <f t="array" ref="E125">IF(OR(BI125="",D125=""),"",IFERROR(SUMPRODUCT((pjNo=A125)*(pjType="Phase")*INDEX(Projects!$I$5:$O$1188,0,MATCH(D125,Projects!$I$4:$O$4,0))*pjWk),0))</f>
        <v>0</v>
      </c>
      <c r="F125" s="159">
        <f t="shared" si="50"/>
        <v>0</v>
      </c>
      <c r="G125" s="159">
        <f t="shared" si="51"/>
        <v>0</v>
      </c>
      <c r="H125" s="160"/>
      <c r="I125" s="160"/>
      <c r="J125" s="160"/>
      <c r="K125" s="160"/>
      <c r="L125" s="160"/>
      <c r="M125" s="160"/>
      <c r="N125" s="160"/>
      <c r="O125" s="160"/>
      <c r="P125" s="160"/>
      <c r="Q125" s="160"/>
      <c r="R125" s="160"/>
      <c r="S125" s="160"/>
      <c r="T125" s="160"/>
      <c r="U125" s="160"/>
      <c r="V125" s="160"/>
      <c r="W125" s="160"/>
      <c r="X125" s="160"/>
      <c r="Y125" s="160"/>
      <c r="Z125" s="160"/>
      <c r="AA125" s="160"/>
      <c r="AB125" s="160"/>
      <c r="AC125" s="160"/>
      <c r="AD125" s="160"/>
      <c r="AE125" s="160"/>
      <c r="AF125" s="160"/>
      <c r="AG125" s="160"/>
      <c r="AH125" s="160"/>
      <c r="AI125" s="160"/>
      <c r="AJ125" s="160"/>
      <c r="AK125" s="160"/>
      <c r="AL125" s="160"/>
      <c r="AM125" s="160"/>
      <c r="AN125" s="160"/>
      <c r="AO125" s="160"/>
      <c r="AP125" s="160"/>
      <c r="AQ125" s="160"/>
      <c r="AR125" s="160"/>
      <c r="AS125" s="160"/>
      <c r="AT125" s="160"/>
      <c r="AU125" s="160"/>
      <c r="AV125" s="160"/>
      <c r="AW125" s="160"/>
      <c r="AX125" s="160"/>
      <c r="AY125" s="160"/>
      <c r="AZ125" s="160"/>
      <c r="BA125" s="160"/>
      <c r="BB125" s="160"/>
      <c r="BC125" s="160"/>
      <c r="BD125" s="160"/>
      <c r="BE125" s="160"/>
      <c r="BF125" s="160"/>
      <c r="BG125" s="160"/>
      <c r="BH125" s="36"/>
      <c r="BI125" s="150" cm="1">
        <f t="array" ref="BI125">IF(A125="","",IFERROR(MATCH(1,INDEX((pjNo=A125)*(pjType="Project"),0),0),""))</f>
        <v>81</v>
      </c>
      <c r="BJ125" s="150" t="str">
        <f>IF(D125="","",IFERROR(INDEX(tblStaff[Staff Level],MATCH(D125,tblStaff[Initials],0)),"?"))</f>
        <v>Project Designer</v>
      </c>
      <c r="BK125" s="151" t="str" cm="1">
        <f t="array" ref="BK125">IF(BI125="","",INDEX(pjStart,BI125))</f>
        <v/>
      </c>
      <c r="BL125" s="151" t="str" cm="1">
        <f t="array" ref="BL125">IF(BI125="","",INDEX(pjEnd,BI125))</f>
        <v/>
      </c>
      <c r="BM125" s="150">
        <f>IF(BI125="",0,IF(C125="Active",1,IF(C125="Prospective",IF(Assumptions!$B$6="Active only",0,Assumptions!$B$7),0)))</f>
        <v>1</v>
      </c>
      <c r="BN125" s="150">
        <v>7</v>
      </c>
      <c r="BO125" s="36"/>
      <c r="BP125" s="36"/>
    </row>
    <row r="126" spans="1:68" hidden="1" outlineLevel="1" x14ac:dyDescent="0.25">
      <c r="A126" s="162">
        <v>2551</v>
      </c>
      <c r="B126" s="161" t="str" cm="1">
        <f t="array" ref="B126">IF(BI126="","",INDEX(pjName,BI126))</f>
        <v>Bayside Community Center</v>
      </c>
      <c r="C126" s="162" t="str" cm="1">
        <f t="array" ref="C126">IF(BI126="","",IF(INDEX(pjStatus,BI126)="","",INDEX(pjStatus,BI126)))</f>
        <v>Active</v>
      </c>
      <c r="D126" s="162" t="str" cm="1">
        <f t="array" ref="D126">IFERROR(INDEX(tblStaff[Initials],BN126),"")</f>
        <v/>
      </c>
      <c r="E126" s="163" t="str" cm="1">
        <f t="array" ref="E126">IF(OR(BI126="",D126=""),"",IFERROR(SUMPRODUCT((pjNo=A126)*(pjType="Phase")*INDEX(Projects!$I$5:$O$1188,0,MATCH(D126,Projects!$I$4:$O$4,0))*pjWk),0))</f>
        <v/>
      </c>
      <c r="F126" s="163">
        <f t="shared" si="50"/>
        <v>0</v>
      </c>
      <c r="G126" s="163" t="str">
        <f t="shared" si="51"/>
        <v/>
      </c>
      <c r="H126" s="164"/>
      <c r="I126" s="164"/>
      <c r="J126" s="164"/>
      <c r="K126" s="164"/>
      <c r="L126" s="164"/>
      <c r="M126" s="164"/>
      <c r="N126" s="164"/>
      <c r="O126" s="164"/>
      <c r="P126" s="164"/>
      <c r="Q126" s="164"/>
      <c r="R126" s="164"/>
      <c r="S126" s="164"/>
      <c r="T126" s="164"/>
      <c r="U126" s="164"/>
      <c r="V126" s="164"/>
      <c r="W126" s="164"/>
      <c r="X126" s="164"/>
      <c r="Y126" s="164"/>
      <c r="Z126" s="164"/>
      <c r="AA126" s="164"/>
      <c r="AB126" s="164"/>
      <c r="AC126" s="164"/>
      <c r="AD126" s="164"/>
      <c r="AE126" s="164"/>
      <c r="AF126" s="164"/>
      <c r="AG126" s="164"/>
      <c r="AH126" s="164"/>
      <c r="AI126" s="164"/>
      <c r="AJ126" s="164"/>
      <c r="AK126" s="164"/>
      <c r="AL126" s="164"/>
      <c r="AM126" s="164"/>
      <c r="AN126" s="164"/>
      <c r="AO126" s="164"/>
      <c r="AP126" s="164"/>
      <c r="AQ126" s="164"/>
      <c r="AR126" s="164"/>
      <c r="AS126" s="164"/>
      <c r="AT126" s="164"/>
      <c r="AU126" s="164"/>
      <c r="AV126" s="164"/>
      <c r="AW126" s="164"/>
      <c r="AX126" s="164"/>
      <c r="AY126" s="164"/>
      <c r="AZ126" s="164"/>
      <c r="BA126" s="164"/>
      <c r="BB126" s="164"/>
      <c r="BC126" s="164"/>
      <c r="BD126" s="164"/>
      <c r="BE126" s="164"/>
      <c r="BF126" s="164"/>
      <c r="BG126" s="164"/>
      <c r="BH126" s="36"/>
      <c r="BI126" s="150" cm="1">
        <f t="array" ref="BI126">IF(A126="","",IFERROR(MATCH(1,INDEX((pjNo=A126)*(pjType="Project"),0),0),""))</f>
        <v>81</v>
      </c>
      <c r="BJ126" s="150" t="str">
        <f>IF(D126="","",IFERROR(INDEX(tblStaff[Staff Level],MATCH(D126,tblStaff[Initials],0)),"?"))</f>
        <v/>
      </c>
      <c r="BK126" s="151" t="str" cm="1">
        <f t="array" ref="BK126">IF(BI126="","",INDEX(pjStart,BI126))</f>
        <v/>
      </c>
      <c r="BL126" s="151" t="str" cm="1">
        <f t="array" ref="BL126">IF(BI126="","",INDEX(pjEnd,BI126))</f>
        <v/>
      </c>
      <c r="BM126" s="150">
        <f>IF(BI126="",0,IF(C126="Active",1,IF(C126="Prospective",IF(Assumptions!$B$6="Active only",0,Assumptions!$B$7),0)))</f>
        <v>1</v>
      </c>
      <c r="BN126" s="150">
        <v>8</v>
      </c>
      <c r="BO126" s="36"/>
      <c r="BP126" s="36"/>
    </row>
    <row r="127" spans="1:68" collapsed="1" x14ac:dyDescent="0.25">
      <c r="A127" s="171"/>
      <c r="B127" s="173" t="str">
        <f>IF(A128="","",A128&amp;" · "&amp;B128)</f>
        <v>2560 · Willowmere Trail</v>
      </c>
      <c r="C127" s="171" t="str">
        <f>IF(A128="","",C128)</f>
        <v>Active</v>
      </c>
      <c r="D127" s="171"/>
      <c r="E127" s="172">
        <f>SUM(E128:E135)</f>
        <v>0</v>
      </c>
      <c r="F127" s="172">
        <f>SUM(F128:F135)</f>
        <v>0</v>
      </c>
      <c r="G127" s="172" t="str">
        <f>IF(E127=0,"",E127-F127)</f>
        <v/>
      </c>
      <c r="H127" s="174">
        <f t="shared" ref="H127:AM127" si="52">SUM(H128:H135)</f>
        <v>0</v>
      </c>
      <c r="I127" s="174">
        <f t="shared" si="52"/>
        <v>0</v>
      </c>
      <c r="J127" s="174">
        <f t="shared" si="52"/>
        <v>0</v>
      </c>
      <c r="K127" s="174">
        <f t="shared" si="52"/>
        <v>0</v>
      </c>
      <c r="L127" s="174">
        <f t="shared" si="52"/>
        <v>0</v>
      </c>
      <c r="M127" s="174">
        <f t="shared" si="52"/>
        <v>0</v>
      </c>
      <c r="N127" s="174">
        <f t="shared" si="52"/>
        <v>0</v>
      </c>
      <c r="O127" s="174">
        <f t="shared" si="52"/>
        <v>0</v>
      </c>
      <c r="P127" s="174">
        <f t="shared" si="52"/>
        <v>0</v>
      </c>
      <c r="Q127" s="174">
        <f t="shared" si="52"/>
        <v>0</v>
      </c>
      <c r="R127" s="174">
        <f t="shared" si="52"/>
        <v>0</v>
      </c>
      <c r="S127" s="174">
        <f t="shared" si="52"/>
        <v>0</v>
      </c>
      <c r="T127" s="174">
        <f t="shared" si="52"/>
        <v>0</v>
      </c>
      <c r="U127" s="174">
        <f t="shared" si="52"/>
        <v>0</v>
      </c>
      <c r="V127" s="174">
        <f t="shared" si="52"/>
        <v>0</v>
      </c>
      <c r="W127" s="174">
        <f t="shared" si="52"/>
        <v>0</v>
      </c>
      <c r="X127" s="174">
        <f t="shared" si="52"/>
        <v>0</v>
      </c>
      <c r="Y127" s="174">
        <f t="shared" si="52"/>
        <v>0</v>
      </c>
      <c r="Z127" s="174">
        <f t="shared" si="52"/>
        <v>0</v>
      </c>
      <c r="AA127" s="174">
        <f t="shared" si="52"/>
        <v>0</v>
      </c>
      <c r="AB127" s="174">
        <f t="shared" si="52"/>
        <v>0</v>
      </c>
      <c r="AC127" s="174">
        <f t="shared" si="52"/>
        <v>0</v>
      </c>
      <c r="AD127" s="174">
        <f t="shared" si="52"/>
        <v>0</v>
      </c>
      <c r="AE127" s="174">
        <f t="shared" si="52"/>
        <v>0</v>
      </c>
      <c r="AF127" s="174">
        <f t="shared" si="52"/>
        <v>0</v>
      </c>
      <c r="AG127" s="174">
        <f t="shared" si="52"/>
        <v>0</v>
      </c>
      <c r="AH127" s="174">
        <f t="shared" si="52"/>
        <v>0</v>
      </c>
      <c r="AI127" s="174">
        <f t="shared" si="52"/>
        <v>0</v>
      </c>
      <c r="AJ127" s="174">
        <f t="shared" si="52"/>
        <v>0</v>
      </c>
      <c r="AK127" s="174">
        <f t="shared" si="52"/>
        <v>0</v>
      </c>
      <c r="AL127" s="174">
        <f t="shared" si="52"/>
        <v>0</v>
      </c>
      <c r="AM127" s="174">
        <f t="shared" si="52"/>
        <v>0</v>
      </c>
      <c r="AN127" s="174">
        <f t="shared" ref="AN127:BG127" si="53">SUM(AN128:AN135)</f>
        <v>0</v>
      </c>
      <c r="AO127" s="174">
        <f t="shared" si="53"/>
        <v>0</v>
      </c>
      <c r="AP127" s="174">
        <f t="shared" si="53"/>
        <v>0</v>
      </c>
      <c r="AQ127" s="174">
        <f t="shared" si="53"/>
        <v>0</v>
      </c>
      <c r="AR127" s="174">
        <f t="shared" si="53"/>
        <v>0</v>
      </c>
      <c r="AS127" s="174">
        <f t="shared" si="53"/>
        <v>0</v>
      </c>
      <c r="AT127" s="174">
        <f t="shared" si="53"/>
        <v>0</v>
      </c>
      <c r="AU127" s="174">
        <f t="shared" si="53"/>
        <v>0</v>
      </c>
      <c r="AV127" s="174">
        <f t="shared" si="53"/>
        <v>0</v>
      </c>
      <c r="AW127" s="174">
        <f t="shared" si="53"/>
        <v>0</v>
      </c>
      <c r="AX127" s="174">
        <f t="shared" si="53"/>
        <v>0</v>
      </c>
      <c r="AY127" s="174">
        <f t="shared" si="53"/>
        <v>0</v>
      </c>
      <c r="AZ127" s="174">
        <f t="shared" si="53"/>
        <v>0</v>
      </c>
      <c r="BA127" s="174">
        <f t="shared" si="53"/>
        <v>0</v>
      </c>
      <c r="BB127" s="174">
        <f t="shared" si="53"/>
        <v>0</v>
      </c>
      <c r="BC127" s="174">
        <f t="shared" si="53"/>
        <v>0</v>
      </c>
      <c r="BD127" s="174">
        <f t="shared" si="53"/>
        <v>0</v>
      </c>
      <c r="BE127" s="174">
        <f t="shared" si="53"/>
        <v>0</v>
      </c>
      <c r="BF127" s="174">
        <f t="shared" si="53"/>
        <v>0</v>
      </c>
      <c r="BG127" s="174">
        <f t="shared" si="53"/>
        <v>0</v>
      </c>
      <c r="BH127" s="36"/>
      <c r="BI127" s="150"/>
      <c r="BJ127" s="150"/>
      <c r="BK127" s="151"/>
      <c r="BL127" s="151"/>
      <c r="BM127" s="150"/>
      <c r="BN127" s="150"/>
      <c r="BO127" s="36"/>
      <c r="BP127" s="36"/>
    </row>
    <row r="128" spans="1:68" hidden="1" outlineLevel="1" x14ac:dyDescent="0.25">
      <c r="A128" s="167">
        <v>2560</v>
      </c>
      <c r="B128" s="168" t="str" cm="1">
        <f t="array" ref="B128">IF(BI128="","",INDEX(pjName,BI128))</f>
        <v>Willowmere Trail</v>
      </c>
      <c r="C128" s="167" t="str" cm="1">
        <f t="array" ref="C128">IF(BI128="","",IF(INDEX(pjStatus,BI128)="","",INDEX(pjStatus,BI128)))</f>
        <v>Active</v>
      </c>
      <c r="D128" s="167" t="str" cm="1">
        <f t="array" ref="D128">IFERROR(INDEX(tblStaff[Initials],BN128),"")</f>
        <v>PK</v>
      </c>
      <c r="E128" s="169" cm="1">
        <f t="array" ref="E128">IF(OR(BI128="",D128=""),"",IFERROR(SUMPRODUCT((pjNo=A128)*(pjType="Phase")*INDEX(Projects!$I$5:$O$1188,0,MATCH(D128,Projects!$I$4:$O$4,0))*pjWk),0))</f>
        <v>0</v>
      </c>
      <c r="F128" s="169">
        <f t="shared" ref="F128:F135" si="54">IF(BI128="","",SUM(H128:BG128))</f>
        <v>0</v>
      </c>
      <c r="G128" s="169">
        <f t="shared" ref="G128:G135" si="55">IF(OR(E128="",F128=""),"",E128-F128)</f>
        <v>0</v>
      </c>
      <c r="H128" s="170"/>
      <c r="I128" s="170"/>
      <c r="J128" s="170"/>
      <c r="K128" s="170"/>
      <c r="L128" s="170"/>
      <c r="M128" s="170"/>
      <c r="N128" s="170"/>
      <c r="O128" s="170"/>
      <c r="P128" s="170"/>
      <c r="Q128" s="170"/>
      <c r="R128" s="170"/>
      <c r="S128" s="170"/>
      <c r="T128" s="170"/>
      <c r="U128" s="170"/>
      <c r="V128" s="170"/>
      <c r="W128" s="170"/>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0"/>
      <c r="AT128" s="170"/>
      <c r="AU128" s="170"/>
      <c r="AV128" s="170"/>
      <c r="AW128" s="170"/>
      <c r="AX128" s="170"/>
      <c r="AY128" s="170"/>
      <c r="AZ128" s="170"/>
      <c r="BA128" s="170"/>
      <c r="BB128" s="170"/>
      <c r="BC128" s="170"/>
      <c r="BD128" s="170"/>
      <c r="BE128" s="170"/>
      <c r="BF128" s="170"/>
      <c r="BG128" s="170"/>
      <c r="BH128" s="36"/>
      <c r="BI128" s="150" cm="1">
        <f t="array" ref="BI128">IF(A128="","",IFERROR(MATCH(1,INDEX((pjNo=A128)*(pjType="Project"),0),0),""))</f>
        <v>90</v>
      </c>
      <c r="BJ128" s="150" t="str">
        <f>IF(D128="","",IFERROR(INDEX(tblStaff[Staff Level],MATCH(D128,tblStaff[Initials],0)),"?"))</f>
        <v>Principal</v>
      </c>
      <c r="BK128" s="151" t="str" cm="1">
        <f t="array" ref="BK128">IF(BI128="","",INDEX(pjStart,BI128))</f>
        <v/>
      </c>
      <c r="BL128" s="151" t="str" cm="1">
        <f t="array" ref="BL128">IF(BI128="","",INDEX(pjEnd,BI128))</f>
        <v/>
      </c>
      <c r="BM128" s="150">
        <f>IF(BI128="",0,IF(C128="Active",1,IF(C128="Prospective",IF(Assumptions!$B$6="Active only",0,Assumptions!$B$7),0)))</f>
        <v>1</v>
      </c>
      <c r="BN128" s="150">
        <v>1</v>
      </c>
      <c r="BO128" s="36"/>
      <c r="BP128" s="36"/>
    </row>
    <row r="129" spans="1:68" hidden="1" outlineLevel="1" x14ac:dyDescent="0.25">
      <c r="A129" s="167">
        <v>2560</v>
      </c>
      <c r="B129" s="168" t="str" cm="1">
        <f t="array" ref="B129">IF(BI129="","",INDEX(pjName,BI129))</f>
        <v>Willowmere Trail</v>
      </c>
      <c r="C129" s="167" t="str" cm="1">
        <f t="array" ref="C129">IF(BI129="","",IF(INDEX(pjStatus,BI129)="","",INDEX(pjStatus,BI129)))</f>
        <v>Active</v>
      </c>
      <c r="D129" s="167" t="str" cm="1">
        <f t="array" ref="D129">IFERROR(INDEX(tblStaff[Initials],BN129),"")</f>
        <v>DF</v>
      </c>
      <c r="E129" s="169" cm="1">
        <f t="array" ref="E129">IF(OR(BI129="",D129=""),"",IFERROR(SUMPRODUCT((pjNo=A129)*(pjType="Phase")*INDEX(Projects!$I$5:$O$1188,0,MATCH(D129,Projects!$I$4:$O$4,0))*pjWk),0))</f>
        <v>0</v>
      </c>
      <c r="F129" s="169">
        <f t="shared" si="54"/>
        <v>0</v>
      </c>
      <c r="G129" s="169">
        <f t="shared" si="55"/>
        <v>0</v>
      </c>
      <c r="H129" s="170"/>
      <c r="I129" s="170"/>
      <c r="J129" s="170"/>
      <c r="K129" s="170"/>
      <c r="L129" s="170"/>
      <c r="M129" s="170"/>
      <c r="N129" s="170"/>
      <c r="O129" s="170"/>
      <c r="P129" s="170"/>
      <c r="Q129" s="170"/>
      <c r="R129" s="170"/>
      <c r="S129" s="170"/>
      <c r="T129" s="170"/>
      <c r="U129" s="170"/>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0"/>
      <c r="AT129" s="170"/>
      <c r="AU129" s="170"/>
      <c r="AV129" s="170"/>
      <c r="AW129" s="170"/>
      <c r="AX129" s="170"/>
      <c r="AY129" s="170"/>
      <c r="AZ129" s="170"/>
      <c r="BA129" s="170"/>
      <c r="BB129" s="170"/>
      <c r="BC129" s="170"/>
      <c r="BD129" s="170"/>
      <c r="BE129" s="170"/>
      <c r="BF129" s="170"/>
      <c r="BG129" s="170"/>
      <c r="BH129" s="36"/>
      <c r="BI129" s="150" cm="1">
        <f t="array" ref="BI129">IF(A129="","",IFERROR(MATCH(1,INDEX((pjNo=A129)*(pjType="Project"),0),0),""))</f>
        <v>90</v>
      </c>
      <c r="BJ129" s="150" t="str">
        <f>IF(D129="","",IFERROR(INDEX(tblStaff[Staff Level],MATCH(D129,tblStaff[Initials],0)),"?"))</f>
        <v>Principal</v>
      </c>
      <c r="BK129" s="151" t="str" cm="1">
        <f t="array" ref="BK129">IF(BI129="","",INDEX(pjStart,BI129))</f>
        <v/>
      </c>
      <c r="BL129" s="151" t="str" cm="1">
        <f t="array" ref="BL129">IF(BI129="","",INDEX(pjEnd,BI129))</f>
        <v/>
      </c>
      <c r="BM129" s="150">
        <f>IF(BI129="",0,IF(C129="Active",1,IF(C129="Prospective",IF(Assumptions!$B$6="Active only",0,Assumptions!$B$7),0)))</f>
        <v>1</v>
      </c>
      <c r="BN129" s="150">
        <v>2</v>
      </c>
      <c r="BO129" s="36"/>
      <c r="BP129" s="36"/>
    </row>
    <row r="130" spans="1:68" hidden="1" outlineLevel="1" x14ac:dyDescent="0.25">
      <c r="A130" s="158">
        <v>2560</v>
      </c>
      <c r="B130" s="157" t="str" cm="1">
        <f t="array" ref="B130">IF(BI130="","",INDEX(pjName,BI130))</f>
        <v>Willowmere Trail</v>
      </c>
      <c r="C130" s="158" t="str" cm="1">
        <f t="array" ref="C130">IF(BI130="","",IF(INDEX(pjStatus,BI130)="","",INDEX(pjStatus,BI130)))</f>
        <v>Active</v>
      </c>
      <c r="D130" s="158" t="str" cm="1">
        <f t="array" ref="D130">IFERROR(INDEX(tblStaff[Initials],BN130),"")</f>
        <v>KJ</v>
      </c>
      <c r="E130" s="159" cm="1">
        <f t="array" ref="E130">IF(OR(BI130="",D130=""),"",IFERROR(SUMPRODUCT((pjNo=A130)*(pjType="Phase")*INDEX(Projects!$I$5:$O$1188,0,MATCH(D130,Projects!$I$4:$O$4,0))*pjWk),0))</f>
        <v>0</v>
      </c>
      <c r="F130" s="159">
        <f t="shared" si="54"/>
        <v>0</v>
      </c>
      <c r="G130" s="159">
        <f t="shared" si="55"/>
        <v>0</v>
      </c>
      <c r="H130" s="160"/>
      <c r="I130" s="160"/>
      <c r="J130" s="160"/>
      <c r="K130" s="160"/>
      <c r="L130" s="160"/>
      <c r="M130" s="160"/>
      <c r="N130" s="160"/>
      <c r="O130" s="160"/>
      <c r="P130" s="160"/>
      <c r="Q130" s="160"/>
      <c r="R130" s="160"/>
      <c r="S130" s="160"/>
      <c r="T130" s="160"/>
      <c r="U130" s="160"/>
      <c r="V130" s="160"/>
      <c r="W130" s="160"/>
      <c r="X130" s="160"/>
      <c r="Y130" s="160"/>
      <c r="Z130" s="160"/>
      <c r="AA130" s="160"/>
      <c r="AB130" s="160"/>
      <c r="AC130" s="160"/>
      <c r="AD130" s="160"/>
      <c r="AE130" s="160"/>
      <c r="AF130" s="160"/>
      <c r="AG130" s="160"/>
      <c r="AH130" s="160"/>
      <c r="AI130" s="160"/>
      <c r="AJ130" s="160"/>
      <c r="AK130" s="160"/>
      <c r="AL130" s="160"/>
      <c r="AM130" s="160"/>
      <c r="AN130" s="160"/>
      <c r="AO130" s="160"/>
      <c r="AP130" s="160"/>
      <c r="AQ130" s="160"/>
      <c r="AR130" s="160"/>
      <c r="AS130" s="160"/>
      <c r="AT130" s="160"/>
      <c r="AU130" s="160"/>
      <c r="AV130" s="160"/>
      <c r="AW130" s="160"/>
      <c r="AX130" s="160"/>
      <c r="AY130" s="160"/>
      <c r="AZ130" s="160"/>
      <c r="BA130" s="160"/>
      <c r="BB130" s="160"/>
      <c r="BC130" s="160"/>
      <c r="BD130" s="160"/>
      <c r="BE130" s="160"/>
      <c r="BF130" s="160"/>
      <c r="BG130" s="160"/>
      <c r="BH130" s="36"/>
      <c r="BI130" s="150" cm="1">
        <f t="array" ref="BI130">IF(A130="","",IFERROR(MATCH(1,INDEX((pjNo=A130)*(pjType="Project"),0),0),""))</f>
        <v>90</v>
      </c>
      <c r="BJ130" s="150" t="str">
        <f>IF(D130="","",IFERROR(INDEX(tblStaff[Staff Level],MATCH(D130,tblStaff[Initials],0)),"?"))</f>
        <v>Director</v>
      </c>
      <c r="BK130" s="151" t="str" cm="1">
        <f t="array" ref="BK130">IF(BI130="","",INDEX(pjStart,BI130))</f>
        <v/>
      </c>
      <c r="BL130" s="151" t="str" cm="1">
        <f t="array" ref="BL130">IF(BI130="","",INDEX(pjEnd,BI130))</f>
        <v/>
      </c>
      <c r="BM130" s="150">
        <f>IF(BI130="",0,IF(C130="Active",1,IF(C130="Prospective",IF(Assumptions!$B$6="Active only",0,Assumptions!$B$7),0)))</f>
        <v>1</v>
      </c>
      <c r="BN130" s="150">
        <v>3</v>
      </c>
      <c r="BO130" s="36"/>
      <c r="BP130" s="36"/>
    </row>
    <row r="131" spans="1:68" hidden="1" outlineLevel="1" x14ac:dyDescent="0.25">
      <c r="A131" s="158">
        <v>2560</v>
      </c>
      <c r="B131" s="157" t="str" cm="1">
        <f t="array" ref="B131">IF(BI131="","",INDEX(pjName,BI131))</f>
        <v>Willowmere Trail</v>
      </c>
      <c r="C131" s="158" t="str" cm="1">
        <f t="array" ref="C131">IF(BI131="","",IF(INDEX(pjStatus,BI131)="","",INDEX(pjStatus,BI131)))</f>
        <v>Active</v>
      </c>
      <c r="D131" s="158" t="str" cm="1">
        <f t="array" ref="D131">IFERROR(INDEX(tblStaff[Initials],BN131),"")</f>
        <v>HL</v>
      </c>
      <c r="E131" s="159" cm="1">
        <f t="array" ref="E131">IF(OR(BI131="",D131=""),"",IFERROR(SUMPRODUCT((pjNo=A131)*(pjType="Phase")*INDEX(Projects!$I$5:$O$1188,0,MATCH(D131,Projects!$I$4:$O$4,0))*pjWk),0))</f>
        <v>0</v>
      </c>
      <c r="F131" s="159">
        <f t="shared" si="54"/>
        <v>0</v>
      </c>
      <c r="G131" s="159">
        <f t="shared" si="55"/>
        <v>0</v>
      </c>
      <c r="H131" s="160"/>
      <c r="I131" s="160"/>
      <c r="J131" s="160"/>
      <c r="K131" s="160"/>
      <c r="L131" s="160"/>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36"/>
      <c r="BI131" s="150" cm="1">
        <f t="array" ref="BI131">IF(A131="","",IFERROR(MATCH(1,INDEX((pjNo=A131)*(pjType="Project"),0),0),""))</f>
        <v>90</v>
      </c>
      <c r="BJ131" s="150" t="str">
        <f>IF(D131="","",IFERROR(INDEX(tblStaff[Staff Level],MATCH(D131,tblStaff[Initials],0)),"?"))</f>
        <v>Senior Designer</v>
      </c>
      <c r="BK131" s="151" t="str" cm="1">
        <f t="array" ref="BK131">IF(BI131="","",INDEX(pjStart,BI131))</f>
        <v/>
      </c>
      <c r="BL131" s="151" t="str" cm="1">
        <f t="array" ref="BL131">IF(BI131="","",INDEX(pjEnd,BI131))</f>
        <v/>
      </c>
      <c r="BM131" s="150">
        <f>IF(BI131="",0,IF(C131="Active",1,IF(C131="Prospective",IF(Assumptions!$B$6="Active only",0,Assumptions!$B$7),0)))</f>
        <v>1</v>
      </c>
      <c r="BN131" s="150">
        <v>4</v>
      </c>
      <c r="BO131" s="36"/>
      <c r="BP131" s="36"/>
    </row>
    <row r="132" spans="1:68" hidden="1" outlineLevel="1" x14ac:dyDescent="0.25">
      <c r="A132" s="158">
        <v>2560</v>
      </c>
      <c r="B132" s="157" t="str" cm="1">
        <f t="array" ref="B132">IF(BI132="","",INDEX(pjName,BI132))</f>
        <v>Willowmere Trail</v>
      </c>
      <c r="C132" s="158" t="str" cm="1">
        <f t="array" ref="C132">IF(BI132="","",IF(INDEX(pjStatus,BI132)="","",INDEX(pjStatus,BI132)))</f>
        <v>Active</v>
      </c>
      <c r="D132" s="158" t="str" cm="1">
        <f t="array" ref="D132">IFERROR(INDEX(tblStaff[Initials],BN132),"")</f>
        <v>EHH</v>
      </c>
      <c r="E132" s="159" cm="1">
        <f t="array" ref="E132">IF(OR(BI132="",D132=""),"",IFERROR(SUMPRODUCT((pjNo=A132)*(pjType="Phase")*INDEX(Projects!$I$5:$O$1188,0,MATCH(D132,Projects!$I$4:$O$4,0))*pjWk),0))</f>
        <v>0</v>
      </c>
      <c r="F132" s="159">
        <f t="shared" si="54"/>
        <v>0</v>
      </c>
      <c r="G132" s="159">
        <f t="shared" si="55"/>
        <v>0</v>
      </c>
      <c r="H132" s="160"/>
      <c r="I132" s="160"/>
      <c r="J132" s="160"/>
      <c r="K132" s="160"/>
      <c r="L132" s="160"/>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c r="AR132" s="160"/>
      <c r="AS132" s="160"/>
      <c r="AT132" s="160"/>
      <c r="AU132" s="160"/>
      <c r="AV132" s="160"/>
      <c r="AW132" s="160"/>
      <c r="AX132" s="160"/>
      <c r="AY132" s="160"/>
      <c r="AZ132" s="160"/>
      <c r="BA132" s="160"/>
      <c r="BB132" s="160"/>
      <c r="BC132" s="160"/>
      <c r="BD132" s="160"/>
      <c r="BE132" s="160"/>
      <c r="BF132" s="160"/>
      <c r="BG132" s="160"/>
      <c r="BH132" s="36"/>
      <c r="BI132" s="150" cm="1">
        <f t="array" ref="BI132">IF(A132="","",IFERROR(MATCH(1,INDEX((pjNo=A132)*(pjType="Project"),0),0),""))</f>
        <v>90</v>
      </c>
      <c r="BJ132" s="150" t="str">
        <f>IF(D132="","",IFERROR(INDEX(tblStaff[Staff Level],MATCH(D132,tblStaff[Initials],0)),"?"))</f>
        <v>Mid Level Designer</v>
      </c>
      <c r="BK132" s="151" t="str" cm="1">
        <f t="array" ref="BK132">IF(BI132="","",INDEX(pjStart,BI132))</f>
        <v/>
      </c>
      <c r="BL132" s="151" t="str" cm="1">
        <f t="array" ref="BL132">IF(BI132="","",INDEX(pjEnd,BI132))</f>
        <v/>
      </c>
      <c r="BM132" s="150">
        <f>IF(BI132="",0,IF(C132="Active",1,IF(C132="Prospective",IF(Assumptions!$B$6="Active only",0,Assumptions!$B$7),0)))</f>
        <v>1</v>
      </c>
      <c r="BN132" s="150">
        <v>5</v>
      </c>
      <c r="BO132" s="36"/>
      <c r="BP132" s="36"/>
    </row>
    <row r="133" spans="1:68" hidden="1" outlineLevel="1" x14ac:dyDescent="0.25">
      <c r="A133" s="158">
        <v>2560</v>
      </c>
      <c r="B133" s="157" t="str" cm="1">
        <f t="array" ref="B133">IF(BI133="","",INDEX(pjName,BI133))</f>
        <v>Willowmere Trail</v>
      </c>
      <c r="C133" s="158" t="str" cm="1">
        <f t="array" ref="C133">IF(BI133="","",IF(INDEX(pjStatus,BI133)="","",INDEX(pjStatus,BI133)))</f>
        <v>Active</v>
      </c>
      <c r="D133" s="158" t="str" cm="1">
        <f t="array" ref="D133">IFERROR(INDEX(tblStaff[Initials],BN133),"")</f>
        <v>KD</v>
      </c>
      <c r="E133" s="159" cm="1">
        <f t="array" ref="E133">IF(OR(BI133="",D133=""),"",IFERROR(SUMPRODUCT((pjNo=A133)*(pjType="Phase")*INDEX(Projects!$I$5:$O$1188,0,MATCH(D133,Projects!$I$4:$O$4,0))*pjWk),0))</f>
        <v>0</v>
      </c>
      <c r="F133" s="159">
        <f t="shared" si="54"/>
        <v>0</v>
      </c>
      <c r="G133" s="159">
        <f t="shared" si="55"/>
        <v>0</v>
      </c>
      <c r="H133" s="160"/>
      <c r="I133" s="160"/>
      <c r="J133" s="160"/>
      <c r="K133" s="160"/>
      <c r="L133" s="160"/>
      <c r="M133" s="160"/>
      <c r="N133" s="160"/>
      <c r="O133" s="160"/>
      <c r="P133" s="160"/>
      <c r="Q133" s="160"/>
      <c r="R133" s="160"/>
      <c r="S133" s="160"/>
      <c r="T133" s="160"/>
      <c r="U133" s="160"/>
      <c r="V133" s="160"/>
      <c r="W133" s="160"/>
      <c r="X133" s="160"/>
      <c r="Y133" s="160"/>
      <c r="Z133" s="160"/>
      <c r="AA133" s="160"/>
      <c r="AB133" s="160"/>
      <c r="AC133" s="160"/>
      <c r="AD133" s="160"/>
      <c r="AE133" s="160"/>
      <c r="AF133" s="160"/>
      <c r="AG133" s="160"/>
      <c r="AH133" s="160"/>
      <c r="AI133" s="160"/>
      <c r="AJ133" s="160"/>
      <c r="AK133" s="160"/>
      <c r="AL133" s="160"/>
      <c r="AM133" s="160"/>
      <c r="AN133" s="160"/>
      <c r="AO133" s="160"/>
      <c r="AP133" s="160"/>
      <c r="AQ133" s="160"/>
      <c r="AR133" s="160"/>
      <c r="AS133" s="160"/>
      <c r="AT133" s="160"/>
      <c r="AU133" s="160"/>
      <c r="AV133" s="160"/>
      <c r="AW133" s="160"/>
      <c r="AX133" s="160"/>
      <c r="AY133" s="160"/>
      <c r="AZ133" s="160"/>
      <c r="BA133" s="160"/>
      <c r="BB133" s="160"/>
      <c r="BC133" s="160"/>
      <c r="BD133" s="160"/>
      <c r="BE133" s="160"/>
      <c r="BF133" s="160"/>
      <c r="BG133" s="160"/>
      <c r="BH133" s="36"/>
      <c r="BI133" s="150" cm="1">
        <f t="array" ref="BI133">IF(A133="","",IFERROR(MATCH(1,INDEX((pjNo=A133)*(pjType="Project"),0),0),""))</f>
        <v>90</v>
      </c>
      <c r="BJ133" s="150" t="str">
        <f>IF(D133="","",IFERROR(INDEX(tblStaff[Staff Level],MATCH(D133,tblStaff[Initials],0)),"?"))</f>
        <v>Mid Level Designer</v>
      </c>
      <c r="BK133" s="151" t="str" cm="1">
        <f t="array" ref="BK133">IF(BI133="","",INDEX(pjStart,BI133))</f>
        <v/>
      </c>
      <c r="BL133" s="151" t="str" cm="1">
        <f t="array" ref="BL133">IF(BI133="","",INDEX(pjEnd,BI133))</f>
        <v/>
      </c>
      <c r="BM133" s="150">
        <f>IF(BI133="",0,IF(C133="Active",1,IF(C133="Prospective",IF(Assumptions!$B$6="Active only",0,Assumptions!$B$7),0)))</f>
        <v>1</v>
      </c>
      <c r="BN133" s="150">
        <v>6</v>
      </c>
      <c r="BO133" s="36"/>
      <c r="BP133" s="36"/>
    </row>
    <row r="134" spans="1:68" hidden="1" outlineLevel="1" x14ac:dyDescent="0.25">
      <c r="A134" s="158">
        <v>2560</v>
      </c>
      <c r="B134" s="157" t="str" cm="1">
        <f t="array" ref="B134">IF(BI134="","",INDEX(pjName,BI134))</f>
        <v>Willowmere Trail</v>
      </c>
      <c r="C134" s="158" t="str" cm="1">
        <f t="array" ref="C134">IF(BI134="","",IF(INDEX(pjStatus,BI134)="","",INDEX(pjStatus,BI134)))</f>
        <v>Active</v>
      </c>
      <c r="D134" s="158" t="str" cm="1">
        <f t="array" ref="D134">IFERROR(INDEX(tblStaff[Initials],BN134),"")</f>
        <v>XX</v>
      </c>
      <c r="E134" s="159" cm="1">
        <f t="array" ref="E134">IF(OR(BI134="",D134=""),"",IFERROR(SUMPRODUCT((pjNo=A134)*(pjType="Phase")*INDEX(Projects!$I$5:$O$1188,0,MATCH(D134,Projects!$I$4:$O$4,0))*pjWk),0))</f>
        <v>0</v>
      </c>
      <c r="F134" s="159">
        <f t="shared" si="54"/>
        <v>0</v>
      </c>
      <c r="G134" s="159">
        <f t="shared" si="55"/>
        <v>0</v>
      </c>
      <c r="H134" s="160"/>
      <c r="I134" s="160"/>
      <c r="J134" s="160"/>
      <c r="K134" s="160"/>
      <c r="L134" s="160"/>
      <c r="M134" s="160"/>
      <c r="N134" s="160"/>
      <c r="O134" s="160"/>
      <c r="P134" s="160"/>
      <c r="Q134" s="160"/>
      <c r="R134" s="160"/>
      <c r="S134" s="160"/>
      <c r="T134" s="160"/>
      <c r="U134" s="160"/>
      <c r="V134" s="160"/>
      <c r="W134" s="160"/>
      <c r="X134" s="160"/>
      <c r="Y134" s="160"/>
      <c r="Z134" s="160"/>
      <c r="AA134" s="160"/>
      <c r="AB134" s="160"/>
      <c r="AC134" s="160"/>
      <c r="AD134" s="160"/>
      <c r="AE134" s="160"/>
      <c r="AF134" s="160"/>
      <c r="AG134" s="160"/>
      <c r="AH134" s="160"/>
      <c r="AI134" s="160"/>
      <c r="AJ134" s="160"/>
      <c r="AK134" s="160"/>
      <c r="AL134" s="160"/>
      <c r="AM134" s="160"/>
      <c r="AN134" s="160"/>
      <c r="AO134" s="160"/>
      <c r="AP134" s="160"/>
      <c r="AQ134" s="160"/>
      <c r="AR134" s="160"/>
      <c r="AS134" s="160"/>
      <c r="AT134" s="160"/>
      <c r="AU134" s="160"/>
      <c r="AV134" s="160"/>
      <c r="AW134" s="160"/>
      <c r="AX134" s="160"/>
      <c r="AY134" s="160"/>
      <c r="AZ134" s="160"/>
      <c r="BA134" s="160"/>
      <c r="BB134" s="160"/>
      <c r="BC134" s="160"/>
      <c r="BD134" s="160"/>
      <c r="BE134" s="160"/>
      <c r="BF134" s="160"/>
      <c r="BG134" s="160"/>
      <c r="BH134" s="36"/>
      <c r="BI134" s="150" cm="1">
        <f t="array" ref="BI134">IF(A134="","",IFERROR(MATCH(1,INDEX((pjNo=A134)*(pjType="Project"),0),0),""))</f>
        <v>90</v>
      </c>
      <c r="BJ134" s="150" t="str">
        <f>IF(D134="","",IFERROR(INDEX(tblStaff[Staff Level],MATCH(D134,tblStaff[Initials],0)),"?"))</f>
        <v>Project Designer</v>
      </c>
      <c r="BK134" s="151" t="str" cm="1">
        <f t="array" ref="BK134">IF(BI134="","",INDEX(pjStart,BI134))</f>
        <v/>
      </c>
      <c r="BL134" s="151" t="str" cm="1">
        <f t="array" ref="BL134">IF(BI134="","",INDEX(pjEnd,BI134))</f>
        <v/>
      </c>
      <c r="BM134" s="150">
        <f>IF(BI134="",0,IF(C134="Active",1,IF(C134="Prospective",IF(Assumptions!$B$6="Active only",0,Assumptions!$B$7),0)))</f>
        <v>1</v>
      </c>
      <c r="BN134" s="150">
        <v>7</v>
      </c>
      <c r="BO134" s="36"/>
      <c r="BP134" s="36"/>
    </row>
    <row r="135" spans="1:68" hidden="1" outlineLevel="1" x14ac:dyDescent="0.25">
      <c r="A135" s="162">
        <v>2560</v>
      </c>
      <c r="B135" s="161" t="str" cm="1">
        <f t="array" ref="B135">IF(BI135="","",INDEX(pjName,BI135))</f>
        <v>Willowmere Trail</v>
      </c>
      <c r="C135" s="162" t="str" cm="1">
        <f t="array" ref="C135">IF(BI135="","",IF(INDEX(pjStatus,BI135)="","",INDEX(pjStatus,BI135)))</f>
        <v>Active</v>
      </c>
      <c r="D135" s="162" t="str" cm="1">
        <f t="array" ref="D135">IFERROR(INDEX(tblStaff[Initials],BN135),"")</f>
        <v/>
      </c>
      <c r="E135" s="163" t="str" cm="1">
        <f t="array" ref="E135">IF(OR(BI135="",D135=""),"",IFERROR(SUMPRODUCT((pjNo=A135)*(pjType="Phase")*INDEX(Projects!$I$5:$O$1188,0,MATCH(D135,Projects!$I$4:$O$4,0))*pjWk),0))</f>
        <v/>
      </c>
      <c r="F135" s="163">
        <f t="shared" si="54"/>
        <v>0</v>
      </c>
      <c r="G135" s="163" t="str">
        <f t="shared" si="55"/>
        <v/>
      </c>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4"/>
      <c r="AI135" s="164"/>
      <c r="AJ135" s="164"/>
      <c r="AK135" s="164"/>
      <c r="AL135" s="164"/>
      <c r="AM135" s="164"/>
      <c r="AN135" s="164"/>
      <c r="AO135" s="164"/>
      <c r="AP135" s="164"/>
      <c r="AQ135" s="164"/>
      <c r="AR135" s="164"/>
      <c r="AS135" s="164"/>
      <c r="AT135" s="164"/>
      <c r="AU135" s="164"/>
      <c r="AV135" s="164"/>
      <c r="AW135" s="164"/>
      <c r="AX135" s="164"/>
      <c r="AY135" s="164"/>
      <c r="AZ135" s="164"/>
      <c r="BA135" s="164"/>
      <c r="BB135" s="164"/>
      <c r="BC135" s="164"/>
      <c r="BD135" s="164"/>
      <c r="BE135" s="164"/>
      <c r="BF135" s="164"/>
      <c r="BG135" s="164"/>
      <c r="BH135" s="36"/>
      <c r="BI135" s="150" cm="1">
        <f t="array" ref="BI135">IF(A135="","",IFERROR(MATCH(1,INDEX((pjNo=A135)*(pjType="Project"),0),0),""))</f>
        <v>90</v>
      </c>
      <c r="BJ135" s="150" t="str">
        <f>IF(D135="","",IFERROR(INDEX(tblStaff[Staff Level],MATCH(D135,tblStaff[Initials],0)),"?"))</f>
        <v/>
      </c>
      <c r="BK135" s="151" t="str" cm="1">
        <f t="array" ref="BK135">IF(BI135="","",INDEX(pjStart,BI135))</f>
        <v/>
      </c>
      <c r="BL135" s="151" t="str" cm="1">
        <f t="array" ref="BL135">IF(BI135="","",INDEX(pjEnd,BI135))</f>
        <v/>
      </c>
      <c r="BM135" s="150">
        <f>IF(BI135="",0,IF(C135="Active",1,IF(C135="Prospective",IF(Assumptions!$B$6="Active only",0,Assumptions!$B$7),0)))</f>
        <v>1</v>
      </c>
      <c r="BN135" s="150">
        <v>8</v>
      </c>
      <c r="BO135" s="36"/>
      <c r="BP135" s="36"/>
    </row>
    <row r="136" spans="1:68" collapsed="1" x14ac:dyDescent="0.25">
      <c r="A136" s="171"/>
      <c r="B136" s="173" t="str">
        <f>IF(A137="","",A137&amp;" · "&amp;B137)</f>
        <v>2562 · Pebble Creek Courtyard</v>
      </c>
      <c r="C136" s="171" t="str">
        <f>IF(A137="","",C137)</f>
        <v>Active</v>
      </c>
      <c r="D136" s="171"/>
      <c r="E136" s="172">
        <f>SUM(E137:E144)</f>
        <v>0</v>
      </c>
      <c r="F136" s="172">
        <f>SUM(F137:F144)</f>
        <v>0</v>
      </c>
      <c r="G136" s="172" t="str">
        <f>IF(E136=0,"",E136-F136)</f>
        <v/>
      </c>
      <c r="H136" s="174">
        <f t="shared" ref="H136:AM136" si="56">SUM(H137:H144)</f>
        <v>0</v>
      </c>
      <c r="I136" s="174">
        <f t="shared" si="56"/>
        <v>0</v>
      </c>
      <c r="J136" s="174">
        <f t="shared" si="56"/>
        <v>0</v>
      </c>
      <c r="K136" s="174">
        <f t="shared" si="56"/>
        <v>0</v>
      </c>
      <c r="L136" s="174">
        <f t="shared" si="56"/>
        <v>0</v>
      </c>
      <c r="M136" s="174">
        <f t="shared" si="56"/>
        <v>0</v>
      </c>
      <c r="N136" s="174">
        <f t="shared" si="56"/>
        <v>0</v>
      </c>
      <c r="O136" s="174">
        <f t="shared" si="56"/>
        <v>0</v>
      </c>
      <c r="P136" s="174">
        <f t="shared" si="56"/>
        <v>0</v>
      </c>
      <c r="Q136" s="174">
        <f t="shared" si="56"/>
        <v>0</v>
      </c>
      <c r="R136" s="174">
        <f t="shared" si="56"/>
        <v>0</v>
      </c>
      <c r="S136" s="174">
        <f t="shared" si="56"/>
        <v>0</v>
      </c>
      <c r="T136" s="174">
        <f t="shared" si="56"/>
        <v>0</v>
      </c>
      <c r="U136" s="174">
        <f t="shared" si="56"/>
        <v>0</v>
      </c>
      <c r="V136" s="174">
        <f t="shared" si="56"/>
        <v>0</v>
      </c>
      <c r="W136" s="174">
        <f t="shared" si="56"/>
        <v>0</v>
      </c>
      <c r="X136" s="174">
        <f t="shared" si="56"/>
        <v>0</v>
      </c>
      <c r="Y136" s="174">
        <f t="shared" si="56"/>
        <v>0</v>
      </c>
      <c r="Z136" s="174">
        <f t="shared" si="56"/>
        <v>0</v>
      </c>
      <c r="AA136" s="174">
        <f t="shared" si="56"/>
        <v>0</v>
      </c>
      <c r="AB136" s="174">
        <f t="shared" si="56"/>
        <v>0</v>
      </c>
      <c r="AC136" s="174">
        <f t="shared" si="56"/>
        <v>0</v>
      </c>
      <c r="AD136" s="174">
        <f t="shared" si="56"/>
        <v>0</v>
      </c>
      <c r="AE136" s="174">
        <f t="shared" si="56"/>
        <v>0</v>
      </c>
      <c r="AF136" s="174">
        <f t="shared" si="56"/>
        <v>0</v>
      </c>
      <c r="AG136" s="174">
        <f t="shared" si="56"/>
        <v>0</v>
      </c>
      <c r="AH136" s="174">
        <f t="shared" si="56"/>
        <v>0</v>
      </c>
      <c r="AI136" s="174">
        <f t="shared" si="56"/>
        <v>0</v>
      </c>
      <c r="AJ136" s="174">
        <f t="shared" si="56"/>
        <v>0</v>
      </c>
      <c r="AK136" s="174">
        <f t="shared" si="56"/>
        <v>0</v>
      </c>
      <c r="AL136" s="174">
        <f t="shared" si="56"/>
        <v>0</v>
      </c>
      <c r="AM136" s="174">
        <f t="shared" si="56"/>
        <v>0</v>
      </c>
      <c r="AN136" s="174">
        <f t="shared" ref="AN136:BG136" si="57">SUM(AN137:AN144)</f>
        <v>0</v>
      </c>
      <c r="AO136" s="174">
        <f t="shared" si="57"/>
        <v>0</v>
      </c>
      <c r="AP136" s="174">
        <f t="shared" si="57"/>
        <v>0</v>
      </c>
      <c r="AQ136" s="174">
        <f t="shared" si="57"/>
        <v>0</v>
      </c>
      <c r="AR136" s="174">
        <f t="shared" si="57"/>
        <v>0</v>
      </c>
      <c r="AS136" s="174">
        <f t="shared" si="57"/>
        <v>0</v>
      </c>
      <c r="AT136" s="174">
        <f t="shared" si="57"/>
        <v>0</v>
      </c>
      <c r="AU136" s="174">
        <f t="shared" si="57"/>
        <v>0</v>
      </c>
      <c r="AV136" s="174">
        <f t="shared" si="57"/>
        <v>0</v>
      </c>
      <c r="AW136" s="174">
        <f t="shared" si="57"/>
        <v>0</v>
      </c>
      <c r="AX136" s="174">
        <f t="shared" si="57"/>
        <v>0</v>
      </c>
      <c r="AY136" s="174">
        <f t="shared" si="57"/>
        <v>0</v>
      </c>
      <c r="AZ136" s="174">
        <f t="shared" si="57"/>
        <v>0</v>
      </c>
      <c r="BA136" s="174">
        <f t="shared" si="57"/>
        <v>0</v>
      </c>
      <c r="BB136" s="174">
        <f t="shared" si="57"/>
        <v>0</v>
      </c>
      <c r="BC136" s="174">
        <f t="shared" si="57"/>
        <v>0</v>
      </c>
      <c r="BD136" s="174">
        <f t="shared" si="57"/>
        <v>0</v>
      </c>
      <c r="BE136" s="174">
        <f t="shared" si="57"/>
        <v>0</v>
      </c>
      <c r="BF136" s="174">
        <f t="shared" si="57"/>
        <v>0</v>
      </c>
      <c r="BG136" s="174">
        <f t="shared" si="57"/>
        <v>0</v>
      </c>
      <c r="BH136" s="36"/>
      <c r="BI136" s="150"/>
      <c r="BJ136" s="150"/>
      <c r="BK136" s="151"/>
      <c r="BL136" s="151"/>
      <c r="BM136" s="150"/>
      <c r="BN136" s="150"/>
      <c r="BO136" s="36"/>
      <c r="BP136" s="36"/>
    </row>
    <row r="137" spans="1:68" hidden="1" outlineLevel="1" x14ac:dyDescent="0.25">
      <c r="A137" s="167">
        <v>2562</v>
      </c>
      <c r="B137" s="168" t="str" cm="1">
        <f t="array" ref="B137">IF(BI137="","",INDEX(pjName,BI137))</f>
        <v>Pebble Creek Courtyard</v>
      </c>
      <c r="C137" s="167" t="str" cm="1">
        <f t="array" ref="C137">IF(BI137="","",IF(INDEX(pjStatus,BI137)="","",INDEX(pjStatus,BI137)))</f>
        <v>Active</v>
      </c>
      <c r="D137" s="167" t="str" cm="1">
        <f t="array" ref="D137">IFERROR(INDEX(tblStaff[Initials],BN137),"")</f>
        <v>PK</v>
      </c>
      <c r="E137" s="169" cm="1">
        <f t="array" ref="E137">IF(OR(BI137="",D137=""),"",IFERROR(SUMPRODUCT((pjNo=A137)*(pjType="Phase")*INDEX(Projects!$I$5:$O$1188,0,MATCH(D137,Projects!$I$4:$O$4,0))*pjWk),0))</f>
        <v>0</v>
      </c>
      <c r="F137" s="169">
        <f t="shared" ref="F137:F144" si="58">IF(BI137="","",SUM(H137:BG137))</f>
        <v>0</v>
      </c>
      <c r="G137" s="169">
        <f t="shared" ref="G137:G144" si="59">IF(OR(E137="",F137=""),"",E137-F137)</f>
        <v>0</v>
      </c>
      <c r="H137" s="170"/>
      <c r="I137" s="170"/>
      <c r="J137" s="170"/>
      <c r="K137" s="170"/>
      <c r="L137" s="170"/>
      <c r="M137" s="170"/>
      <c r="N137" s="170"/>
      <c r="O137" s="170"/>
      <c r="P137" s="170"/>
      <c r="Q137" s="170"/>
      <c r="R137" s="170"/>
      <c r="S137" s="170"/>
      <c r="T137" s="170"/>
      <c r="U137" s="170"/>
      <c r="V137" s="170"/>
      <c r="W137" s="170"/>
      <c r="X137" s="170"/>
      <c r="Y137" s="170"/>
      <c r="Z137" s="170"/>
      <c r="AA137" s="170"/>
      <c r="AB137" s="170"/>
      <c r="AC137" s="170"/>
      <c r="AD137" s="170"/>
      <c r="AE137" s="170"/>
      <c r="AF137" s="170"/>
      <c r="AG137" s="170"/>
      <c r="AH137" s="170"/>
      <c r="AI137" s="170"/>
      <c r="AJ137" s="170"/>
      <c r="AK137" s="170"/>
      <c r="AL137" s="170"/>
      <c r="AM137" s="170"/>
      <c r="AN137" s="170"/>
      <c r="AO137" s="170"/>
      <c r="AP137" s="170"/>
      <c r="AQ137" s="170"/>
      <c r="AR137" s="170"/>
      <c r="AS137" s="170"/>
      <c r="AT137" s="170"/>
      <c r="AU137" s="170"/>
      <c r="AV137" s="170"/>
      <c r="AW137" s="170"/>
      <c r="AX137" s="170"/>
      <c r="AY137" s="170"/>
      <c r="AZ137" s="170"/>
      <c r="BA137" s="170"/>
      <c r="BB137" s="170"/>
      <c r="BC137" s="170"/>
      <c r="BD137" s="170"/>
      <c r="BE137" s="170"/>
      <c r="BF137" s="170"/>
      <c r="BG137" s="170"/>
      <c r="BH137" s="36"/>
      <c r="BI137" s="150" cm="1">
        <f t="array" ref="BI137">IF(A137="","",IFERROR(MATCH(1,INDEX((pjNo=A137)*(pjType="Project"),0),0),""))</f>
        <v>99</v>
      </c>
      <c r="BJ137" s="150" t="str">
        <f>IF(D137="","",IFERROR(INDEX(tblStaff[Staff Level],MATCH(D137,tblStaff[Initials],0)),"?"))</f>
        <v>Principal</v>
      </c>
      <c r="BK137" s="151" t="str" cm="1">
        <f t="array" ref="BK137">IF(BI137="","",INDEX(pjStart,BI137))</f>
        <v/>
      </c>
      <c r="BL137" s="151" t="str" cm="1">
        <f t="array" ref="BL137">IF(BI137="","",INDEX(pjEnd,BI137))</f>
        <v/>
      </c>
      <c r="BM137" s="150">
        <f>IF(BI137="",0,IF(C137="Active",1,IF(C137="Prospective",IF(Assumptions!$B$6="Active only",0,Assumptions!$B$7),0)))</f>
        <v>1</v>
      </c>
      <c r="BN137" s="150">
        <v>1</v>
      </c>
      <c r="BO137" s="36"/>
      <c r="BP137" s="36"/>
    </row>
    <row r="138" spans="1:68" hidden="1" outlineLevel="1" x14ac:dyDescent="0.25">
      <c r="A138" s="167">
        <v>2562</v>
      </c>
      <c r="B138" s="168" t="str" cm="1">
        <f t="array" ref="B138">IF(BI138="","",INDEX(pjName,BI138))</f>
        <v>Pebble Creek Courtyard</v>
      </c>
      <c r="C138" s="167" t="str" cm="1">
        <f t="array" ref="C138">IF(BI138="","",IF(INDEX(pjStatus,BI138)="","",INDEX(pjStatus,BI138)))</f>
        <v>Active</v>
      </c>
      <c r="D138" s="167" t="str" cm="1">
        <f t="array" ref="D138">IFERROR(INDEX(tblStaff[Initials],BN138),"")</f>
        <v>DF</v>
      </c>
      <c r="E138" s="169" cm="1">
        <f t="array" ref="E138">IF(OR(BI138="",D138=""),"",IFERROR(SUMPRODUCT((pjNo=A138)*(pjType="Phase")*INDEX(Projects!$I$5:$O$1188,0,MATCH(D138,Projects!$I$4:$O$4,0))*pjWk),0))</f>
        <v>0</v>
      </c>
      <c r="F138" s="169">
        <f t="shared" si="58"/>
        <v>0</v>
      </c>
      <c r="G138" s="169">
        <f t="shared" si="59"/>
        <v>0</v>
      </c>
      <c r="H138" s="170"/>
      <c r="I138" s="170"/>
      <c r="J138" s="170"/>
      <c r="K138" s="170"/>
      <c r="L138" s="170"/>
      <c r="M138" s="170"/>
      <c r="N138" s="170"/>
      <c r="O138" s="170"/>
      <c r="P138" s="170"/>
      <c r="Q138" s="170"/>
      <c r="R138" s="170"/>
      <c r="S138" s="170"/>
      <c r="T138" s="170"/>
      <c r="U138" s="170"/>
      <c r="V138" s="170"/>
      <c r="W138" s="170"/>
      <c r="X138" s="170"/>
      <c r="Y138" s="170"/>
      <c r="Z138" s="170"/>
      <c r="AA138" s="170"/>
      <c r="AB138" s="170"/>
      <c r="AC138" s="170"/>
      <c r="AD138" s="170"/>
      <c r="AE138" s="170"/>
      <c r="AF138" s="170"/>
      <c r="AG138" s="170"/>
      <c r="AH138" s="170"/>
      <c r="AI138" s="170"/>
      <c r="AJ138" s="170"/>
      <c r="AK138" s="170"/>
      <c r="AL138" s="170"/>
      <c r="AM138" s="170"/>
      <c r="AN138" s="170"/>
      <c r="AO138" s="170"/>
      <c r="AP138" s="170"/>
      <c r="AQ138" s="170"/>
      <c r="AR138" s="170"/>
      <c r="AS138" s="170"/>
      <c r="AT138" s="170"/>
      <c r="AU138" s="170"/>
      <c r="AV138" s="170"/>
      <c r="AW138" s="170"/>
      <c r="AX138" s="170"/>
      <c r="AY138" s="170"/>
      <c r="AZ138" s="170"/>
      <c r="BA138" s="170"/>
      <c r="BB138" s="170"/>
      <c r="BC138" s="170"/>
      <c r="BD138" s="170"/>
      <c r="BE138" s="170"/>
      <c r="BF138" s="170"/>
      <c r="BG138" s="170"/>
      <c r="BH138" s="36"/>
      <c r="BI138" s="150" cm="1">
        <f t="array" ref="BI138">IF(A138="","",IFERROR(MATCH(1,INDEX((pjNo=A138)*(pjType="Project"),0),0),""))</f>
        <v>99</v>
      </c>
      <c r="BJ138" s="150" t="str">
        <f>IF(D138="","",IFERROR(INDEX(tblStaff[Staff Level],MATCH(D138,tblStaff[Initials],0)),"?"))</f>
        <v>Principal</v>
      </c>
      <c r="BK138" s="151" t="str" cm="1">
        <f t="array" ref="BK138">IF(BI138="","",INDEX(pjStart,BI138))</f>
        <v/>
      </c>
      <c r="BL138" s="151" t="str" cm="1">
        <f t="array" ref="BL138">IF(BI138="","",INDEX(pjEnd,BI138))</f>
        <v/>
      </c>
      <c r="BM138" s="150">
        <f>IF(BI138="",0,IF(C138="Active",1,IF(C138="Prospective",IF(Assumptions!$B$6="Active only",0,Assumptions!$B$7),0)))</f>
        <v>1</v>
      </c>
      <c r="BN138" s="150">
        <v>2</v>
      </c>
      <c r="BO138" s="36"/>
      <c r="BP138" s="36"/>
    </row>
    <row r="139" spans="1:68" hidden="1" outlineLevel="1" x14ac:dyDescent="0.25">
      <c r="A139" s="158">
        <v>2562</v>
      </c>
      <c r="B139" s="157" t="str" cm="1">
        <f t="array" ref="B139">IF(BI139="","",INDEX(pjName,BI139))</f>
        <v>Pebble Creek Courtyard</v>
      </c>
      <c r="C139" s="158" t="str" cm="1">
        <f t="array" ref="C139">IF(BI139="","",IF(INDEX(pjStatus,BI139)="","",INDEX(pjStatus,BI139)))</f>
        <v>Active</v>
      </c>
      <c r="D139" s="158" t="str" cm="1">
        <f t="array" ref="D139">IFERROR(INDEX(tblStaff[Initials],BN139),"")</f>
        <v>KJ</v>
      </c>
      <c r="E139" s="159" cm="1">
        <f t="array" ref="E139">IF(OR(BI139="",D139=""),"",IFERROR(SUMPRODUCT((pjNo=A139)*(pjType="Phase")*INDEX(Projects!$I$5:$O$1188,0,MATCH(D139,Projects!$I$4:$O$4,0))*pjWk),0))</f>
        <v>0</v>
      </c>
      <c r="F139" s="159">
        <f t="shared" si="58"/>
        <v>0</v>
      </c>
      <c r="G139" s="159">
        <f t="shared" si="59"/>
        <v>0</v>
      </c>
      <c r="H139" s="160"/>
      <c r="I139" s="160"/>
      <c r="J139" s="160"/>
      <c r="K139" s="160"/>
      <c r="L139" s="160"/>
      <c r="M139" s="160"/>
      <c r="N139" s="160"/>
      <c r="O139" s="160"/>
      <c r="P139" s="160"/>
      <c r="Q139" s="160"/>
      <c r="R139" s="160"/>
      <c r="S139" s="160"/>
      <c r="T139" s="160"/>
      <c r="U139" s="160"/>
      <c r="V139" s="160"/>
      <c r="W139" s="160"/>
      <c r="X139" s="160"/>
      <c r="Y139" s="160"/>
      <c r="Z139" s="160"/>
      <c r="AA139" s="160"/>
      <c r="AB139" s="160"/>
      <c r="AC139" s="160"/>
      <c r="AD139" s="160"/>
      <c r="AE139" s="160"/>
      <c r="AF139" s="160"/>
      <c r="AG139" s="160"/>
      <c r="AH139" s="160"/>
      <c r="AI139" s="160"/>
      <c r="AJ139" s="160"/>
      <c r="AK139" s="160"/>
      <c r="AL139" s="160"/>
      <c r="AM139" s="160"/>
      <c r="AN139" s="160"/>
      <c r="AO139" s="160"/>
      <c r="AP139" s="160"/>
      <c r="AQ139" s="160"/>
      <c r="AR139" s="160"/>
      <c r="AS139" s="160"/>
      <c r="AT139" s="160"/>
      <c r="AU139" s="160"/>
      <c r="AV139" s="160"/>
      <c r="AW139" s="160"/>
      <c r="AX139" s="160"/>
      <c r="AY139" s="160"/>
      <c r="AZ139" s="160"/>
      <c r="BA139" s="160"/>
      <c r="BB139" s="160"/>
      <c r="BC139" s="160"/>
      <c r="BD139" s="160"/>
      <c r="BE139" s="160"/>
      <c r="BF139" s="160"/>
      <c r="BG139" s="160"/>
      <c r="BH139" s="36"/>
      <c r="BI139" s="150" cm="1">
        <f t="array" ref="BI139">IF(A139="","",IFERROR(MATCH(1,INDEX((pjNo=A139)*(pjType="Project"),0),0),""))</f>
        <v>99</v>
      </c>
      <c r="BJ139" s="150" t="str">
        <f>IF(D139="","",IFERROR(INDEX(tblStaff[Staff Level],MATCH(D139,tblStaff[Initials],0)),"?"))</f>
        <v>Director</v>
      </c>
      <c r="BK139" s="151" t="str" cm="1">
        <f t="array" ref="BK139">IF(BI139="","",INDEX(pjStart,BI139))</f>
        <v/>
      </c>
      <c r="BL139" s="151" t="str" cm="1">
        <f t="array" ref="BL139">IF(BI139="","",INDEX(pjEnd,BI139))</f>
        <v/>
      </c>
      <c r="BM139" s="150">
        <f>IF(BI139="",0,IF(C139="Active",1,IF(C139="Prospective",IF(Assumptions!$B$6="Active only",0,Assumptions!$B$7),0)))</f>
        <v>1</v>
      </c>
      <c r="BN139" s="150">
        <v>3</v>
      </c>
      <c r="BO139" s="36"/>
      <c r="BP139" s="36"/>
    </row>
    <row r="140" spans="1:68" hidden="1" outlineLevel="1" x14ac:dyDescent="0.25">
      <c r="A140" s="158">
        <v>2562</v>
      </c>
      <c r="B140" s="157" t="str" cm="1">
        <f t="array" ref="B140">IF(BI140="","",INDEX(pjName,BI140))</f>
        <v>Pebble Creek Courtyard</v>
      </c>
      <c r="C140" s="158" t="str" cm="1">
        <f t="array" ref="C140">IF(BI140="","",IF(INDEX(pjStatus,BI140)="","",INDEX(pjStatus,BI140)))</f>
        <v>Active</v>
      </c>
      <c r="D140" s="158" t="str" cm="1">
        <f t="array" ref="D140">IFERROR(INDEX(tblStaff[Initials],BN140),"")</f>
        <v>HL</v>
      </c>
      <c r="E140" s="159" cm="1">
        <f t="array" ref="E140">IF(OR(BI140="",D140=""),"",IFERROR(SUMPRODUCT((pjNo=A140)*(pjType="Phase")*INDEX(Projects!$I$5:$O$1188,0,MATCH(D140,Projects!$I$4:$O$4,0))*pjWk),0))</f>
        <v>0</v>
      </c>
      <c r="F140" s="159">
        <f t="shared" si="58"/>
        <v>0</v>
      </c>
      <c r="G140" s="159">
        <f t="shared" si="59"/>
        <v>0</v>
      </c>
      <c r="H140" s="160"/>
      <c r="I140" s="160"/>
      <c r="J140" s="160"/>
      <c r="K140" s="160"/>
      <c r="L140" s="160"/>
      <c r="M140" s="160"/>
      <c r="N140" s="160"/>
      <c r="O140" s="160"/>
      <c r="P140" s="160"/>
      <c r="Q140" s="160"/>
      <c r="R140" s="160"/>
      <c r="S140" s="160"/>
      <c r="T140" s="160"/>
      <c r="U140" s="160"/>
      <c r="V140" s="160"/>
      <c r="W140" s="160"/>
      <c r="X140" s="160"/>
      <c r="Y140" s="160"/>
      <c r="Z140" s="160"/>
      <c r="AA140" s="160"/>
      <c r="AB140" s="160"/>
      <c r="AC140" s="160"/>
      <c r="AD140" s="160"/>
      <c r="AE140" s="160"/>
      <c r="AF140" s="160"/>
      <c r="AG140" s="160"/>
      <c r="AH140" s="160"/>
      <c r="AI140" s="160"/>
      <c r="AJ140" s="160"/>
      <c r="AK140" s="160"/>
      <c r="AL140" s="160"/>
      <c r="AM140" s="160"/>
      <c r="AN140" s="160"/>
      <c r="AO140" s="160"/>
      <c r="AP140" s="160"/>
      <c r="AQ140" s="160"/>
      <c r="AR140" s="160"/>
      <c r="AS140" s="160"/>
      <c r="AT140" s="160"/>
      <c r="AU140" s="160"/>
      <c r="AV140" s="160"/>
      <c r="AW140" s="160"/>
      <c r="AX140" s="160"/>
      <c r="AY140" s="160"/>
      <c r="AZ140" s="160"/>
      <c r="BA140" s="160"/>
      <c r="BB140" s="160"/>
      <c r="BC140" s="160"/>
      <c r="BD140" s="160"/>
      <c r="BE140" s="160"/>
      <c r="BF140" s="160"/>
      <c r="BG140" s="160"/>
      <c r="BH140" s="36"/>
      <c r="BI140" s="150" cm="1">
        <f t="array" ref="BI140">IF(A140="","",IFERROR(MATCH(1,INDEX((pjNo=A140)*(pjType="Project"),0),0),""))</f>
        <v>99</v>
      </c>
      <c r="BJ140" s="150" t="str">
        <f>IF(D140="","",IFERROR(INDEX(tblStaff[Staff Level],MATCH(D140,tblStaff[Initials],0)),"?"))</f>
        <v>Senior Designer</v>
      </c>
      <c r="BK140" s="151" t="str" cm="1">
        <f t="array" ref="BK140">IF(BI140="","",INDEX(pjStart,BI140))</f>
        <v/>
      </c>
      <c r="BL140" s="151" t="str" cm="1">
        <f t="array" ref="BL140">IF(BI140="","",INDEX(pjEnd,BI140))</f>
        <v/>
      </c>
      <c r="BM140" s="150">
        <f>IF(BI140="",0,IF(C140="Active",1,IF(C140="Prospective",IF(Assumptions!$B$6="Active only",0,Assumptions!$B$7),0)))</f>
        <v>1</v>
      </c>
      <c r="BN140" s="150">
        <v>4</v>
      </c>
      <c r="BO140" s="36"/>
      <c r="BP140" s="36"/>
    </row>
    <row r="141" spans="1:68" hidden="1" outlineLevel="1" x14ac:dyDescent="0.25">
      <c r="A141" s="158">
        <v>2562</v>
      </c>
      <c r="B141" s="157" t="str" cm="1">
        <f t="array" ref="B141">IF(BI141="","",INDEX(pjName,BI141))</f>
        <v>Pebble Creek Courtyard</v>
      </c>
      <c r="C141" s="158" t="str" cm="1">
        <f t="array" ref="C141">IF(BI141="","",IF(INDEX(pjStatus,BI141)="","",INDEX(pjStatus,BI141)))</f>
        <v>Active</v>
      </c>
      <c r="D141" s="158" t="str" cm="1">
        <f t="array" ref="D141">IFERROR(INDEX(tblStaff[Initials],BN141),"")</f>
        <v>EHH</v>
      </c>
      <c r="E141" s="159" cm="1">
        <f t="array" ref="E141">IF(OR(BI141="",D141=""),"",IFERROR(SUMPRODUCT((pjNo=A141)*(pjType="Phase")*INDEX(Projects!$I$5:$O$1188,0,MATCH(D141,Projects!$I$4:$O$4,0))*pjWk),0))</f>
        <v>0</v>
      </c>
      <c r="F141" s="159">
        <f t="shared" si="58"/>
        <v>0</v>
      </c>
      <c r="G141" s="159">
        <f t="shared" si="59"/>
        <v>0</v>
      </c>
      <c r="H141" s="160"/>
      <c r="I141" s="160"/>
      <c r="J141" s="160"/>
      <c r="K141" s="160"/>
      <c r="L141" s="160"/>
      <c r="M141" s="160"/>
      <c r="N141" s="160"/>
      <c r="O141" s="160"/>
      <c r="P141" s="160"/>
      <c r="Q141" s="160"/>
      <c r="R141" s="160"/>
      <c r="S141" s="160"/>
      <c r="T141" s="160"/>
      <c r="U141" s="160"/>
      <c r="V141" s="160"/>
      <c r="W141" s="160"/>
      <c r="X141" s="160"/>
      <c r="Y141" s="160"/>
      <c r="Z141" s="160"/>
      <c r="AA141" s="160"/>
      <c r="AB141" s="160"/>
      <c r="AC141" s="160"/>
      <c r="AD141" s="160"/>
      <c r="AE141" s="160"/>
      <c r="AF141" s="160"/>
      <c r="AG141" s="160"/>
      <c r="AH141" s="160"/>
      <c r="AI141" s="160"/>
      <c r="AJ141" s="160"/>
      <c r="AK141" s="160"/>
      <c r="AL141" s="160"/>
      <c r="AM141" s="160"/>
      <c r="AN141" s="160"/>
      <c r="AO141" s="160"/>
      <c r="AP141" s="160"/>
      <c r="AQ141" s="160"/>
      <c r="AR141" s="160"/>
      <c r="AS141" s="160"/>
      <c r="AT141" s="160"/>
      <c r="AU141" s="160"/>
      <c r="AV141" s="160"/>
      <c r="AW141" s="160"/>
      <c r="AX141" s="160"/>
      <c r="AY141" s="160"/>
      <c r="AZ141" s="160"/>
      <c r="BA141" s="160"/>
      <c r="BB141" s="160"/>
      <c r="BC141" s="160"/>
      <c r="BD141" s="160"/>
      <c r="BE141" s="160"/>
      <c r="BF141" s="160"/>
      <c r="BG141" s="160"/>
      <c r="BH141" s="36"/>
      <c r="BI141" s="150" cm="1">
        <f t="array" ref="BI141">IF(A141="","",IFERROR(MATCH(1,INDEX((pjNo=A141)*(pjType="Project"),0),0),""))</f>
        <v>99</v>
      </c>
      <c r="BJ141" s="150" t="str">
        <f>IF(D141="","",IFERROR(INDEX(tblStaff[Staff Level],MATCH(D141,tblStaff[Initials],0)),"?"))</f>
        <v>Mid Level Designer</v>
      </c>
      <c r="BK141" s="151" t="str" cm="1">
        <f t="array" ref="BK141">IF(BI141="","",INDEX(pjStart,BI141))</f>
        <v/>
      </c>
      <c r="BL141" s="151" t="str" cm="1">
        <f t="array" ref="BL141">IF(BI141="","",INDEX(pjEnd,BI141))</f>
        <v/>
      </c>
      <c r="BM141" s="150">
        <f>IF(BI141="",0,IF(C141="Active",1,IF(C141="Prospective",IF(Assumptions!$B$6="Active only",0,Assumptions!$B$7),0)))</f>
        <v>1</v>
      </c>
      <c r="BN141" s="150">
        <v>5</v>
      </c>
      <c r="BO141" s="36"/>
      <c r="BP141" s="36"/>
    </row>
    <row r="142" spans="1:68" hidden="1" outlineLevel="1" x14ac:dyDescent="0.25">
      <c r="A142" s="158">
        <v>2562</v>
      </c>
      <c r="B142" s="157" t="str" cm="1">
        <f t="array" ref="B142">IF(BI142="","",INDEX(pjName,BI142))</f>
        <v>Pebble Creek Courtyard</v>
      </c>
      <c r="C142" s="158" t="str" cm="1">
        <f t="array" ref="C142">IF(BI142="","",IF(INDEX(pjStatus,BI142)="","",INDEX(pjStatus,BI142)))</f>
        <v>Active</v>
      </c>
      <c r="D142" s="158" t="str" cm="1">
        <f t="array" ref="D142">IFERROR(INDEX(tblStaff[Initials],BN142),"")</f>
        <v>KD</v>
      </c>
      <c r="E142" s="159" cm="1">
        <f t="array" ref="E142">IF(OR(BI142="",D142=""),"",IFERROR(SUMPRODUCT((pjNo=A142)*(pjType="Phase")*INDEX(Projects!$I$5:$O$1188,0,MATCH(D142,Projects!$I$4:$O$4,0))*pjWk),0))</f>
        <v>0</v>
      </c>
      <c r="F142" s="159">
        <f t="shared" si="58"/>
        <v>0</v>
      </c>
      <c r="G142" s="159">
        <f t="shared" si="59"/>
        <v>0</v>
      </c>
      <c r="H142" s="160"/>
      <c r="I142" s="160"/>
      <c r="J142" s="160"/>
      <c r="K142" s="160"/>
      <c r="L142" s="160"/>
      <c r="M142" s="160"/>
      <c r="N142" s="160"/>
      <c r="O142" s="160"/>
      <c r="P142" s="160"/>
      <c r="Q142" s="160"/>
      <c r="R142" s="160"/>
      <c r="S142" s="160"/>
      <c r="T142" s="160"/>
      <c r="U142" s="160"/>
      <c r="V142" s="160"/>
      <c r="W142" s="160"/>
      <c r="X142" s="160"/>
      <c r="Y142" s="160"/>
      <c r="Z142" s="160"/>
      <c r="AA142" s="160"/>
      <c r="AB142" s="160"/>
      <c r="AC142" s="160"/>
      <c r="AD142" s="160"/>
      <c r="AE142" s="160"/>
      <c r="AF142" s="160"/>
      <c r="AG142" s="160"/>
      <c r="AH142" s="160"/>
      <c r="AI142" s="160"/>
      <c r="AJ142" s="160"/>
      <c r="AK142" s="160"/>
      <c r="AL142" s="160"/>
      <c r="AM142" s="160"/>
      <c r="AN142" s="160"/>
      <c r="AO142" s="160"/>
      <c r="AP142" s="160"/>
      <c r="AQ142" s="160"/>
      <c r="AR142" s="160"/>
      <c r="AS142" s="160"/>
      <c r="AT142" s="160"/>
      <c r="AU142" s="160"/>
      <c r="AV142" s="160"/>
      <c r="AW142" s="160"/>
      <c r="AX142" s="160"/>
      <c r="AY142" s="160"/>
      <c r="AZ142" s="160"/>
      <c r="BA142" s="160"/>
      <c r="BB142" s="160"/>
      <c r="BC142" s="160"/>
      <c r="BD142" s="160"/>
      <c r="BE142" s="160"/>
      <c r="BF142" s="160"/>
      <c r="BG142" s="160"/>
      <c r="BH142" s="36"/>
      <c r="BI142" s="150" cm="1">
        <f t="array" ref="BI142">IF(A142="","",IFERROR(MATCH(1,INDEX((pjNo=A142)*(pjType="Project"),0),0),""))</f>
        <v>99</v>
      </c>
      <c r="BJ142" s="150" t="str">
        <f>IF(D142="","",IFERROR(INDEX(tblStaff[Staff Level],MATCH(D142,tblStaff[Initials],0)),"?"))</f>
        <v>Mid Level Designer</v>
      </c>
      <c r="BK142" s="151" t="str" cm="1">
        <f t="array" ref="BK142">IF(BI142="","",INDEX(pjStart,BI142))</f>
        <v/>
      </c>
      <c r="BL142" s="151" t="str" cm="1">
        <f t="array" ref="BL142">IF(BI142="","",INDEX(pjEnd,BI142))</f>
        <v/>
      </c>
      <c r="BM142" s="150">
        <f>IF(BI142="",0,IF(C142="Active",1,IF(C142="Prospective",IF(Assumptions!$B$6="Active only",0,Assumptions!$B$7),0)))</f>
        <v>1</v>
      </c>
      <c r="BN142" s="150">
        <v>6</v>
      </c>
      <c r="BO142" s="36"/>
      <c r="BP142" s="36"/>
    </row>
    <row r="143" spans="1:68" hidden="1" outlineLevel="1" x14ac:dyDescent="0.25">
      <c r="A143" s="158">
        <v>2562</v>
      </c>
      <c r="B143" s="157" t="str" cm="1">
        <f t="array" ref="B143">IF(BI143="","",INDEX(pjName,BI143))</f>
        <v>Pebble Creek Courtyard</v>
      </c>
      <c r="C143" s="158" t="str" cm="1">
        <f t="array" ref="C143">IF(BI143="","",IF(INDEX(pjStatus,BI143)="","",INDEX(pjStatus,BI143)))</f>
        <v>Active</v>
      </c>
      <c r="D143" s="158" t="str" cm="1">
        <f t="array" ref="D143">IFERROR(INDEX(tblStaff[Initials],BN143),"")</f>
        <v>XX</v>
      </c>
      <c r="E143" s="159" cm="1">
        <f t="array" ref="E143">IF(OR(BI143="",D143=""),"",IFERROR(SUMPRODUCT((pjNo=A143)*(pjType="Phase")*INDEX(Projects!$I$5:$O$1188,0,MATCH(D143,Projects!$I$4:$O$4,0))*pjWk),0))</f>
        <v>0</v>
      </c>
      <c r="F143" s="159">
        <f t="shared" si="58"/>
        <v>0</v>
      </c>
      <c r="G143" s="159">
        <f t="shared" si="59"/>
        <v>0</v>
      </c>
      <c r="H143" s="160"/>
      <c r="I143" s="160"/>
      <c r="J143" s="160"/>
      <c r="K143" s="160"/>
      <c r="L143" s="160"/>
      <c r="M143" s="160"/>
      <c r="N143" s="160"/>
      <c r="O143" s="160"/>
      <c r="P143" s="160"/>
      <c r="Q143" s="160"/>
      <c r="R143" s="160"/>
      <c r="S143" s="160"/>
      <c r="T143" s="160"/>
      <c r="U143" s="160"/>
      <c r="V143" s="160"/>
      <c r="W143" s="160"/>
      <c r="X143" s="160"/>
      <c r="Y143" s="160"/>
      <c r="Z143" s="160"/>
      <c r="AA143" s="160"/>
      <c r="AB143" s="160"/>
      <c r="AC143" s="160"/>
      <c r="AD143" s="160"/>
      <c r="AE143" s="160"/>
      <c r="AF143" s="160"/>
      <c r="AG143" s="160"/>
      <c r="AH143" s="160"/>
      <c r="AI143" s="160"/>
      <c r="AJ143" s="160"/>
      <c r="AK143" s="160"/>
      <c r="AL143" s="160"/>
      <c r="AM143" s="160"/>
      <c r="AN143" s="160"/>
      <c r="AO143" s="160"/>
      <c r="AP143" s="160"/>
      <c r="AQ143" s="160"/>
      <c r="AR143" s="160"/>
      <c r="AS143" s="160"/>
      <c r="AT143" s="160"/>
      <c r="AU143" s="160"/>
      <c r="AV143" s="160"/>
      <c r="AW143" s="160"/>
      <c r="AX143" s="160"/>
      <c r="AY143" s="160"/>
      <c r="AZ143" s="160"/>
      <c r="BA143" s="160"/>
      <c r="BB143" s="160"/>
      <c r="BC143" s="160"/>
      <c r="BD143" s="160"/>
      <c r="BE143" s="160"/>
      <c r="BF143" s="160"/>
      <c r="BG143" s="160"/>
      <c r="BH143" s="36"/>
      <c r="BI143" s="150" cm="1">
        <f t="array" ref="BI143">IF(A143="","",IFERROR(MATCH(1,INDEX((pjNo=A143)*(pjType="Project"),0),0),""))</f>
        <v>99</v>
      </c>
      <c r="BJ143" s="150" t="str">
        <f>IF(D143="","",IFERROR(INDEX(tblStaff[Staff Level],MATCH(D143,tblStaff[Initials],0)),"?"))</f>
        <v>Project Designer</v>
      </c>
      <c r="BK143" s="151" t="str" cm="1">
        <f t="array" ref="BK143">IF(BI143="","",INDEX(pjStart,BI143))</f>
        <v/>
      </c>
      <c r="BL143" s="151" t="str" cm="1">
        <f t="array" ref="BL143">IF(BI143="","",INDEX(pjEnd,BI143))</f>
        <v/>
      </c>
      <c r="BM143" s="150">
        <f>IF(BI143="",0,IF(C143="Active",1,IF(C143="Prospective",IF(Assumptions!$B$6="Active only",0,Assumptions!$B$7),0)))</f>
        <v>1</v>
      </c>
      <c r="BN143" s="150">
        <v>7</v>
      </c>
      <c r="BO143" s="36"/>
      <c r="BP143" s="36"/>
    </row>
    <row r="144" spans="1:68" hidden="1" outlineLevel="1" x14ac:dyDescent="0.25">
      <c r="A144" s="162">
        <v>2562</v>
      </c>
      <c r="B144" s="161" t="str" cm="1">
        <f t="array" ref="B144">IF(BI144="","",INDEX(pjName,BI144))</f>
        <v>Pebble Creek Courtyard</v>
      </c>
      <c r="C144" s="162" t="str" cm="1">
        <f t="array" ref="C144">IF(BI144="","",IF(INDEX(pjStatus,BI144)="","",INDEX(pjStatus,BI144)))</f>
        <v>Active</v>
      </c>
      <c r="D144" s="162" t="str" cm="1">
        <f t="array" ref="D144">IFERROR(INDEX(tblStaff[Initials],BN144),"")</f>
        <v/>
      </c>
      <c r="E144" s="163" t="str" cm="1">
        <f t="array" ref="E144">IF(OR(BI144="",D144=""),"",IFERROR(SUMPRODUCT((pjNo=A144)*(pjType="Phase")*INDEX(Projects!$I$5:$O$1188,0,MATCH(D144,Projects!$I$4:$O$4,0))*pjWk),0))</f>
        <v/>
      </c>
      <c r="F144" s="163">
        <f t="shared" si="58"/>
        <v>0</v>
      </c>
      <c r="G144" s="163" t="str">
        <f t="shared" si="59"/>
        <v/>
      </c>
      <c r="H144" s="164"/>
      <c r="I144" s="164"/>
      <c r="J144" s="164"/>
      <c r="K144" s="164"/>
      <c r="L144" s="164"/>
      <c r="M144" s="164"/>
      <c r="N144" s="164"/>
      <c r="O144" s="164"/>
      <c r="P144" s="164"/>
      <c r="Q144" s="164"/>
      <c r="R144" s="164"/>
      <c r="S144" s="164"/>
      <c r="T144" s="164"/>
      <c r="U144" s="164"/>
      <c r="V144" s="164"/>
      <c r="W144" s="164"/>
      <c r="X144" s="164"/>
      <c r="Y144" s="164"/>
      <c r="Z144" s="164"/>
      <c r="AA144" s="164"/>
      <c r="AB144" s="164"/>
      <c r="AC144" s="164"/>
      <c r="AD144" s="164"/>
      <c r="AE144" s="164"/>
      <c r="AF144" s="164"/>
      <c r="AG144" s="164"/>
      <c r="AH144" s="164"/>
      <c r="AI144" s="164"/>
      <c r="AJ144" s="164"/>
      <c r="AK144" s="164"/>
      <c r="AL144" s="164"/>
      <c r="AM144" s="164"/>
      <c r="AN144" s="164"/>
      <c r="AO144" s="164"/>
      <c r="AP144" s="164"/>
      <c r="AQ144" s="164"/>
      <c r="AR144" s="164"/>
      <c r="AS144" s="164"/>
      <c r="AT144" s="164"/>
      <c r="AU144" s="164"/>
      <c r="AV144" s="164"/>
      <c r="AW144" s="164"/>
      <c r="AX144" s="164"/>
      <c r="AY144" s="164"/>
      <c r="AZ144" s="164"/>
      <c r="BA144" s="164"/>
      <c r="BB144" s="164"/>
      <c r="BC144" s="164"/>
      <c r="BD144" s="164"/>
      <c r="BE144" s="164"/>
      <c r="BF144" s="164"/>
      <c r="BG144" s="164"/>
      <c r="BH144" s="36"/>
      <c r="BI144" s="150" cm="1">
        <f t="array" ref="BI144">IF(A144="","",IFERROR(MATCH(1,INDEX((pjNo=A144)*(pjType="Project"),0),0),""))</f>
        <v>99</v>
      </c>
      <c r="BJ144" s="150" t="str">
        <f>IF(D144="","",IFERROR(INDEX(tblStaff[Staff Level],MATCH(D144,tblStaff[Initials],0)),"?"))</f>
        <v/>
      </c>
      <c r="BK144" s="151" t="str" cm="1">
        <f t="array" ref="BK144">IF(BI144="","",INDEX(pjStart,BI144))</f>
        <v/>
      </c>
      <c r="BL144" s="151" t="str" cm="1">
        <f t="array" ref="BL144">IF(BI144="","",INDEX(pjEnd,BI144))</f>
        <v/>
      </c>
      <c r="BM144" s="150">
        <f>IF(BI144="",0,IF(C144="Active",1,IF(C144="Prospective",IF(Assumptions!$B$6="Active only",0,Assumptions!$B$7),0)))</f>
        <v>1</v>
      </c>
      <c r="BN144" s="150">
        <v>8</v>
      </c>
      <c r="BO144" s="36"/>
      <c r="BP144" s="36"/>
    </row>
    <row r="145" spans="1:68" collapsed="1" x14ac:dyDescent="0.25">
      <c r="A145" s="171"/>
      <c r="B145" s="173" t="str">
        <f>IF(A146="","",A146&amp;" · "&amp;B146)</f>
        <v>2570 · Saltmarsh Master Plan</v>
      </c>
      <c r="C145" s="171" t="str">
        <f>IF(A146="","",C146)</f>
        <v>Active</v>
      </c>
      <c r="D145" s="171"/>
      <c r="E145" s="172">
        <f>SUM(E146:E153)</f>
        <v>1264</v>
      </c>
      <c r="F145" s="172">
        <f>SUM(F146:F153)</f>
        <v>552</v>
      </c>
      <c r="G145" s="172">
        <f>IF(E145=0,"",E145-F145)</f>
        <v>712</v>
      </c>
      <c r="H145" s="174">
        <f t="shared" ref="H145:AM145" si="60">SUM(H146:H153)</f>
        <v>0</v>
      </c>
      <c r="I145" s="174">
        <f t="shared" si="60"/>
        <v>0</v>
      </c>
      <c r="J145" s="174">
        <f t="shared" si="60"/>
        <v>0</v>
      </c>
      <c r="K145" s="174">
        <f t="shared" si="60"/>
        <v>24</v>
      </c>
      <c r="L145" s="174">
        <f t="shared" si="60"/>
        <v>24</v>
      </c>
      <c r="M145" s="174">
        <f t="shared" si="60"/>
        <v>24</v>
      </c>
      <c r="N145" s="174">
        <f t="shared" si="60"/>
        <v>24</v>
      </c>
      <c r="O145" s="174">
        <f t="shared" si="60"/>
        <v>24</v>
      </c>
      <c r="P145" s="174">
        <f t="shared" si="60"/>
        <v>24</v>
      </c>
      <c r="Q145" s="174">
        <f t="shared" si="60"/>
        <v>32</v>
      </c>
      <c r="R145" s="174">
        <f t="shared" si="60"/>
        <v>32</v>
      </c>
      <c r="S145" s="174">
        <f t="shared" si="60"/>
        <v>32</v>
      </c>
      <c r="T145" s="174">
        <f t="shared" si="60"/>
        <v>32</v>
      </c>
      <c r="U145" s="174">
        <f t="shared" si="60"/>
        <v>32</v>
      </c>
      <c r="V145" s="174">
        <f t="shared" si="60"/>
        <v>32</v>
      </c>
      <c r="W145" s="174">
        <f t="shared" si="60"/>
        <v>32</v>
      </c>
      <c r="X145" s="174">
        <f t="shared" si="60"/>
        <v>32</v>
      </c>
      <c r="Y145" s="174">
        <f t="shared" si="60"/>
        <v>16</v>
      </c>
      <c r="Z145" s="174">
        <f t="shared" si="60"/>
        <v>24</v>
      </c>
      <c r="AA145" s="174">
        <f t="shared" si="60"/>
        <v>24</v>
      </c>
      <c r="AB145" s="174">
        <f t="shared" si="60"/>
        <v>32</v>
      </c>
      <c r="AC145" s="174">
        <f t="shared" si="60"/>
        <v>32</v>
      </c>
      <c r="AD145" s="174">
        <f t="shared" si="60"/>
        <v>24</v>
      </c>
      <c r="AE145" s="174">
        <f t="shared" si="60"/>
        <v>0</v>
      </c>
      <c r="AF145" s="174">
        <f t="shared" si="60"/>
        <v>0</v>
      </c>
      <c r="AG145" s="174">
        <f t="shared" si="60"/>
        <v>0</v>
      </c>
      <c r="AH145" s="174">
        <f t="shared" si="60"/>
        <v>0</v>
      </c>
      <c r="AI145" s="174">
        <f t="shared" si="60"/>
        <v>0</v>
      </c>
      <c r="AJ145" s="174">
        <f t="shared" si="60"/>
        <v>0</v>
      </c>
      <c r="AK145" s="174">
        <f t="shared" si="60"/>
        <v>0</v>
      </c>
      <c r="AL145" s="174">
        <f t="shared" si="60"/>
        <v>0</v>
      </c>
      <c r="AM145" s="174">
        <f t="shared" si="60"/>
        <v>0</v>
      </c>
      <c r="AN145" s="174">
        <f t="shared" ref="AN145:BG145" si="61">SUM(AN146:AN153)</f>
        <v>0</v>
      </c>
      <c r="AO145" s="174">
        <f t="shared" si="61"/>
        <v>0</v>
      </c>
      <c r="AP145" s="174">
        <f t="shared" si="61"/>
        <v>0</v>
      </c>
      <c r="AQ145" s="174">
        <f t="shared" si="61"/>
        <v>0</v>
      </c>
      <c r="AR145" s="174">
        <f t="shared" si="61"/>
        <v>0</v>
      </c>
      <c r="AS145" s="174">
        <f t="shared" si="61"/>
        <v>0</v>
      </c>
      <c r="AT145" s="174">
        <f t="shared" si="61"/>
        <v>0</v>
      </c>
      <c r="AU145" s="174">
        <f t="shared" si="61"/>
        <v>0</v>
      </c>
      <c r="AV145" s="174">
        <f t="shared" si="61"/>
        <v>0</v>
      </c>
      <c r="AW145" s="174">
        <f t="shared" si="61"/>
        <v>0</v>
      </c>
      <c r="AX145" s="174">
        <f t="shared" si="61"/>
        <v>0</v>
      </c>
      <c r="AY145" s="174">
        <f t="shared" si="61"/>
        <v>0</v>
      </c>
      <c r="AZ145" s="174">
        <f t="shared" si="61"/>
        <v>0</v>
      </c>
      <c r="BA145" s="174">
        <f t="shared" si="61"/>
        <v>0</v>
      </c>
      <c r="BB145" s="174">
        <f t="shared" si="61"/>
        <v>0</v>
      </c>
      <c r="BC145" s="174">
        <f t="shared" si="61"/>
        <v>0</v>
      </c>
      <c r="BD145" s="174">
        <f t="shared" si="61"/>
        <v>0</v>
      </c>
      <c r="BE145" s="174">
        <f t="shared" si="61"/>
        <v>0</v>
      </c>
      <c r="BF145" s="174">
        <f t="shared" si="61"/>
        <v>0</v>
      </c>
      <c r="BG145" s="174">
        <f t="shared" si="61"/>
        <v>0</v>
      </c>
      <c r="BH145" s="36"/>
      <c r="BI145" s="150"/>
      <c r="BJ145" s="150"/>
      <c r="BK145" s="151"/>
      <c r="BL145" s="151"/>
      <c r="BM145" s="150"/>
      <c r="BN145" s="150"/>
      <c r="BO145" s="36"/>
      <c r="BP145" s="36"/>
    </row>
    <row r="146" spans="1:68" outlineLevel="1" x14ac:dyDescent="0.25">
      <c r="A146" s="167">
        <v>2570</v>
      </c>
      <c r="B146" s="168" t="str" cm="1">
        <f t="array" ref="B146">IF(BI146="","",INDEX(pjName,BI146))</f>
        <v>Saltmarsh Master Plan</v>
      </c>
      <c r="C146" s="167" t="str" cm="1">
        <f t="array" ref="C146">IF(BI146="","",IF(INDEX(pjStatus,BI146)="","",INDEX(pjStatus,BI146)))</f>
        <v>Active</v>
      </c>
      <c r="D146" s="167" t="str" cm="1">
        <f t="array" ref="D146">IFERROR(INDEX(tblStaff[Initials],BN146),"")</f>
        <v>PK</v>
      </c>
      <c r="E146" s="169" cm="1">
        <f t="array" ref="E146">IF(OR(BI146="",D146=""),"",IFERROR(SUMPRODUCT((pjNo=A146)*(pjType="Phase")*INDEX(Projects!$I$5:$O$1188,0,MATCH(D146,Projects!$I$4:$O$4,0))*pjWk),0))</f>
        <v>184</v>
      </c>
      <c r="F146" s="169">
        <f t="shared" ref="F146:F153" si="62">IF(BI146="","",SUM(H146:BG146))</f>
        <v>184</v>
      </c>
      <c r="G146" s="169">
        <f t="shared" ref="G146:G153" si="63">IF(OR(E146="",F146=""),"",E146-F146)</f>
        <v>0</v>
      </c>
      <c r="H146" s="170"/>
      <c r="I146" s="170"/>
      <c r="J146" s="170"/>
      <c r="K146" s="170">
        <v>8</v>
      </c>
      <c r="L146" s="170">
        <v>8</v>
      </c>
      <c r="M146" s="170">
        <v>8</v>
      </c>
      <c r="N146" s="170">
        <v>8</v>
      </c>
      <c r="O146" s="170">
        <v>8</v>
      </c>
      <c r="P146" s="170">
        <v>8</v>
      </c>
      <c r="Q146" s="170">
        <v>8</v>
      </c>
      <c r="R146" s="170">
        <v>8</v>
      </c>
      <c r="S146" s="170">
        <v>8</v>
      </c>
      <c r="T146" s="170">
        <v>8</v>
      </c>
      <c r="U146" s="170">
        <v>8</v>
      </c>
      <c r="V146" s="170">
        <v>8</v>
      </c>
      <c r="W146" s="170">
        <v>8</v>
      </c>
      <c r="X146" s="170">
        <v>8</v>
      </c>
      <c r="Y146" s="170">
        <v>8</v>
      </c>
      <c r="Z146" s="170">
        <v>8</v>
      </c>
      <c r="AA146" s="170">
        <v>8</v>
      </c>
      <c r="AB146" s="170">
        <v>16</v>
      </c>
      <c r="AC146" s="170">
        <v>16</v>
      </c>
      <c r="AD146" s="170">
        <v>16</v>
      </c>
      <c r="AE146" s="170"/>
      <c r="AF146" s="170"/>
      <c r="AG146" s="170"/>
      <c r="AH146" s="170"/>
      <c r="AI146" s="170"/>
      <c r="AJ146" s="170"/>
      <c r="AK146" s="170"/>
      <c r="AL146" s="170"/>
      <c r="AM146" s="170"/>
      <c r="AN146" s="170"/>
      <c r="AO146" s="170"/>
      <c r="AP146" s="170"/>
      <c r="AQ146" s="170"/>
      <c r="AR146" s="170"/>
      <c r="AS146" s="170"/>
      <c r="AT146" s="170"/>
      <c r="AU146" s="170"/>
      <c r="AV146" s="170"/>
      <c r="AW146" s="170"/>
      <c r="AX146" s="170"/>
      <c r="AY146" s="170"/>
      <c r="AZ146" s="170"/>
      <c r="BA146" s="170"/>
      <c r="BB146" s="170"/>
      <c r="BC146" s="170"/>
      <c r="BD146" s="170"/>
      <c r="BE146" s="170"/>
      <c r="BF146" s="170"/>
      <c r="BG146" s="170"/>
      <c r="BH146" s="36"/>
      <c r="BI146" s="150" cm="1">
        <f t="array" ref="BI146">IF(A146="","",IFERROR(MATCH(1,INDEX((pjNo=A146)*(pjType="Project"),0),0),""))</f>
        <v>108</v>
      </c>
      <c r="BJ146" s="150" t="str">
        <f>IF(D146="","",IFERROR(INDEX(tblStaff[Staff Level],MATCH(D146,tblStaff[Initials],0)),"?"))</f>
        <v>Principal</v>
      </c>
      <c r="BK146" s="151" cm="1">
        <f t="array" ref="BK146">IF(BI146="","",INDEX(pjStart,BI146))</f>
        <v>46321</v>
      </c>
      <c r="BL146" s="151" cm="1">
        <f t="array" ref="BL146">IF(BI146="","",INDEX(pjEnd,BI146))</f>
        <v>46458</v>
      </c>
      <c r="BM146" s="150">
        <f>IF(BI146="",0,IF(C146="Active",1,IF(C146="Prospective",IF(Assumptions!$B$6="Active only",0,Assumptions!$B$7),0)))</f>
        <v>1</v>
      </c>
      <c r="BN146" s="150">
        <v>1</v>
      </c>
      <c r="BO146" s="36"/>
      <c r="BP146" s="36"/>
    </row>
    <row r="147" spans="1:68" outlineLevel="1" x14ac:dyDescent="0.25">
      <c r="A147" s="167">
        <v>2570</v>
      </c>
      <c r="B147" s="168" t="str" cm="1">
        <f t="array" ref="B147">IF(BI147="","",INDEX(pjName,BI147))</f>
        <v>Saltmarsh Master Plan</v>
      </c>
      <c r="C147" s="167" t="str" cm="1">
        <f t="array" ref="C147">IF(BI147="","",IF(INDEX(pjStatus,BI147)="","",INDEX(pjStatus,BI147)))</f>
        <v>Active</v>
      </c>
      <c r="D147" s="167" t="str" cm="1">
        <f t="array" ref="D147">IFERROR(INDEX(tblStaff[Initials],BN147),"")</f>
        <v>DF</v>
      </c>
      <c r="E147" s="169" cm="1">
        <f t="array" ref="E147">IF(OR(BI147="",D147=""),"",IFERROR(SUMPRODUCT((pjNo=A147)*(pjType="Phase")*INDEX(Projects!$I$5:$O$1188,0,MATCH(D147,Projects!$I$4:$O$4,0))*pjWk),0))</f>
        <v>192</v>
      </c>
      <c r="F147" s="169">
        <f t="shared" si="62"/>
        <v>192</v>
      </c>
      <c r="G147" s="169">
        <f t="shared" si="63"/>
        <v>0</v>
      </c>
      <c r="H147" s="170"/>
      <c r="I147" s="170"/>
      <c r="J147" s="170"/>
      <c r="K147" s="170">
        <v>8</v>
      </c>
      <c r="L147" s="170">
        <v>8</v>
      </c>
      <c r="M147" s="170">
        <v>8</v>
      </c>
      <c r="N147" s="170">
        <v>8</v>
      </c>
      <c r="O147" s="170">
        <v>8</v>
      </c>
      <c r="P147" s="170">
        <v>8</v>
      </c>
      <c r="Q147" s="170">
        <v>8</v>
      </c>
      <c r="R147" s="170">
        <v>8</v>
      </c>
      <c r="S147" s="170">
        <v>8</v>
      </c>
      <c r="T147" s="170">
        <v>8</v>
      </c>
      <c r="U147" s="170">
        <v>8</v>
      </c>
      <c r="V147" s="170">
        <v>8</v>
      </c>
      <c r="W147" s="170">
        <v>8</v>
      </c>
      <c r="X147" s="170">
        <v>8</v>
      </c>
      <c r="Y147" s="170">
        <v>8</v>
      </c>
      <c r="Z147" s="170">
        <v>16</v>
      </c>
      <c r="AA147" s="170">
        <v>16</v>
      </c>
      <c r="AB147" s="170">
        <v>16</v>
      </c>
      <c r="AC147" s="170">
        <v>16</v>
      </c>
      <c r="AD147" s="170">
        <v>8</v>
      </c>
      <c r="AE147" s="170"/>
      <c r="AF147" s="170"/>
      <c r="AG147" s="170"/>
      <c r="AH147" s="170"/>
      <c r="AI147" s="170"/>
      <c r="AJ147" s="170"/>
      <c r="AK147" s="170"/>
      <c r="AL147" s="170"/>
      <c r="AM147" s="170"/>
      <c r="AN147" s="170"/>
      <c r="AO147" s="170"/>
      <c r="AP147" s="170"/>
      <c r="AQ147" s="170"/>
      <c r="AR147" s="170"/>
      <c r="AS147" s="170"/>
      <c r="AT147" s="170"/>
      <c r="AU147" s="170"/>
      <c r="AV147" s="170"/>
      <c r="AW147" s="170"/>
      <c r="AX147" s="170"/>
      <c r="AY147" s="170"/>
      <c r="AZ147" s="170"/>
      <c r="BA147" s="170"/>
      <c r="BB147" s="170"/>
      <c r="BC147" s="170"/>
      <c r="BD147" s="170"/>
      <c r="BE147" s="170"/>
      <c r="BF147" s="170"/>
      <c r="BG147" s="170"/>
      <c r="BH147" s="36"/>
      <c r="BI147" s="150" cm="1">
        <f t="array" ref="BI147">IF(A147="","",IFERROR(MATCH(1,INDEX((pjNo=A147)*(pjType="Project"),0),0),""))</f>
        <v>108</v>
      </c>
      <c r="BJ147" s="150" t="str">
        <f>IF(D147="","",IFERROR(INDEX(tblStaff[Staff Level],MATCH(D147,tblStaff[Initials],0)),"?"))</f>
        <v>Principal</v>
      </c>
      <c r="BK147" s="151" cm="1">
        <f t="array" ref="BK147">IF(BI147="","",INDEX(pjStart,BI147))</f>
        <v>46321</v>
      </c>
      <c r="BL147" s="151" cm="1">
        <f t="array" ref="BL147">IF(BI147="","",INDEX(pjEnd,BI147))</f>
        <v>46458</v>
      </c>
      <c r="BM147" s="150">
        <f>IF(BI147="",0,IF(C147="Active",1,IF(C147="Prospective",IF(Assumptions!$B$6="Active only",0,Assumptions!$B$7),0)))</f>
        <v>1</v>
      </c>
      <c r="BN147" s="150">
        <v>2</v>
      </c>
      <c r="BO147" s="36"/>
      <c r="BP147" s="36"/>
    </row>
    <row r="148" spans="1:68" outlineLevel="1" x14ac:dyDescent="0.25">
      <c r="A148" s="158">
        <v>2570</v>
      </c>
      <c r="B148" s="157" t="str" cm="1">
        <f t="array" ref="B148">IF(BI148="","",INDEX(pjName,BI148))</f>
        <v>Saltmarsh Master Plan</v>
      </c>
      <c r="C148" s="158" t="str" cm="1">
        <f t="array" ref="C148">IF(BI148="","",IF(INDEX(pjStatus,BI148)="","",INDEX(pjStatus,BI148)))</f>
        <v>Active</v>
      </c>
      <c r="D148" s="158" t="str" cm="1">
        <f t="array" ref="D148">IFERROR(INDEX(tblStaff[Initials],BN148),"")</f>
        <v>KJ</v>
      </c>
      <c r="E148" s="159" cm="1">
        <f t="array" ref="E148">IF(OR(BI148="",D148=""),"",IFERROR(SUMPRODUCT((pjNo=A148)*(pjType="Phase")*INDEX(Projects!$I$5:$O$1188,0,MATCH(D148,Projects!$I$4:$O$4,0))*pjWk),0))</f>
        <v>0</v>
      </c>
      <c r="F148" s="159">
        <f t="shared" si="62"/>
        <v>0</v>
      </c>
      <c r="G148" s="159">
        <f t="shared" si="63"/>
        <v>0</v>
      </c>
      <c r="H148" s="160"/>
      <c r="I148" s="160"/>
      <c r="J148" s="160"/>
      <c r="K148" s="160"/>
      <c r="L148" s="160"/>
      <c r="M148" s="160"/>
      <c r="N148" s="160"/>
      <c r="O148" s="160"/>
      <c r="P148" s="160"/>
      <c r="Q148" s="160"/>
      <c r="R148" s="160"/>
      <c r="S148" s="160"/>
      <c r="T148" s="160"/>
      <c r="U148" s="160"/>
      <c r="V148" s="160"/>
      <c r="W148" s="160"/>
      <c r="X148" s="160"/>
      <c r="Y148" s="160"/>
      <c r="Z148" s="160"/>
      <c r="AA148" s="160"/>
      <c r="AB148" s="160"/>
      <c r="AC148" s="160"/>
      <c r="AD148" s="160"/>
      <c r="AE148" s="160"/>
      <c r="AF148" s="160"/>
      <c r="AG148" s="160"/>
      <c r="AH148" s="160"/>
      <c r="AI148" s="160"/>
      <c r="AJ148" s="160"/>
      <c r="AK148" s="160"/>
      <c r="AL148" s="160"/>
      <c r="AM148" s="160"/>
      <c r="AN148" s="160"/>
      <c r="AO148" s="160"/>
      <c r="AP148" s="160"/>
      <c r="AQ148" s="160"/>
      <c r="AR148" s="160"/>
      <c r="AS148" s="160"/>
      <c r="AT148" s="160"/>
      <c r="AU148" s="160"/>
      <c r="AV148" s="160"/>
      <c r="AW148" s="160"/>
      <c r="AX148" s="160"/>
      <c r="AY148" s="160"/>
      <c r="AZ148" s="160"/>
      <c r="BA148" s="160"/>
      <c r="BB148" s="160"/>
      <c r="BC148" s="160"/>
      <c r="BD148" s="160"/>
      <c r="BE148" s="160"/>
      <c r="BF148" s="160"/>
      <c r="BG148" s="160"/>
      <c r="BH148" s="36"/>
      <c r="BI148" s="150" cm="1">
        <f t="array" ref="BI148">IF(A148="","",IFERROR(MATCH(1,INDEX((pjNo=A148)*(pjType="Project"),0),0),""))</f>
        <v>108</v>
      </c>
      <c r="BJ148" s="150" t="str">
        <f>IF(D148="","",IFERROR(INDEX(tblStaff[Staff Level],MATCH(D148,tblStaff[Initials],0)),"?"))</f>
        <v>Director</v>
      </c>
      <c r="BK148" s="151" cm="1">
        <f t="array" ref="BK148">IF(BI148="","",INDEX(pjStart,BI148))</f>
        <v>46321</v>
      </c>
      <c r="BL148" s="151" cm="1">
        <f t="array" ref="BL148">IF(BI148="","",INDEX(pjEnd,BI148))</f>
        <v>46458</v>
      </c>
      <c r="BM148" s="150">
        <f>IF(BI148="",0,IF(C148="Active",1,IF(C148="Prospective",IF(Assumptions!$B$6="Active only",0,Assumptions!$B$7),0)))</f>
        <v>1</v>
      </c>
      <c r="BN148" s="150">
        <v>3</v>
      </c>
      <c r="BO148" s="36"/>
      <c r="BP148" s="36"/>
    </row>
    <row r="149" spans="1:68" outlineLevel="1" x14ac:dyDescent="0.25">
      <c r="A149" s="158">
        <v>2570</v>
      </c>
      <c r="B149" s="157" t="str" cm="1">
        <f t="array" ref="B149">IF(BI149="","",INDEX(pjName,BI149))</f>
        <v>Saltmarsh Master Plan</v>
      </c>
      <c r="C149" s="158" t="str" cm="1">
        <f t="array" ref="C149">IF(BI149="","",IF(INDEX(pjStatus,BI149)="","",INDEX(pjStatus,BI149)))</f>
        <v>Active</v>
      </c>
      <c r="D149" s="158" t="str" cm="1">
        <f t="array" ref="D149">IFERROR(INDEX(tblStaff[Initials],BN149),"")</f>
        <v>HL</v>
      </c>
      <c r="E149" s="159" cm="1">
        <f t="array" ref="E149">IF(OR(BI149="",D149=""),"",IFERROR(SUMPRODUCT((pjNo=A149)*(pjType="Phase")*INDEX(Projects!$I$5:$O$1188,0,MATCH(D149,Projects!$I$4:$O$4,0))*pjWk),0))</f>
        <v>0</v>
      </c>
      <c r="F149" s="159">
        <f t="shared" si="62"/>
        <v>0</v>
      </c>
      <c r="G149" s="159">
        <f t="shared" si="63"/>
        <v>0</v>
      </c>
      <c r="H149" s="160"/>
      <c r="I149" s="160"/>
      <c r="J149" s="160"/>
      <c r="K149" s="160"/>
      <c r="L149" s="160"/>
      <c r="M149" s="160"/>
      <c r="N149" s="160"/>
      <c r="O149" s="160"/>
      <c r="P149" s="160"/>
      <c r="Q149" s="160"/>
      <c r="R149" s="160"/>
      <c r="S149" s="160"/>
      <c r="T149" s="160"/>
      <c r="U149" s="160"/>
      <c r="V149" s="160"/>
      <c r="W149" s="160"/>
      <c r="X149" s="160"/>
      <c r="Y149" s="160"/>
      <c r="Z149" s="160"/>
      <c r="AA149" s="160"/>
      <c r="AB149" s="160"/>
      <c r="AC149" s="160"/>
      <c r="AD149" s="160"/>
      <c r="AE149" s="160"/>
      <c r="AF149" s="160"/>
      <c r="AG149" s="160"/>
      <c r="AH149" s="160"/>
      <c r="AI149" s="160"/>
      <c r="AJ149" s="160"/>
      <c r="AK149" s="160"/>
      <c r="AL149" s="160"/>
      <c r="AM149" s="160"/>
      <c r="AN149" s="160"/>
      <c r="AO149" s="160"/>
      <c r="AP149" s="160"/>
      <c r="AQ149" s="160"/>
      <c r="AR149" s="160"/>
      <c r="AS149" s="160"/>
      <c r="AT149" s="160"/>
      <c r="AU149" s="160"/>
      <c r="AV149" s="160"/>
      <c r="AW149" s="160"/>
      <c r="AX149" s="160"/>
      <c r="AY149" s="160"/>
      <c r="AZ149" s="160"/>
      <c r="BA149" s="160"/>
      <c r="BB149" s="160"/>
      <c r="BC149" s="160"/>
      <c r="BD149" s="160"/>
      <c r="BE149" s="160"/>
      <c r="BF149" s="160"/>
      <c r="BG149" s="160"/>
      <c r="BH149" s="36"/>
      <c r="BI149" s="150" cm="1">
        <f t="array" ref="BI149">IF(A149="","",IFERROR(MATCH(1,INDEX((pjNo=A149)*(pjType="Project"),0),0),""))</f>
        <v>108</v>
      </c>
      <c r="BJ149" s="150" t="str">
        <f>IF(D149="","",IFERROR(INDEX(tblStaff[Staff Level],MATCH(D149,tblStaff[Initials],0)),"?"))</f>
        <v>Senior Designer</v>
      </c>
      <c r="BK149" s="151" cm="1">
        <f t="array" ref="BK149">IF(BI149="","",INDEX(pjStart,BI149))</f>
        <v>46321</v>
      </c>
      <c r="BL149" s="151" cm="1">
        <f t="array" ref="BL149">IF(BI149="","",INDEX(pjEnd,BI149))</f>
        <v>46458</v>
      </c>
      <c r="BM149" s="150">
        <f>IF(BI149="",0,IF(C149="Active",1,IF(C149="Prospective",IF(Assumptions!$B$6="Active only",0,Assumptions!$B$7),0)))</f>
        <v>1</v>
      </c>
      <c r="BN149" s="150">
        <v>4</v>
      </c>
      <c r="BO149" s="36"/>
      <c r="BP149" s="36"/>
    </row>
    <row r="150" spans="1:68" outlineLevel="1" x14ac:dyDescent="0.25">
      <c r="A150" s="158">
        <v>2570</v>
      </c>
      <c r="B150" s="157" t="str" cm="1">
        <f t="array" ref="B150">IF(BI150="","",INDEX(pjName,BI150))</f>
        <v>Saltmarsh Master Plan</v>
      </c>
      <c r="C150" s="158" t="str" cm="1">
        <f t="array" ref="C150">IF(BI150="","",IF(INDEX(pjStatus,BI150)="","",INDEX(pjStatus,BI150)))</f>
        <v>Active</v>
      </c>
      <c r="D150" s="158" t="str" cm="1">
        <f t="array" ref="D150">IFERROR(INDEX(tblStaff[Initials],BN150),"")</f>
        <v>EHH</v>
      </c>
      <c r="E150" s="159" cm="1">
        <f t="array" ref="E150">IF(OR(BI150="",D150=""),"",IFERROR(SUMPRODUCT((pjNo=A150)*(pjType="Phase")*INDEX(Projects!$I$5:$O$1188,0,MATCH(D150,Projects!$I$4:$O$4,0))*pjWk),0))</f>
        <v>312</v>
      </c>
      <c r="F150" s="159">
        <f t="shared" si="62"/>
        <v>176</v>
      </c>
      <c r="G150" s="159">
        <f t="shared" si="63"/>
        <v>136</v>
      </c>
      <c r="H150" s="160"/>
      <c r="I150" s="160"/>
      <c r="J150" s="160"/>
      <c r="K150" s="160">
        <v>8</v>
      </c>
      <c r="L150" s="160">
        <v>8</v>
      </c>
      <c r="M150" s="160">
        <v>8</v>
      </c>
      <c r="N150" s="160">
        <v>8</v>
      </c>
      <c r="O150" s="160">
        <v>8</v>
      </c>
      <c r="P150" s="160">
        <v>8</v>
      </c>
      <c r="Q150" s="160">
        <v>16</v>
      </c>
      <c r="R150" s="160">
        <v>16</v>
      </c>
      <c r="S150" s="160">
        <v>16</v>
      </c>
      <c r="T150" s="160">
        <v>16</v>
      </c>
      <c r="U150" s="160">
        <v>16</v>
      </c>
      <c r="V150" s="160">
        <v>16</v>
      </c>
      <c r="W150" s="160">
        <v>16</v>
      </c>
      <c r="X150" s="160">
        <v>16</v>
      </c>
      <c r="Y150" s="160"/>
      <c r="Z150" s="160"/>
      <c r="AA150" s="160"/>
      <c r="AB150" s="160"/>
      <c r="AC150" s="160"/>
      <c r="AD150" s="160"/>
      <c r="AE150" s="160"/>
      <c r="AF150" s="160"/>
      <c r="AG150" s="160"/>
      <c r="AH150" s="160"/>
      <c r="AI150" s="160"/>
      <c r="AJ150" s="160"/>
      <c r="AK150" s="160"/>
      <c r="AL150" s="160"/>
      <c r="AM150" s="160"/>
      <c r="AN150" s="160"/>
      <c r="AO150" s="160"/>
      <c r="AP150" s="160"/>
      <c r="AQ150" s="160"/>
      <c r="AR150" s="160"/>
      <c r="AS150" s="160"/>
      <c r="AT150" s="160"/>
      <c r="AU150" s="160"/>
      <c r="AV150" s="160"/>
      <c r="AW150" s="160"/>
      <c r="AX150" s="160"/>
      <c r="AY150" s="160"/>
      <c r="AZ150" s="160"/>
      <c r="BA150" s="160"/>
      <c r="BB150" s="160"/>
      <c r="BC150" s="160"/>
      <c r="BD150" s="160"/>
      <c r="BE150" s="160"/>
      <c r="BF150" s="160"/>
      <c r="BG150" s="160"/>
      <c r="BH150" s="36"/>
      <c r="BI150" s="150" cm="1">
        <f t="array" ref="BI150">IF(A150="","",IFERROR(MATCH(1,INDEX((pjNo=A150)*(pjType="Project"),0),0),""))</f>
        <v>108</v>
      </c>
      <c r="BJ150" s="150" t="str">
        <f>IF(D150="","",IFERROR(INDEX(tblStaff[Staff Level],MATCH(D150,tblStaff[Initials],0)),"?"))</f>
        <v>Mid Level Designer</v>
      </c>
      <c r="BK150" s="151" cm="1">
        <f t="array" ref="BK150">IF(BI150="","",INDEX(pjStart,BI150))</f>
        <v>46321</v>
      </c>
      <c r="BL150" s="151" cm="1">
        <f t="array" ref="BL150">IF(BI150="","",INDEX(pjEnd,BI150))</f>
        <v>46458</v>
      </c>
      <c r="BM150" s="150">
        <f>IF(BI150="",0,IF(C150="Active",1,IF(C150="Prospective",IF(Assumptions!$B$6="Active only",0,Assumptions!$B$7),0)))</f>
        <v>1</v>
      </c>
      <c r="BN150" s="150">
        <v>5</v>
      </c>
      <c r="BO150" s="36"/>
      <c r="BP150" s="36"/>
    </row>
    <row r="151" spans="1:68" outlineLevel="1" x14ac:dyDescent="0.25">
      <c r="A151" s="158">
        <v>2570</v>
      </c>
      <c r="B151" s="157" t="str" cm="1">
        <f t="array" ref="B151">IF(BI151="","",INDEX(pjName,BI151))</f>
        <v>Saltmarsh Master Plan</v>
      </c>
      <c r="C151" s="158" t="str" cm="1">
        <f t="array" ref="C151">IF(BI151="","",IF(INDEX(pjStatus,BI151)="","",INDEX(pjStatus,BI151)))</f>
        <v>Active</v>
      </c>
      <c r="D151" s="158" t="str" cm="1">
        <f t="array" ref="D151">IFERROR(INDEX(tblStaff[Initials],BN151),"")</f>
        <v>KD</v>
      </c>
      <c r="E151" s="159" cm="1">
        <f t="array" ref="E151">IF(OR(BI151="",D151=""),"",IFERROR(SUMPRODUCT((pjNo=A151)*(pjType="Phase")*INDEX(Projects!$I$5:$O$1188,0,MATCH(D151,Projects!$I$4:$O$4,0))*pjWk),0))</f>
        <v>0</v>
      </c>
      <c r="F151" s="159">
        <f t="shared" si="62"/>
        <v>0</v>
      </c>
      <c r="G151" s="159">
        <f t="shared" si="63"/>
        <v>0</v>
      </c>
      <c r="H151" s="160"/>
      <c r="I151" s="160"/>
      <c r="J151" s="160"/>
      <c r="K151" s="160"/>
      <c r="L151" s="160"/>
      <c r="M151" s="160"/>
      <c r="N151" s="160"/>
      <c r="O151" s="160"/>
      <c r="P151" s="160"/>
      <c r="Q151" s="160"/>
      <c r="R151" s="160"/>
      <c r="S151" s="160"/>
      <c r="T151" s="160"/>
      <c r="U151" s="160"/>
      <c r="V151" s="160"/>
      <c r="W151" s="160"/>
      <c r="X151" s="160"/>
      <c r="Y151" s="160"/>
      <c r="Z151" s="160"/>
      <c r="AA151" s="160"/>
      <c r="AB151" s="160"/>
      <c r="AC151" s="160"/>
      <c r="AD151" s="160"/>
      <c r="AE151" s="160"/>
      <c r="AF151" s="160"/>
      <c r="AG151" s="160"/>
      <c r="AH151" s="160"/>
      <c r="AI151" s="160"/>
      <c r="AJ151" s="160"/>
      <c r="AK151" s="160"/>
      <c r="AL151" s="160"/>
      <c r="AM151" s="160"/>
      <c r="AN151" s="160"/>
      <c r="AO151" s="160"/>
      <c r="AP151" s="160"/>
      <c r="AQ151" s="160"/>
      <c r="AR151" s="160"/>
      <c r="AS151" s="160"/>
      <c r="AT151" s="160"/>
      <c r="AU151" s="160"/>
      <c r="AV151" s="160"/>
      <c r="AW151" s="160"/>
      <c r="AX151" s="160"/>
      <c r="AY151" s="160"/>
      <c r="AZ151" s="160"/>
      <c r="BA151" s="160"/>
      <c r="BB151" s="160"/>
      <c r="BC151" s="160"/>
      <c r="BD151" s="160"/>
      <c r="BE151" s="160"/>
      <c r="BF151" s="160"/>
      <c r="BG151" s="160"/>
      <c r="BH151" s="36"/>
      <c r="BI151" s="150" cm="1">
        <f t="array" ref="BI151">IF(A151="","",IFERROR(MATCH(1,INDEX((pjNo=A151)*(pjType="Project"),0),0),""))</f>
        <v>108</v>
      </c>
      <c r="BJ151" s="150" t="str">
        <f>IF(D151="","",IFERROR(INDEX(tblStaff[Staff Level],MATCH(D151,tblStaff[Initials],0)),"?"))</f>
        <v>Mid Level Designer</v>
      </c>
      <c r="BK151" s="151" cm="1">
        <f t="array" ref="BK151">IF(BI151="","",INDEX(pjStart,BI151))</f>
        <v>46321</v>
      </c>
      <c r="BL151" s="151" cm="1">
        <f t="array" ref="BL151">IF(BI151="","",INDEX(pjEnd,BI151))</f>
        <v>46458</v>
      </c>
      <c r="BM151" s="150">
        <f>IF(BI151="",0,IF(C151="Active",1,IF(C151="Prospective",IF(Assumptions!$B$6="Active only",0,Assumptions!$B$7),0)))</f>
        <v>1</v>
      </c>
      <c r="BN151" s="150">
        <v>6</v>
      </c>
      <c r="BO151" s="36"/>
      <c r="BP151" s="36"/>
    </row>
    <row r="152" spans="1:68" outlineLevel="1" x14ac:dyDescent="0.25">
      <c r="A152" s="158">
        <v>2570</v>
      </c>
      <c r="B152" s="157" t="str" cm="1">
        <f t="array" ref="B152">IF(BI152="","",INDEX(pjName,BI152))</f>
        <v>Saltmarsh Master Plan</v>
      </c>
      <c r="C152" s="158" t="str" cm="1">
        <f t="array" ref="C152">IF(BI152="","",IF(INDEX(pjStatus,BI152)="","",INDEX(pjStatus,BI152)))</f>
        <v>Active</v>
      </c>
      <c r="D152" s="158" t="str" cm="1">
        <f t="array" ref="D152">IFERROR(INDEX(tblStaff[Initials],BN152),"")</f>
        <v>XX</v>
      </c>
      <c r="E152" s="159" cm="1">
        <f t="array" ref="E152">IF(OR(BI152="",D152=""),"",IFERROR(SUMPRODUCT((pjNo=A152)*(pjType="Phase")*INDEX(Projects!$I$5:$O$1188,0,MATCH(D152,Projects!$I$4:$O$4,0))*pjWk),0))</f>
        <v>576</v>
      </c>
      <c r="F152" s="159">
        <f t="shared" si="62"/>
        <v>0</v>
      </c>
      <c r="G152" s="159">
        <f t="shared" si="63"/>
        <v>576</v>
      </c>
      <c r="H152" s="160"/>
      <c r="I152" s="160"/>
      <c r="J152" s="160"/>
      <c r="K152" s="160"/>
      <c r="L152" s="160"/>
      <c r="M152" s="160"/>
      <c r="N152" s="160"/>
      <c r="O152" s="160"/>
      <c r="P152" s="160"/>
      <c r="Q152" s="160"/>
      <c r="R152" s="160"/>
      <c r="S152" s="160"/>
      <c r="T152" s="160"/>
      <c r="U152" s="160"/>
      <c r="V152" s="160"/>
      <c r="W152" s="160"/>
      <c r="X152" s="160"/>
      <c r="Y152" s="160"/>
      <c r="Z152" s="160"/>
      <c r="AA152" s="160"/>
      <c r="AB152" s="160"/>
      <c r="AC152" s="160"/>
      <c r="AD152" s="160"/>
      <c r="AE152" s="160"/>
      <c r="AF152" s="160"/>
      <c r="AG152" s="160"/>
      <c r="AH152" s="160"/>
      <c r="AI152" s="160"/>
      <c r="AJ152" s="160"/>
      <c r="AK152" s="160"/>
      <c r="AL152" s="160"/>
      <c r="AM152" s="160"/>
      <c r="AN152" s="160"/>
      <c r="AO152" s="160"/>
      <c r="AP152" s="160"/>
      <c r="AQ152" s="160"/>
      <c r="AR152" s="160"/>
      <c r="AS152" s="160"/>
      <c r="AT152" s="160"/>
      <c r="AU152" s="160"/>
      <c r="AV152" s="160"/>
      <c r="AW152" s="160"/>
      <c r="AX152" s="160"/>
      <c r="AY152" s="160"/>
      <c r="AZ152" s="160"/>
      <c r="BA152" s="160"/>
      <c r="BB152" s="160"/>
      <c r="BC152" s="160"/>
      <c r="BD152" s="160"/>
      <c r="BE152" s="160"/>
      <c r="BF152" s="160"/>
      <c r="BG152" s="160"/>
      <c r="BH152" s="36"/>
      <c r="BI152" s="150" cm="1">
        <f t="array" ref="BI152">IF(A152="","",IFERROR(MATCH(1,INDEX((pjNo=A152)*(pjType="Project"),0),0),""))</f>
        <v>108</v>
      </c>
      <c r="BJ152" s="150" t="str">
        <f>IF(D152="","",IFERROR(INDEX(tblStaff[Staff Level],MATCH(D152,tblStaff[Initials],0)),"?"))</f>
        <v>Project Designer</v>
      </c>
      <c r="BK152" s="151" cm="1">
        <f t="array" ref="BK152">IF(BI152="","",INDEX(pjStart,BI152))</f>
        <v>46321</v>
      </c>
      <c r="BL152" s="151" cm="1">
        <f t="array" ref="BL152">IF(BI152="","",INDEX(pjEnd,BI152))</f>
        <v>46458</v>
      </c>
      <c r="BM152" s="150">
        <f>IF(BI152="",0,IF(C152="Active",1,IF(C152="Prospective",IF(Assumptions!$B$6="Active only",0,Assumptions!$B$7),0)))</f>
        <v>1</v>
      </c>
      <c r="BN152" s="150">
        <v>7</v>
      </c>
      <c r="BO152" s="36"/>
      <c r="BP152" s="36"/>
    </row>
    <row r="153" spans="1:68" outlineLevel="1" x14ac:dyDescent="0.25">
      <c r="A153" s="162">
        <v>2570</v>
      </c>
      <c r="B153" s="161" t="str" cm="1">
        <f t="array" ref="B153">IF(BI153="","",INDEX(pjName,BI153))</f>
        <v>Saltmarsh Master Plan</v>
      </c>
      <c r="C153" s="162" t="str" cm="1">
        <f t="array" ref="C153">IF(BI153="","",IF(INDEX(pjStatus,BI153)="","",INDEX(pjStatus,BI153)))</f>
        <v>Active</v>
      </c>
      <c r="D153" s="162" t="str" cm="1">
        <f t="array" ref="D153">IFERROR(INDEX(tblStaff[Initials],BN153),"")</f>
        <v/>
      </c>
      <c r="E153" s="163" t="str" cm="1">
        <f t="array" ref="E153">IF(OR(BI153="",D153=""),"",IFERROR(SUMPRODUCT((pjNo=A153)*(pjType="Phase")*INDEX(Projects!$I$5:$O$1188,0,MATCH(D153,Projects!$I$4:$O$4,0))*pjWk),0))</f>
        <v/>
      </c>
      <c r="F153" s="163">
        <f t="shared" si="62"/>
        <v>0</v>
      </c>
      <c r="G153" s="163" t="str">
        <f t="shared" si="63"/>
        <v/>
      </c>
      <c r="H153" s="164"/>
      <c r="I153" s="164"/>
      <c r="J153" s="164"/>
      <c r="K153" s="164"/>
      <c r="L153" s="164"/>
      <c r="M153" s="164"/>
      <c r="N153" s="164"/>
      <c r="O153" s="164"/>
      <c r="P153" s="164"/>
      <c r="Q153" s="164"/>
      <c r="R153" s="164"/>
      <c r="S153" s="164"/>
      <c r="T153" s="164"/>
      <c r="U153" s="164"/>
      <c r="V153" s="164"/>
      <c r="W153" s="164"/>
      <c r="X153" s="164"/>
      <c r="Y153" s="164"/>
      <c r="Z153" s="164"/>
      <c r="AA153" s="164"/>
      <c r="AB153" s="164"/>
      <c r="AC153" s="164"/>
      <c r="AD153" s="164"/>
      <c r="AE153" s="164"/>
      <c r="AF153" s="164"/>
      <c r="AG153" s="164"/>
      <c r="AH153" s="164"/>
      <c r="AI153" s="164"/>
      <c r="AJ153" s="164"/>
      <c r="AK153" s="164"/>
      <c r="AL153" s="164"/>
      <c r="AM153" s="164"/>
      <c r="AN153" s="164"/>
      <c r="AO153" s="164"/>
      <c r="AP153" s="164"/>
      <c r="AQ153" s="164"/>
      <c r="AR153" s="164"/>
      <c r="AS153" s="164"/>
      <c r="AT153" s="164"/>
      <c r="AU153" s="164"/>
      <c r="AV153" s="164"/>
      <c r="AW153" s="164"/>
      <c r="AX153" s="164"/>
      <c r="AY153" s="164"/>
      <c r="AZ153" s="164"/>
      <c r="BA153" s="164"/>
      <c r="BB153" s="164"/>
      <c r="BC153" s="164"/>
      <c r="BD153" s="164"/>
      <c r="BE153" s="164"/>
      <c r="BF153" s="164"/>
      <c r="BG153" s="164"/>
      <c r="BH153" s="36"/>
      <c r="BI153" s="150" cm="1">
        <f t="array" ref="BI153">IF(A153="","",IFERROR(MATCH(1,INDEX((pjNo=A153)*(pjType="Project"),0),0),""))</f>
        <v>108</v>
      </c>
      <c r="BJ153" s="150" t="str">
        <f>IF(D153="","",IFERROR(INDEX(tblStaff[Staff Level],MATCH(D153,tblStaff[Initials],0)),"?"))</f>
        <v/>
      </c>
      <c r="BK153" s="151" cm="1">
        <f t="array" ref="BK153">IF(BI153="","",INDEX(pjStart,BI153))</f>
        <v>46321</v>
      </c>
      <c r="BL153" s="151" cm="1">
        <f t="array" ref="BL153">IF(BI153="","",INDEX(pjEnd,BI153))</f>
        <v>46458</v>
      </c>
      <c r="BM153" s="150">
        <f>IF(BI153="",0,IF(C153="Active",1,IF(C153="Prospective",IF(Assumptions!$B$6="Active only",0,Assumptions!$B$7),0)))</f>
        <v>1</v>
      </c>
      <c r="BN153" s="150">
        <v>8</v>
      </c>
      <c r="BO153" s="36"/>
      <c r="BP153" s="36"/>
    </row>
    <row r="154" spans="1:68" x14ac:dyDescent="0.25">
      <c r="A154" s="171"/>
      <c r="B154" s="173" t="str">
        <f>IF(A155="","",A155&amp;" · "&amp;B155)</f>
        <v>2576 · Westbury Elementary School</v>
      </c>
      <c r="C154" s="171" t="str">
        <f>IF(A155="","",C155)</f>
        <v>Inactive</v>
      </c>
      <c r="D154" s="171"/>
      <c r="E154" s="172">
        <f>SUM(E155:E162)</f>
        <v>0</v>
      </c>
      <c r="F154" s="172">
        <f>SUM(F155:F162)</f>
        <v>0</v>
      </c>
      <c r="G154" s="172" t="str">
        <f>IF(E154=0,"",E154-F154)</f>
        <v/>
      </c>
      <c r="H154" s="174">
        <f t="shared" ref="H154:AM154" si="64">SUM(H155:H162)</f>
        <v>0</v>
      </c>
      <c r="I154" s="174">
        <f t="shared" si="64"/>
        <v>0</v>
      </c>
      <c r="J154" s="174">
        <f t="shared" si="64"/>
        <v>0</v>
      </c>
      <c r="K154" s="174">
        <f t="shared" si="64"/>
        <v>0</v>
      </c>
      <c r="L154" s="174">
        <f t="shared" si="64"/>
        <v>0</v>
      </c>
      <c r="M154" s="174">
        <f t="shared" si="64"/>
        <v>0</v>
      </c>
      <c r="N154" s="174">
        <f t="shared" si="64"/>
        <v>0</v>
      </c>
      <c r="O154" s="174">
        <f t="shared" si="64"/>
        <v>0</v>
      </c>
      <c r="P154" s="174">
        <f t="shared" si="64"/>
        <v>0</v>
      </c>
      <c r="Q154" s="174">
        <f t="shared" si="64"/>
        <v>0</v>
      </c>
      <c r="R154" s="174">
        <f t="shared" si="64"/>
        <v>0</v>
      </c>
      <c r="S154" s="174">
        <f t="shared" si="64"/>
        <v>0</v>
      </c>
      <c r="T154" s="174">
        <f t="shared" si="64"/>
        <v>0</v>
      </c>
      <c r="U154" s="174">
        <f t="shared" si="64"/>
        <v>0</v>
      </c>
      <c r="V154" s="174">
        <f t="shared" si="64"/>
        <v>0</v>
      </c>
      <c r="W154" s="174">
        <f t="shared" si="64"/>
        <v>0</v>
      </c>
      <c r="X154" s="174">
        <f t="shared" si="64"/>
        <v>0</v>
      </c>
      <c r="Y154" s="174">
        <f t="shared" si="64"/>
        <v>0</v>
      </c>
      <c r="Z154" s="174">
        <f t="shared" si="64"/>
        <v>0</v>
      </c>
      <c r="AA154" s="174">
        <f t="shared" si="64"/>
        <v>0</v>
      </c>
      <c r="AB154" s="174">
        <f t="shared" si="64"/>
        <v>0</v>
      </c>
      <c r="AC154" s="174">
        <f t="shared" si="64"/>
        <v>0</v>
      </c>
      <c r="AD154" s="174">
        <f t="shared" si="64"/>
        <v>0</v>
      </c>
      <c r="AE154" s="174">
        <f t="shared" si="64"/>
        <v>0</v>
      </c>
      <c r="AF154" s="174">
        <f t="shared" si="64"/>
        <v>0</v>
      </c>
      <c r="AG154" s="174">
        <f t="shared" si="64"/>
        <v>0</v>
      </c>
      <c r="AH154" s="174">
        <f t="shared" si="64"/>
        <v>0</v>
      </c>
      <c r="AI154" s="174">
        <f t="shared" si="64"/>
        <v>0</v>
      </c>
      <c r="AJ154" s="174">
        <f t="shared" si="64"/>
        <v>0</v>
      </c>
      <c r="AK154" s="174">
        <f t="shared" si="64"/>
        <v>0</v>
      </c>
      <c r="AL154" s="174">
        <f t="shared" si="64"/>
        <v>0</v>
      </c>
      <c r="AM154" s="174">
        <f t="shared" si="64"/>
        <v>0</v>
      </c>
      <c r="AN154" s="174">
        <f t="shared" ref="AN154:BG154" si="65">SUM(AN155:AN162)</f>
        <v>0</v>
      </c>
      <c r="AO154" s="174">
        <f t="shared" si="65"/>
        <v>0</v>
      </c>
      <c r="AP154" s="174">
        <f t="shared" si="65"/>
        <v>0</v>
      </c>
      <c r="AQ154" s="174">
        <f t="shared" si="65"/>
        <v>0</v>
      </c>
      <c r="AR154" s="174">
        <f t="shared" si="65"/>
        <v>0</v>
      </c>
      <c r="AS154" s="174">
        <f t="shared" si="65"/>
        <v>0</v>
      </c>
      <c r="AT154" s="174">
        <f t="shared" si="65"/>
        <v>0</v>
      </c>
      <c r="AU154" s="174">
        <f t="shared" si="65"/>
        <v>0</v>
      </c>
      <c r="AV154" s="174">
        <f t="shared" si="65"/>
        <v>0</v>
      </c>
      <c r="AW154" s="174">
        <f t="shared" si="65"/>
        <v>0</v>
      </c>
      <c r="AX154" s="174">
        <f t="shared" si="65"/>
        <v>0</v>
      </c>
      <c r="AY154" s="174">
        <f t="shared" si="65"/>
        <v>0</v>
      </c>
      <c r="AZ154" s="174">
        <f t="shared" si="65"/>
        <v>0</v>
      </c>
      <c r="BA154" s="174">
        <f t="shared" si="65"/>
        <v>0</v>
      </c>
      <c r="BB154" s="174">
        <f t="shared" si="65"/>
        <v>0</v>
      </c>
      <c r="BC154" s="174">
        <f t="shared" si="65"/>
        <v>0</v>
      </c>
      <c r="BD154" s="174">
        <f t="shared" si="65"/>
        <v>0</v>
      </c>
      <c r="BE154" s="174">
        <f t="shared" si="65"/>
        <v>0</v>
      </c>
      <c r="BF154" s="174">
        <f t="shared" si="65"/>
        <v>0</v>
      </c>
      <c r="BG154" s="174">
        <f t="shared" si="65"/>
        <v>0</v>
      </c>
      <c r="BH154" s="36"/>
      <c r="BI154" s="150"/>
      <c r="BJ154" s="150"/>
      <c r="BK154" s="151"/>
      <c r="BL154" s="151"/>
      <c r="BM154" s="150"/>
      <c r="BN154" s="150"/>
      <c r="BO154" s="36"/>
      <c r="BP154" s="36"/>
    </row>
    <row r="155" spans="1:68" hidden="1" outlineLevel="1" x14ac:dyDescent="0.25">
      <c r="A155" s="167">
        <v>2576</v>
      </c>
      <c r="B155" s="168" t="str" cm="1">
        <f t="array" ref="B155">IF(BI155="","",INDEX(pjName,BI155))</f>
        <v>Westbury Elementary School</v>
      </c>
      <c r="C155" s="167" t="str" cm="1">
        <f t="array" ref="C155">IF(BI155="","",IF(INDEX(pjStatus,BI155)="","",INDEX(pjStatus,BI155)))</f>
        <v>Inactive</v>
      </c>
      <c r="D155" s="167" t="str" cm="1">
        <f t="array" ref="D155">IFERROR(INDEX(tblStaff[Initials],BN155),"")</f>
        <v>PK</v>
      </c>
      <c r="E155" s="169" cm="1">
        <f t="array" ref="E155">IF(OR(BI155="",D155=""),"",IFERROR(SUMPRODUCT((pjNo=A155)*(pjType="Phase")*INDEX(Projects!$I$5:$O$1188,0,MATCH(D155,Projects!$I$4:$O$4,0))*pjWk),0))</f>
        <v>0</v>
      </c>
      <c r="F155" s="169">
        <f t="shared" ref="F155:F162" si="66">IF(BI155="","",SUM(H155:BG155))</f>
        <v>0</v>
      </c>
      <c r="G155" s="169">
        <f t="shared" ref="G155:G162" si="67">IF(OR(E155="",F155=""),"",E155-F155)</f>
        <v>0</v>
      </c>
      <c r="H155" s="170"/>
      <c r="I155" s="170"/>
      <c r="J155" s="170"/>
      <c r="K155" s="170"/>
      <c r="L155" s="170"/>
      <c r="M155" s="170"/>
      <c r="N155" s="170"/>
      <c r="O155" s="170"/>
      <c r="P155" s="170"/>
      <c r="Q155" s="170"/>
      <c r="R155" s="170"/>
      <c r="S155" s="170"/>
      <c r="T155" s="170"/>
      <c r="U155" s="170"/>
      <c r="V155" s="170"/>
      <c r="W155" s="170"/>
      <c r="X155" s="170"/>
      <c r="Y155" s="170"/>
      <c r="Z155" s="170"/>
      <c r="AA155" s="170"/>
      <c r="AB155" s="170"/>
      <c r="AC155" s="170"/>
      <c r="AD155" s="170"/>
      <c r="AE155" s="170"/>
      <c r="AF155" s="170"/>
      <c r="AG155" s="170"/>
      <c r="AH155" s="170"/>
      <c r="AI155" s="170"/>
      <c r="AJ155" s="170"/>
      <c r="AK155" s="170"/>
      <c r="AL155" s="170"/>
      <c r="AM155" s="170"/>
      <c r="AN155" s="170"/>
      <c r="AO155" s="170"/>
      <c r="AP155" s="170"/>
      <c r="AQ155" s="170"/>
      <c r="AR155" s="170"/>
      <c r="AS155" s="170"/>
      <c r="AT155" s="170"/>
      <c r="AU155" s="170"/>
      <c r="AV155" s="170"/>
      <c r="AW155" s="170"/>
      <c r="AX155" s="170"/>
      <c r="AY155" s="170"/>
      <c r="AZ155" s="170"/>
      <c r="BA155" s="170"/>
      <c r="BB155" s="170"/>
      <c r="BC155" s="170"/>
      <c r="BD155" s="170"/>
      <c r="BE155" s="170"/>
      <c r="BF155" s="170"/>
      <c r="BG155" s="170"/>
      <c r="BH155" s="36"/>
      <c r="BI155" s="150" cm="1">
        <f t="array" ref="BI155">IF(A155="","",IFERROR(MATCH(1,INDEX((pjNo=A155)*(pjType="Project"),0),0),""))</f>
        <v>113</v>
      </c>
      <c r="BJ155" s="150" t="str">
        <f>IF(D155="","",IFERROR(INDEX(tblStaff[Staff Level],MATCH(D155,tblStaff[Initials],0)),"?"))</f>
        <v>Principal</v>
      </c>
      <c r="BK155" s="151" t="str" cm="1">
        <f t="array" ref="BK155">IF(BI155="","",INDEX(pjStart,BI155))</f>
        <v/>
      </c>
      <c r="BL155" s="151" t="str" cm="1">
        <f t="array" ref="BL155">IF(BI155="","",INDEX(pjEnd,BI155))</f>
        <v/>
      </c>
      <c r="BM155" s="150">
        <f>IF(BI155="",0,IF(C155="Active",1,IF(C155="Prospective",IF(Assumptions!$B$6="Active only",0,Assumptions!$B$7),0)))</f>
        <v>0</v>
      </c>
      <c r="BN155" s="150">
        <v>1</v>
      </c>
      <c r="BO155" s="36"/>
      <c r="BP155" s="36"/>
    </row>
    <row r="156" spans="1:68" hidden="1" outlineLevel="1" x14ac:dyDescent="0.25">
      <c r="A156" s="167">
        <v>2576</v>
      </c>
      <c r="B156" s="168" t="str" cm="1">
        <f t="array" ref="B156">IF(BI156="","",INDEX(pjName,BI156))</f>
        <v>Westbury Elementary School</v>
      </c>
      <c r="C156" s="167" t="str" cm="1">
        <f t="array" ref="C156">IF(BI156="","",IF(INDEX(pjStatus,BI156)="","",INDEX(pjStatus,BI156)))</f>
        <v>Inactive</v>
      </c>
      <c r="D156" s="167" t="str" cm="1">
        <f t="array" ref="D156">IFERROR(INDEX(tblStaff[Initials],BN156),"")</f>
        <v>DF</v>
      </c>
      <c r="E156" s="169" cm="1">
        <f t="array" ref="E156">IF(OR(BI156="",D156=""),"",IFERROR(SUMPRODUCT((pjNo=A156)*(pjType="Phase")*INDEX(Projects!$I$5:$O$1188,0,MATCH(D156,Projects!$I$4:$O$4,0))*pjWk),0))</f>
        <v>0</v>
      </c>
      <c r="F156" s="169">
        <f t="shared" si="66"/>
        <v>0</v>
      </c>
      <c r="G156" s="169">
        <f t="shared" si="67"/>
        <v>0</v>
      </c>
      <c r="H156" s="170"/>
      <c r="I156" s="170"/>
      <c r="J156" s="170"/>
      <c r="K156" s="170"/>
      <c r="L156" s="170"/>
      <c r="M156" s="170"/>
      <c r="N156" s="170"/>
      <c r="O156" s="170"/>
      <c r="P156" s="170"/>
      <c r="Q156" s="170"/>
      <c r="R156" s="170"/>
      <c r="S156" s="170"/>
      <c r="T156" s="170"/>
      <c r="U156" s="170"/>
      <c r="V156" s="170"/>
      <c r="W156" s="170"/>
      <c r="X156" s="170"/>
      <c r="Y156" s="170"/>
      <c r="Z156" s="170"/>
      <c r="AA156" s="170"/>
      <c r="AB156" s="170"/>
      <c r="AC156" s="170"/>
      <c r="AD156" s="170"/>
      <c r="AE156" s="170"/>
      <c r="AF156" s="170"/>
      <c r="AG156" s="170"/>
      <c r="AH156" s="170"/>
      <c r="AI156" s="170"/>
      <c r="AJ156" s="170"/>
      <c r="AK156" s="170"/>
      <c r="AL156" s="170"/>
      <c r="AM156" s="170"/>
      <c r="AN156" s="170"/>
      <c r="AO156" s="170"/>
      <c r="AP156" s="170"/>
      <c r="AQ156" s="170"/>
      <c r="AR156" s="170"/>
      <c r="AS156" s="170"/>
      <c r="AT156" s="170"/>
      <c r="AU156" s="170"/>
      <c r="AV156" s="170"/>
      <c r="AW156" s="170"/>
      <c r="AX156" s="170"/>
      <c r="AY156" s="170"/>
      <c r="AZ156" s="170"/>
      <c r="BA156" s="170"/>
      <c r="BB156" s="170"/>
      <c r="BC156" s="170"/>
      <c r="BD156" s="170"/>
      <c r="BE156" s="170"/>
      <c r="BF156" s="170"/>
      <c r="BG156" s="170"/>
      <c r="BH156" s="36"/>
      <c r="BI156" s="150" cm="1">
        <f t="array" ref="BI156">IF(A156="","",IFERROR(MATCH(1,INDEX((pjNo=A156)*(pjType="Project"),0),0),""))</f>
        <v>113</v>
      </c>
      <c r="BJ156" s="150" t="str">
        <f>IF(D156="","",IFERROR(INDEX(tblStaff[Staff Level],MATCH(D156,tblStaff[Initials],0)),"?"))</f>
        <v>Principal</v>
      </c>
      <c r="BK156" s="151" t="str" cm="1">
        <f t="array" ref="BK156">IF(BI156="","",INDEX(pjStart,BI156))</f>
        <v/>
      </c>
      <c r="BL156" s="151" t="str" cm="1">
        <f t="array" ref="BL156">IF(BI156="","",INDEX(pjEnd,BI156))</f>
        <v/>
      </c>
      <c r="BM156" s="150">
        <f>IF(BI156="",0,IF(C156="Active",1,IF(C156="Prospective",IF(Assumptions!$B$6="Active only",0,Assumptions!$B$7),0)))</f>
        <v>0</v>
      </c>
      <c r="BN156" s="150">
        <v>2</v>
      </c>
      <c r="BO156" s="36"/>
      <c r="BP156" s="36"/>
    </row>
    <row r="157" spans="1:68" hidden="1" outlineLevel="1" x14ac:dyDescent="0.25">
      <c r="A157" s="158">
        <v>2576</v>
      </c>
      <c r="B157" s="157" t="str" cm="1">
        <f t="array" ref="B157">IF(BI157="","",INDEX(pjName,BI157))</f>
        <v>Westbury Elementary School</v>
      </c>
      <c r="C157" s="158" t="str" cm="1">
        <f t="array" ref="C157">IF(BI157="","",IF(INDEX(pjStatus,BI157)="","",INDEX(pjStatus,BI157)))</f>
        <v>Inactive</v>
      </c>
      <c r="D157" s="158" t="str" cm="1">
        <f t="array" ref="D157">IFERROR(INDEX(tblStaff[Initials],BN157),"")</f>
        <v>KJ</v>
      </c>
      <c r="E157" s="159" cm="1">
        <f t="array" ref="E157">IF(OR(BI157="",D157=""),"",IFERROR(SUMPRODUCT((pjNo=A157)*(pjType="Phase")*INDEX(Projects!$I$5:$O$1188,0,MATCH(D157,Projects!$I$4:$O$4,0))*pjWk),0))</f>
        <v>0</v>
      </c>
      <c r="F157" s="159">
        <f t="shared" si="66"/>
        <v>0</v>
      </c>
      <c r="G157" s="159">
        <f t="shared" si="67"/>
        <v>0</v>
      </c>
      <c r="H157" s="160"/>
      <c r="I157" s="160"/>
      <c r="J157" s="160"/>
      <c r="K157" s="160"/>
      <c r="L157" s="160"/>
      <c r="M157" s="160"/>
      <c r="N157" s="160"/>
      <c r="O157" s="160"/>
      <c r="P157" s="160"/>
      <c r="Q157" s="160"/>
      <c r="R157" s="160"/>
      <c r="S157" s="160"/>
      <c r="T157" s="160"/>
      <c r="U157" s="160"/>
      <c r="V157" s="160"/>
      <c r="W157" s="160"/>
      <c r="X157" s="160"/>
      <c r="Y157" s="160"/>
      <c r="Z157" s="160"/>
      <c r="AA157" s="160"/>
      <c r="AB157" s="160"/>
      <c r="AC157" s="160"/>
      <c r="AD157" s="160"/>
      <c r="AE157" s="160"/>
      <c r="AF157" s="160"/>
      <c r="AG157" s="160"/>
      <c r="AH157" s="160"/>
      <c r="AI157" s="160"/>
      <c r="AJ157" s="160"/>
      <c r="AK157" s="160"/>
      <c r="AL157" s="160"/>
      <c r="AM157" s="160"/>
      <c r="AN157" s="160"/>
      <c r="AO157" s="160"/>
      <c r="AP157" s="160"/>
      <c r="AQ157" s="160"/>
      <c r="AR157" s="160"/>
      <c r="AS157" s="160"/>
      <c r="AT157" s="160"/>
      <c r="AU157" s="160"/>
      <c r="AV157" s="160"/>
      <c r="AW157" s="160"/>
      <c r="AX157" s="160"/>
      <c r="AY157" s="160"/>
      <c r="AZ157" s="160"/>
      <c r="BA157" s="160"/>
      <c r="BB157" s="160"/>
      <c r="BC157" s="160"/>
      <c r="BD157" s="160"/>
      <c r="BE157" s="160"/>
      <c r="BF157" s="160"/>
      <c r="BG157" s="160"/>
      <c r="BH157" s="36"/>
      <c r="BI157" s="150" cm="1">
        <f t="array" ref="BI157">IF(A157="","",IFERROR(MATCH(1,INDEX((pjNo=A157)*(pjType="Project"),0),0),""))</f>
        <v>113</v>
      </c>
      <c r="BJ157" s="150" t="str">
        <f>IF(D157="","",IFERROR(INDEX(tblStaff[Staff Level],MATCH(D157,tblStaff[Initials],0)),"?"))</f>
        <v>Director</v>
      </c>
      <c r="BK157" s="151" t="str" cm="1">
        <f t="array" ref="BK157">IF(BI157="","",INDEX(pjStart,BI157))</f>
        <v/>
      </c>
      <c r="BL157" s="151" t="str" cm="1">
        <f t="array" ref="BL157">IF(BI157="","",INDEX(pjEnd,BI157))</f>
        <v/>
      </c>
      <c r="BM157" s="150">
        <f>IF(BI157="",0,IF(C157="Active",1,IF(C157="Prospective",IF(Assumptions!$B$6="Active only",0,Assumptions!$B$7),0)))</f>
        <v>0</v>
      </c>
      <c r="BN157" s="150">
        <v>3</v>
      </c>
      <c r="BO157" s="36"/>
      <c r="BP157" s="36"/>
    </row>
    <row r="158" spans="1:68" hidden="1" outlineLevel="1" x14ac:dyDescent="0.25">
      <c r="A158" s="158">
        <v>2576</v>
      </c>
      <c r="B158" s="157" t="str" cm="1">
        <f t="array" ref="B158">IF(BI158="","",INDEX(pjName,BI158))</f>
        <v>Westbury Elementary School</v>
      </c>
      <c r="C158" s="158" t="str" cm="1">
        <f t="array" ref="C158">IF(BI158="","",IF(INDEX(pjStatus,BI158)="","",INDEX(pjStatus,BI158)))</f>
        <v>Inactive</v>
      </c>
      <c r="D158" s="158" t="str" cm="1">
        <f t="array" ref="D158">IFERROR(INDEX(tblStaff[Initials],BN158),"")</f>
        <v>HL</v>
      </c>
      <c r="E158" s="159" cm="1">
        <f t="array" ref="E158">IF(OR(BI158="",D158=""),"",IFERROR(SUMPRODUCT((pjNo=A158)*(pjType="Phase")*INDEX(Projects!$I$5:$O$1188,0,MATCH(D158,Projects!$I$4:$O$4,0))*pjWk),0))</f>
        <v>0</v>
      </c>
      <c r="F158" s="159">
        <f t="shared" si="66"/>
        <v>0</v>
      </c>
      <c r="G158" s="159">
        <f t="shared" si="67"/>
        <v>0</v>
      </c>
      <c r="H158" s="160"/>
      <c r="I158" s="160"/>
      <c r="J158" s="160"/>
      <c r="K158" s="160"/>
      <c r="L158" s="160"/>
      <c r="M158" s="160"/>
      <c r="N158" s="160"/>
      <c r="O158" s="160"/>
      <c r="P158" s="160"/>
      <c r="Q158" s="160"/>
      <c r="R158" s="160"/>
      <c r="S158" s="160"/>
      <c r="T158" s="160"/>
      <c r="U158" s="160"/>
      <c r="V158" s="160"/>
      <c r="W158" s="160"/>
      <c r="X158" s="160"/>
      <c r="Y158" s="160"/>
      <c r="Z158" s="160"/>
      <c r="AA158" s="160"/>
      <c r="AB158" s="160"/>
      <c r="AC158" s="160"/>
      <c r="AD158" s="160"/>
      <c r="AE158" s="160"/>
      <c r="AF158" s="160"/>
      <c r="AG158" s="160"/>
      <c r="AH158" s="160"/>
      <c r="AI158" s="160"/>
      <c r="AJ158" s="160"/>
      <c r="AK158" s="160"/>
      <c r="AL158" s="160"/>
      <c r="AM158" s="160"/>
      <c r="AN158" s="160"/>
      <c r="AO158" s="160"/>
      <c r="AP158" s="160"/>
      <c r="AQ158" s="160"/>
      <c r="AR158" s="160"/>
      <c r="AS158" s="160"/>
      <c r="AT158" s="160"/>
      <c r="AU158" s="160"/>
      <c r="AV158" s="160"/>
      <c r="AW158" s="160"/>
      <c r="AX158" s="160"/>
      <c r="AY158" s="160"/>
      <c r="AZ158" s="160"/>
      <c r="BA158" s="160"/>
      <c r="BB158" s="160"/>
      <c r="BC158" s="160"/>
      <c r="BD158" s="160"/>
      <c r="BE158" s="160"/>
      <c r="BF158" s="160"/>
      <c r="BG158" s="160"/>
      <c r="BH158" s="36"/>
      <c r="BI158" s="150" cm="1">
        <f t="array" ref="BI158">IF(A158="","",IFERROR(MATCH(1,INDEX((pjNo=A158)*(pjType="Project"),0),0),""))</f>
        <v>113</v>
      </c>
      <c r="BJ158" s="150" t="str">
        <f>IF(D158="","",IFERROR(INDEX(tblStaff[Staff Level],MATCH(D158,tblStaff[Initials],0)),"?"))</f>
        <v>Senior Designer</v>
      </c>
      <c r="BK158" s="151" t="str" cm="1">
        <f t="array" ref="BK158">IF(BI158="","",INDEX(pjStart,BI158))</f>
        <v/>
      </c>
      <c r="BL158" s="151" t="str" cm="1">
        <f t="array" ref="BL158">IF(BI158="","",INDEX(pjEnd,BI158))</f>
        <v/>
      </c>
      <c r="BM158" s="150">
        <f>IF(BI158="",0,IF(C158="Active",1,IF(C158="Prospective",IF(Assumptions!$B$6="Active only",0,Assumptions!$B$7),0)))</f>
        <v>0</v>
      </c>
      <c r="BN158" s="150">
        <v>4</v>
      </c>
      <c r="BO158" s="36"/>
      <c r="BP158" s="36"/>
    </row>
    <row r="159" spans="1:68" hidden="1" outlineLevel="1" x14ac:dyDescent="0.25">
      <c r="A159" s="158">
        <v>2576</v>
      </c>
      <c r="B159" s="157" t="str" cm="1">
        <f t="array" ref="B159">IF(BI159="","",INDEX(pjName,BI159))</f>
        <v>Westbury Elementary School</v>
      </c>
      <c r="C159" s="158" t="str" cm="1">
        <f t="array" ref="C159">IF(BI159="","",IF(INDEX(pjStatus,BI159)="","",INDEX(pjStatus,BI159)))</f>
        <v>Inactive</v>
      </c>
      <c r="D159" s="158" t="str" cm="1">
        <f t="array" ref="D159">IFERROR(INDEX(tblStaff[Initials],BN159),"")</f>
        <v>EHH</v>
      </c>
      <c r="E159" s="159" cm="1">
        <f t="array" ref="E159">IF(OR(BI159="",D159=""),"",IFERROR(SUMPRODUCT((pjNo=A159)*(pjType="Phase")*INDEX(Projects!$I$5:$O$1188,0,MATCH(D159,Projects!$I$4:$O$4,0))*pjWk),0))</f>
        <v>0</v>
      </c>
      <c r="F159" s="159">
        <f t="shared" si="66"/>
        <v>0</v>
      </c>
      <c r="G159" s="159">
        <f t="shared" si="67"/>
        <v>0</v>
      </c>
      <c r="H159" s="160"/>
      <c r="I159" s="160"/>
      <c r="J159" s="160"/>
      <c r="K159" s="160"/>
      <c r="L159" s="160"/>
      <c r="M159" s="160"/>
      <c r="N159" s="160"/>
      <c r="O159" s="160"/>
      <c r="P159" s="160"/>
      <c r="Q159" s="160"/>
      <c r="R159" s="160"/>
      <c r="S159" s="160"/>
      <c r="T159" s="160"/>
      <c r="U159" s="160"/>
      <c r="V159" s="160"/>
      <c r="W159" s="160"/>
      <c r="X159" s="160"/>
      <c r="Y159" s="160"/>
      <c r="Z159" s="160"/>
      <c r="AA159" s="160"/>
      <c r="AB159" s="160"/>
      <c r="AC159" s="160"/>
      <c r="AD159" s="160"/>
      <c r="AE159" s="160"/>
      <c r="AF159" s="160"/>
      <c r="AG159" s="160"/>
      <c r="AH159" s="160"/>
      <c r="AI159" s="160"/>
      <c r="AJ159" s="160"/>
      <c r="AK159" s="160"/>
      <c r="AL159" s="160"/>
      <c r="AM159" s="160"/>
      <c r="AN159" s="160"/>
      <c r="AO159" s="160"/>
      <c r="AP159" s="160"/>
      <c r="AQ159" s="160"/>
      <c r="AR159" s="160"/>
      <c r="AS159" s="160"/>
      <c r="AT159" s="160"/>
      <c r="AU159" s="160"/>
      <c r="AV159" s="160"/>
      <c r="AW159" s="160"/>
      <c r="AX159" s="160"/>
      <c r="AY159" s="160"/>
      <c r="AZ159" s="160"/>
      <c r="BA159" s="160"/>
      <c r="BB159" s="160"/>
      <c r="BC159" s="160"/>
      <c r="BD159" s="160"/>
      <c r="BE159" s="160"/>
      <c r="BF159" s="160"/>
      <c r="BG159" s="160"/>
      <c r="BH159" s="36"/>
      <c r="BI159" s="150" cm="1">
        <f t="array" ref="BI159">IF(A159="","",IFERROR(MATCH(1,INDEX((pjNo=A159)*(pjType="Project"),0),0),""))</f>
        <v>113</v>
      </c>
      <c r="BJ159" s="150" t="str">
        <f>IF(D159="","",IFERROR(INDEX(tblStaff[Staff Level],MATCH(D159,tblStaff[Initials],0)),"?"))</f>
        <v>Mid Level Designer</v>
      </c>
      <c r="BK159" s="151" t="str" cm="1">
        <f t="array" ref="BK159">IF(BI159="","",INDEX(pjStart,BI159))</f>
        <v/>
      </c>
      <c r="BL159" s="151" t="str" cm="1">
        <f t="array" ref="BL159">IF(BI159="","",INDEX(pjEnd,BI159))</f>
        <v/>
      </c>
      <c r="BM159" s="150">
        <f>IF(BI159="",0,IF(C159="Active",1,IF(C159="Prospective",IF(Assumptions!$B$6="Active only",0,Assumptions!$B$7),0)))</f>
        <v>0</v>
      </c>
      <c r="BN159" s="150">
        <v>5</v>
      </c>
      <c r="BO159" s="36"/>
      <c r="BP159" s="36"/>
    </row>
    <row r="160" spans="1:68" hidden="1" outlineLevel="1" x14ac:dyDescent="0.25">
      <c r="A160" s="158">
        <v>2576</v>
      </c>
      <c r="B160" s="157" t="str" cm="1">
        <f t="array" ref="B160">IF(BI160="","",INDEX(pjName,BI160))</f>
        <v>Westbury Elementary School</v>
      </c>
      <c r="C160" s="158" t="str" cm="1">
        <f t="array" ref="C160">IF(BI160="","",IF(INDEX(pjStatus,BI160)="","",INDEX(pjStatus,BI160)))</f>
        <v>Inactive</v>
      </c>
      <c r="D160" s="158" t="str" cm="1">
        <f t="array" ref="D160">IFERROR(INDEX(tblStaff[Initials],BN160),"")</f>
        <v>KD</v>
      </c>
      <c r="E160" s="159" cm="1">
        <f t="array" ref="E160">IF(OR(BI160="",D160=""),"",IFERROR(SUMPRODUCT((pjNo=A160)*(pjType="Phase")*INDEX(Projects!$I$5:$O$1188,0,MATCH(D160,Projects!$I$4:$O$4,0))*pjWk),0))</f>
        <v>0</v>
      </c>
      <c r="F160" s="159">
        <f t="shared" si="66"/>
        <v>0</v>
      </c>
      <c r="G160" s="159">
        <f t="shared" si="67"/>
        <v>0</v>
      </c>
      <c r="H160" s="160"/>
      <c r="I160" s="160"/>
      <c r="J160" s="160"/>
      <c r="K160" s="160"/>
      <c r="L160" s="160"/>
      <c r="M160" s="160"/>
      <c r="N160" s="160"/>
      <c r="O160" s="160"/>
      <c r="P160" s="160"/>
      <c r="Q160" s="160"/>
      <c r="R160" s="160"/>
      <c r="S160" s="160"/>
      <c r="T160" s="160"/>
      <c r="U160" s="160"/>
      <c r="V160" s="160"/>
      <c r="W160" s="160"/>
      <c r="X160" s="160"/>
      <c r="Y160" s="160"/>
      <c r="Z160" s="160"/>
      <c r="AA160" s="160"/>
      <c r="AB160" s="160"/>
      <c r="AC160" s="160"/>
      <c r="AD160" s="160"/>
      <c r="AE160" s="160"/>
      <c r="AF160" s="160"/>
      <c r="AG160" s="160"/>
      <c r="AH160" s="160"/>
      <c r="AI160" s="160"/>
      <c r="AJ160" s="160"/>
      <c r="AK160" s="160"/>
      <c r="AL160" s="160"/>
      <c r="AM160" s="160"/>
      <c r="AN160" s="160"/>
      <c r="AO160" s="160"/>
      <c r="AP160" s="160"/>
      <c r="AQ160" s="160"/>
      <c r="AR160" s="160"/>
      <c r="AS160" s="160"/>
      <c r="AT160" s="160"/>
      <c r="AU160" s="160"/>
      <c r="AV160" s="160"/>
      <c r="AW160" s="160"/>
      <c r="AX160" s="160"/>
      <c r="AY160" s="160"/>
      <c r="AZ160" s="160"/>
      <c r="BA160" s="160"/>
      <c r="BB160" s="160"/>
      <c r="BC160" s="160"/>
      <c r="BD160" s="160"/>
      <c r="BE160" s="160"/>
      <c r="BF160" s="160"/>
      <c r="BG160" s="160"/>
      <c r="BH160" s="36"/>
      <c r="BI160" s="150" cm="1">
        <f t="array" ref="BI160">IF(A160="","",IFERROR(MATCH(1,INDEX((pjNo=A160)*(pjType="Project"),0),0),""))</f>
        <v>113</v>
      </c>
      <c r="BJ160" s="150" t="str">
        <f>IF(D160="","",IFERROR(INDEX(tblStaff[Staff Level],MATCH(D160,tblStaff[Initials],0)),"?"))</f>
        <v>Mid Level Designer</v>
      </c>
      <c r="BK160" s="151" t="str" cm="1">
        <f t="array" ref="BK160">IF(BI160="","",INDEX(pjStart,BI160))</f>
        <v/>
      </c>
      <c r="BL160" s="151" t="str" cm="1">
        <f t="array" ref="BL160">IF(BI160="","",INDEX(pjEnd,BI160))</f>
        <v/>
      </c>
      <c r="BM160" s="150">
        <f>IF(BI160="",0,IF(C160="Active",1,IF(C160="Prospective",IF(Assumptions!$B$6="Active only",0,Assumptions!$B$7),0)))</f>
        <v>0</v>
      </c>
      <c r="BN160" s="150">
        <v>6</v>
      </c>
      <c r="BO160" s="36"/>
      <c r="BP160" s="36"/>
    </row>
    <row r="161" spans="1:68" hidden="1" outlineLevel="1" x14ac:dyDescent="0.25">
      <c r="A161" s="158">
        <v>2576</v>
      </c>
      <c r="B161" s="157" t="str" cm="1">
        <f t="array" ref="B161">IF(BI161="","",INDEX(pjName,BI161))</f>
        <v>Westbury Elementary School</v>
      </c>
      <c r="C161" s="158" t="str" cm="1">
        <f t="array" ref="C161">IF(BI161="","",IF(INDEX(pjStatus,BI161)="","",INDEX(pjStatus,BI161)))</f>
        <v>Inactive</v>
      </c>
      <c r="D161" s="158" t="str" cm="1">
        <f t="array" ref="D161">IFERROR(INDEX(tblStaff[Initials],BN161),"")</f>
        <v>XX</v>
      </c>
      <c r="E161" s="159" cm="1">
        <f t="array" ref="E161">IF(OR(BI161="",D161=""),"",IFERROR(SUMPRODUCT((pjNo=A161)*(pjType="Phase")*INDEX(Projects!$I$5:$O$1188,0,MATCH(D161,Projects!$I$4:$O$4,0))*pjWk),0))</f>
        <v>0</v>
      </c>
      <c r="F161" s="159">
        <f t="shared" si="66"/>
        <v>0</v>
      </c>
      <c r="G161" s="159">
        <f t="shared" si="67"/>
        <v>0</v>
      </c>
      <c r="H161" s="160"/>
      <c r="I161" s="160"/>
      <c r="J161" s="160"/>
      <c r="K161" s="160"/>
      <c r="L161" s="160"/>
      <c r="M161" s="160"/>
      <c r="N161" s="160"/>
      <c r="O161" s="160"/>
      <c r="P161" s="160"/>
      <c r="Q161" s="160"/>
      <c r="R161" s="160"/>
      <c r="S161" s="160"/>
      <c r="T161" s="160"/>
      <c r="U161" s="160"/>
      <c r="V161" s="160"/>
      <c r="W161" s="160"/>
      <c r="X161" s="160"/>
      <c r="Y161" s="160"/>
      <c r="Z161" s="160"/>
      <c r="AA161" s="160"/>
      <c r="AB161" s="160"/>
      <c r="AC161" s="160"/>
      <c r="AD161" s="160"/>
      <c r="AE161" s="160"/>
      <c r="AF161" s="160"/>
      <c r="AG161" s="160"/>
      <c r="AH161" s="160"/>
      <c r="AI161" s="160"/>
      <c r="AJ161" s="160"/>
      <c r="AK161" s="160"/>
      <c r="AL161" s="160"/>
      <c r="AM161" s="160"/>
      <c r="AN161" s="160"/>
      <c r="AO161" s="160"/>
      <c r="AP161" s="160"/>
      <c r="AQ161" s="160"/>
      <c r="AR161" s="160"/>
      <c r="AS161" s="160"/>
      <c r="AT161" s="160"/>
      <c r="AU161" s="160"/>
      <c r="AV161" s="160"/>
      <c r="AW161" s="160"/>
      <c r="AX161" s="160"/>
      <c r="AY161" s="160"/>
      <c r="AZ161" s="160"/>
      <c r="BA161" s="160"/>
      <c r="BB161" s="160"/>
      <c r="BC161" s="160"/>
      <c r="BD161" s="160"/>
      <c r="BE161" s="160"/>
      <c r="BF161" s="160"/>
      <c r="BG161" s="160"/>
      <c r="BH161" s="36"/>
      <c r="BI161" s="150" cm="1">
        <f t="array" ref="BI161">IF(A161="","",IFERROR(MATCH(1,INDEX((pjNo=A161)*(pjType="Project"),0),0),""))</f>
        <v>113</v>
      </c>
      <c r="BJ161" s="150" t="str">
        <f>IF(D161="","",IFERROR(INDEX(tblStaff[Staff Level],MATCH(D161,tblStaff[Initials],0)),"?"))</f>
        <v>Project Designer</v>
      </c>
      <c r="BK161" s="151" t="str" cm="1">
        <f t="array" ref="BK161">IF(BI161="","",INDEX(pjStart,BI161))</f>
        <v/>
      </c>
      <c r="BL161" s="151" t="str" cm="1">
        <f t="array" ref="BL161">IF(BI161="","",INDEX(pjEnd,BI161))</f>
        <v/>
      </c>
      <c r="BM161" s="150">
        <f>IF(BI161="",0,IF(C161="Active",1,IF(C161="Prospective",IF(Assumptions!$B$6="Active only",0,Assumptions!$B$7),0)))</f>
        <v>0</v>
      </c>
      <c r="BN161" s="150">
        <v>7</v>
      </c>
      <c r="BO161" s="36"/>
      <c r="BP161" s="36"/>
    </row>
    <row r="162" spans="1:68" hidden="1" outlineLevel="1" x14ac:dyDescent="0.25">
      <c r="A162" s="162">
        <v>2576</v>
      </c>
      <c r="B162" s="161" t="str" cm="1">
        <f t="array" ref="B162">IF(BI162="","",INDEX(pjName,BI162))</f>
        <v>Westbury Elementary School</v>
      </c>
      <c r="C162" s="162" t="str" cm="1">
        <f t="array" ref="C162">IF(BI162="","",IF(INDEX(pjStatus,BI162)="","",INDEX(pjStatus,BI162)))</f>
        <v>Inactive</v>
      </c>
      <c r="D162" s="162" t="str" cm="1">
        <f t="array" ref="D162">IFERROR(INDEX(tblStaff[Initials],BN162),"")</f>
        <v/>
      </c>
      <c r="E162" s="163" t="str" cm="1">
        <f t="array" ref="E162">IF(OR(BI162="",D162=""),"",IFERROR(SUMPRODUCT((pjNo=A162)*(pjType="Phase")*INDEX(Projects!$I$5:$O$1188,0,MATCH(D162,Projects!$I$4:$O$4,0))*pjWk),0))</f>
        <v/>
      </c>
      <c r="F162" s="163">
        <f t="shared" si="66"/>
        <v>0</v>
      </c>
      <c r="G162" s="163" t="str">
        <f t="shared" si="67"/>
        <v/>
      </c>
      <c r="H162" s="164"/>
      <c r="I162" s="164"/>
      <c r="J162" s="164"/>
      <c r="K162" s="164"/>
      <c r="L162" s="164"/>
      <c r="M162" s="164"/>
      <c r="N162" s="164"/>
      <c r="O162" s="164"/>
      <c r="P162" s="164"/>
      <c r="Q162" s="164"/>
      <c r="R162" s="164"/>
      <c r="S162" s="164"/>
      <c r="T162" s="164"/>
      <c r="U162" s="164"/>
      <c r="V162" s="164"/>
      <c r="W162" s="164"/>
      <c r="X162" s="164"/>
      <c r="Y162" s="164"/>
      <c r="Z162" s="164"/>
      <c r="AA162" s="164"/>
      <c r="AB162" s="164"/>
      <c r="AC162" s="164"/>
      <c r="AD162" s="164"/>
      <c r="AE162" s="164"/>
      <c r="AF162" s="164"/>
      <c r="AG162" s="164"/>
      <c r="AH162" s="164"/>
      <c r="AI162" s="164"/>
      <c r="AJ162" s="164"/>
      <c r="AK162" s="164"/>
      <c r="AL162" s="164"/>
      <c r="AM162" s="164"/>
      <c r="AN162" s="164"/>
      <c r="AO162" s="164"/>
      <c r="AP162" s="164"/>
      <c r="AQ162" s="164"/>
      <c r="AR162" s="164"/>
      <c r="AS162" s="164"/>
      <c r="AT162" s="164"/>
      <c r="AU162" s="164"/>
      <c r="AV162" s="164"/>
      <c r="AW162" s="164"/>
      <c r="AX162" s="164"/>
      <c r="AY162" s="164"/>
      <c r="AZ162" s="164"/>
      <c r="BA162" s="164"/>
      <c r="BB162" s="164"/>
      <c r="BC162" s="164"/>
      <c r="BD162" s="164"/>
      <c r="BE162" s="164"/>
      <c r="BF162" s="164"/>
      <c r="BG162" s="164"/>
      <c r="BH162" s="36"/>
      <c r="BI162" s="150" cm="1">
        <f t="array" ref="BI162">IF(A162="","",IFERROR(MATCH(1,INDEX((pjNo=A162)*(pjType="Project"),0),0),""))</f>
        <v>113</v>
      </c>
      <c r="BJ162" s="150" t="str">
        <f>IF(D162="","",IFERROR(INDEX(tblStaff[Staff Level],MATCH(D162,tblStaff[Initials],0)),"?"))</f>
        <v/>
      </c>
      <c r="BK162" s="151" t="str" cm="1">
        <f t="array" ref="BK162">IF(BI162="","",INDEX(pjStart,BI162))</f>
        <v/>
      </c>
      <c r="BL162" s="151" t="str" cm="1">
        <f t="array" ref="BL162">IF(BI162="","",INDEX(pjEnd,BI162))</f>
        <v/>
      </c>
      <c r="BM162" s="150">
        <f>IF(BI162="",0,IF(C162="Active",1,IF(C162="Prospective",IF(Assumptions!$B$6="Active only",0,Assumptions!$B$7),0)))</f>
        <v>0</v>
      </c>
      <c r="BN162" s="150">
        <v>8</v>
      </c>
      <c r="BO162" s="36"/>
      <c r="BP162" s="36"/>
    </row>
    <row r="163" spans="1:68" collapsed="1" x14ac:dyDescent="0.25">
      <c r="A163" s="171"/>
      <c r="B163" s="173" t="str">
        <f>IF(A164="","",A164&amp;" · "&amp;B164)</f>
        <v>2577 · Riverbend Master Plan</v>
      </c>
      <c r="C163" s="171" t="str">
        <f>IF(A164="","",C164)</f>
        <v>Active</v>
      </c>
      <c r="D163" s="171"/>
      <c r="E163" s="172">
        <f>SUM(E164:E171)</f>
        <v>0</v>
      </c>
      <c r="F163" s="172">
        <f>SUM(F164:F171)</f>
        <v>0</v>
      </c>
      <c r="G163" s="172" t="str">
        <f>IF(E163=0,"",E163-F163)</f>
        <v/>
      </c>
      <c r="H163" s="174">
        <f t="shared" ref="H163:AM163" si="68">SUM(H164:H171)</f>
        <v>0</v>
      </c>
      <c r="I163" s="174">
        <f t="shared" si="68"/>
        <v>0</v>
      </c>
      <c r="J163" s="174">
        <f t="shared" si="68"/>
        <v>0</v>
      </c>
      <c r="K163" s="174">
        <f t="shared" si="68"/>
        <v>0</v>
      </c>
      <c r="L163" s="174">
        <f t="shared" si="68"/>
        <v>0</v>
      </c>
      <c r="M163" s="174">
        <f t="shared" si="68"/>
        <v>0</v>
      </c>
      <c r="N163" s="174">
        <f t="shared" si="68"/>
        <v>0</v>
      </c>
      <c r="O163" s="174">
        <f t="shared" si="68"/>
        <v>0</v>
      </c>
      <c r="P163" s="174">
        <f t="shared" si="68"/>
        <v>0</v>
      </c>
      <c r="Q163" s="174">
        <f t="shared" si="68"/>
        <v>0</v>
      </c>
      <c r="R163" s="174">
        <f t="shared" si="68"/>
        <v>0</v>
      </c>
      <c r="S163" s="174">
        <f t="shared" si="68"/>
        <v>0</v>
      </c>
      <c r="T163" s="174">
        <f t="shared" si="68"/>
        <v>0</v>
      </c>
      <c r="U163" s="174">
        <f t="shared" si="68"/>
        <v>0</v>
      </c>
      <c r="V163" s="174">
        <f t="shared" si="68"/>
        <v>0</v>
      </c>
      <c r="W163" s="174">
        <f t="shared" si="68"/>
        <v>0</v>
      </c>
      <c r="X163" s="174">
        <f t="shared" si="68"/>
        <v>0</v>
      </c>
      <c r="Y163" s="174">
        <f t="shared" si="68"/>
        <v>0</v>
      </c>
      <c r="Z163" s="174">
        <f t="shared" si="68"/>
        <v>0</v>
      </c>
      <c r="AA163" s="174">
        <f t="shared" si="68"/>
        <v>0</v>
      </c>
      <c r="AB163" s="174">
        <f t="shared" si="68"/>
        <v>0</v>
      </c>
      <c r="AC163" s="174">
        <f t="shared" si="68"/>
        <v>0</v>
      </c>
      <c r="AD163" s="174">
        <f t="shared" si="68"/>
        <v>0</v>
      </c>
      <c r="AE163" s="174">
        <f t="shared" si="68"/>
        <v>0</v>
      </c>
      <c r="AF163" s="174">
        <f t="shared" si="68"/>
        <v>0</v>
      </c>
      <c r="AG163" s="174">
        <f t="shared" si="68"/>
        <v>0</v>
      </c>
      <c r="AH163" s="174">
        <f t="shared" si="68"/>
        <v>0</v>
      </c>
      <c r="AI163" s="174">
        <f t="shared" si="68"/>
        <v>0</v>
      </c>
      <c r="AJ163" s="174">
        <f t="shared" si="68"/>
        <v>0</v>
      </c>
      <c r="AK163" s="174">
        <f t="shared" si="68"/>
        <v>0</v>
      </c>
      <c r="AL163" s="174">
        <f t="shared" si="68"/>
        <v>0</v>
      </c>
      <c r="AM163" s="174">
        <f t="shared" si="68"/>
        <v>0</v>
      </c>
      <c r="AN163" s="174">
        <f t="shared" ref="AN163:BG163" si="69">SUM(AN164:AN171)</f>
        <v>0</v>
      </c>
      <c r="AO163" s="174">
        <f t="shared" si="69"/>
        <v>0</v>
      </c>
      <c r="AP163" s="174">
        <f t="shared" si="69"/>
        <v>0</v>
      </c>
      <c r="AQ163" s="174">
        <f t="shared" si="69"/>
        <v>0</v>
      </c>
      <c r="AR163" s="174">
        <f t="shared" si="69"/>
        <v>0</v>
      </c>
      <c r="AS163" s="174">
        <f t="shared" si="69"/>
        <v>0</v>
      </c>
      <c r="AT163" s="174">
        <f t="shared" si="69"/>
        <v>0</v>
      </c>
      <c r="AU163" s="174">
        <f t="shared" si="69"/>
        <v>0</v>
      </c>
      <c r="AV163" s="174">
        <f t="shared" si="69"/>
        <v>0</v>
      </c>
      <c r="AW163" s="174">
        <f t="shared" si="69"/>
        <v>0</v>
      </c>
      <c r="AX163" s="174">
        <f t="shared" si="69"/>
        <v>0</v>
      </c>
      <c r="AY163" s="174">
        <f t="shared" si="69"/>
        <v>0</v>
      </c>
      <c r="AZ163" s="174">
        <f t="shared" si="69"/>
        <v>0</v>
      </c>
      <c r="BA163" s="174">
        <f t="shared" si="69"/>
        <v>0</v>
      </c>
      <c r="BB163" s="174">
        <f t="shared" si="69"/>
        <v>0</v>
      </c>
      <c r="BC163" s="174">
        <f t="shared" si="69"/>
        <v>0</v>
      </c>
      <c r="BD163" s="174">
        <f t="shared" si="69"/>
        <v>0</v>
      </c>
      <c r="BE163" s="174">
        <f t="shared" si="69"/>
        <v>0</v>
      </c>
      <c r="BF163" s="174">
        <f t="shared" si="69"/>
        <v>0</v>
      </c>
      <c r="BG163" s="174">
        <f t="shared" si="69"/>
        <v>0</v>
      </c>
      <c r="BH163" s="36"/>
      <c r="BI163" s="150"/>
      <c r="BJ163" s="150"/>
      <c r="BK163" s="151"/>
      <c r="BL163" s="151"/>
      <c r="BM163" s="150"/>
      <c r="BN163" s="150"/>
      <c r="BO163" s="36"/>
      <c r="BP163" s="36"/>
    </row>
    <row r="164" spans="1:68" hidden="1" outlineLevel="1" x14ac:dyDescent="0.25">
      <c r="A164" s="167">
        <v>2577</v>
      </c>
      <c r="B164" s="168" t="str" cm="1">
        <f t="array" ref="B164">IF(BI164="","",INDEX(pjName,BI164))</f>
        <v>Riverbend Master Plan</v>
      </c>
      <c r="C164" s="167" t="str" cm="1">
        <f t="array" ref="C164">IF(BI164="","",IF(INDEX(pjStatus,BI164)="","",INDEX(pjStatus,BI164)))</f>
        <v>Active</v>
      </c>
      <c r="D164" s="167" t="str" cm="1">
        <f t="array" ref="D164">IFERROR(INDEX(tblStaff[Initials],BN164),"")</f>
        <v>PK</v>
      </c>
      <c r="E164" s="169" cm="1">
        <f t="array" ref="E164">IF(OR(BI164="",D164=""),"",IFERROR(SUMPRODUCT((pjNo=A164)*(pjType="Phase")*INDEX(Projects!$I$5:$O$1188,0,MATCH(D164,Projects!$I$4:$O$4,0))*pjWk),0))</f>
        <v>0</v>
      </c>
      <c r="F164" s="169">
        <f t="shared" ref="F164:F171" si="70">IF(BI164="","",SUM(H164:BG164))</f>
        <v>0</v>
      </c>
      <c r="G164" s="169">
        <f t="shared" ref="G164:G171" si="71">IF(OR(E164="",F164=""),"",E164-F164)</f>
        <v>0</v>
      </c>
      <c r="H164" s="170"/>
      <c r="I164" s="170"/>
      <c r="J164" s="170"/>
      <c r="K164" s="170"/>
      <c r="L164" s="170"/>
      <c r="M164" s="170"/>
      <c r="N164" s="170"/>
      <c r="O164" s="170"/>
      <c r="P164" s="170"/>
      <c r="Q164" s="170"/>
      <c r="R164" s="170"/>
      <c r="S164" s="170"/>
      <c r="T164" s="170"/>
      <c r="U164" s="170"/>
      <c r="V164" s="170"/>
      <c r="W164" s="170"/>
      <c r="X164" s="170"/>
      <c r="Y164" s="170"/>
      <c r="Z164" s="170"/>
      <c r="AA164" s="170"/>
      <c r="AB164" s="170"/>
      <c r="AC164" s="170"/>
      <c r="AD164" s="170"/>
      <c r="AE164" s="170"/>
      <c r="AF164" s="170"/>
      <c r="AG164" s="170"/>
      <c r="AH164" s="170"/>
      <c r="AI164" s="170"/>
      <c r="AJ164" s="170"/>
      <c r="AK164" s="170"/>
      <c r="AL164" s="170"/>
      <c r="AM164" s="170"/>
      <c r="AN164" s="170"/>
      <c r="AO164" s="170"/>
      <c r="AP164" s="170"/>
      <c r="AQ164" s="170"/>
      <c r="AR164" s="170"/>
      <c r="AS164" s="170"/>
      <c r="AT164" s="170"/>
      <c r="AU164" s="170"/>
      <c r="AV164" s="170"/>
      <c r="AW164" s="170"/>
      <c r="AX164" s="170"/>
      <c r="AY164" s="170"/>
      <c r="AZ164" s="170"/>
      <c r="BA164" s="170"/>
      <c r="BB164" s="170"/>
      <c r="BC164" s="170"/>
      <c r="BD164" s="170"/>
      <c r="BE164" s="170"/>
      <c r="BF164" s="170"/>
      <c r="BG164" s="170"/>
      <c r="BH164" s="36"/>
      <c r="BI164" s="150" cm="1">
        <f t="array" ref="BI164">IF(A164="","",IFERROR(MATCH(1,INDEX((pjNo=A164)*(pjType="Project"),0),0),""))</f>
        <v>122</v>
      </c>
      <c r="BJ164" s="150" t="str">
        <f>IF(D164="","",IFERROR(INDEX(tblStaff[Staff Level],MATCH(D164,tblStaff[Initials],0)),"?"))</f>
        <v>Principal</v>
      </c>
      <c r="BK164" s="151" t="str" cm="1">
        <f t="array" ref="BK164">IF(BI164="","",INDEX(pjStart,BI164))</f>
        <v/>
      </c>
      <c r="BL164" s="151" t="str" cm="1">
        <f t="array" ref="BL164">IF(BI164="","",INDEX(pjEnd,BI164))</f>
        <v/>
      </c>
      <c r="BM164" s="150">
        <f>IF(BI164="",0,IF(C164="Active",1,IF(C164="Prospective",IF(Assumptions!$B$6="Active only",0,Assumptions!$B$7),0)))</f>
        <v>1</v>
      </c>
      <c r="BN164" s="150">
        <v>1</v>
      </c>
      <c r="BO164" s="36"/>
      <c r="BP164" s="36"/>
    </row>
    <row r="165" spans="1:68" hidden="1" outlineLevel="1" x14ac:dyDescent="0.25">
      <c r="A165" s="167">
        <v>2577</v>
      </c>
      <c r="B165" s="168" t="str" cm="1">
        <f t="array" ref="B165">IF(BI165="","",INDEX(pjName,BI165))</f>
        <v>Riverbend Master Plan</v>
      </c>
      <c r="C165" s="167" t="str" cm="1">
        <f t="array" ref="C165">IF(BI165="","",IF(INDEX(pjStatus,BI165)="","",INDEX(pjStatus,BI165)))</f>
        <v>Active</v>
      </c>
      <c r="D165" s="167" t="str" cm="1">
        <f t="array" ref="D165">IFERROR(INDEX(tblStaff[Initials],BN165),"")</f>
        <v>DF</v>
      </c>
      <c r="E165" s="169" cm="1">
        <f t="array" ref="E165">IF(OR(BI165="",D165=""),"",IFERROR(SUMPRODUCT((pjNo=A165)*(pjType="Phase")*INDEX(Projects!$I$5:$O$1188,0,MATCH(D165,Projects!$I$4:$O$4,0))*pjWk),0))</f>
        <v>0</v>
      </c>
      <c r="F165" s="169">
        <f t="shared" si="70"/>
        <v>0</v>
      </c>
      <c r="G165" s="169">
        <f t="shared" si="71"/>
        <v>0</v>
      </c>
      <c r="H165" s="170"/>
      <c r="I165" s="170"/>
      <c r="J165" s="170"/>
      <c r="K165" s="170"/>
      <c r="L165" s="170"/>
      <c r="M165" s="170"/>
      <c r="N165" s="170"/>
      <c r="O165" s="170"/>
      <c r="P165" s="170"/>
      <c r="Q165" s="170"/>
      <c r="R165" s="170"/>
      <c r="S165" s="170"/>
      <c r="T165" s="170"/>
      <c r="U165" s="170"/>
      <c r="V165" s="170"/>
      <c r="W165" s="170"/>
      <c r="X165" s="170"/>
      <c r="Y165" s="170"/>
      <c r="Z165" s="170"/>
      <c r="AA165" s="170"/>
      <c r="AB165" s="170"/>
      <c r="AC165" s="170"/>
      <c r="AD165" s="170"/>
      <c r="AE165" s="170"/>
      <c r="AF165" s="170"/>
      <c r="AG165" s="170"/>
      <c r="AH165" s="170"/>
      <c r="AI165" s="170"/>
      <c r="AJ165" s="170"/>
      <c r="AK165" s="170"/>
      <c r="AL165" s="170"/>
      <c r="AM165" s="170"/>
      <c r="AN165" s="170"/>
      <c r="AO165" s="170"/>
      <c r="AP165" s="170"/>
      <c r="AQ165" s="170"/>
      <c r="AR165" s="170"/>
      <c r="AS165" s="170"/>
      <c r="AT165" s="170"/>
      <c r="AU165" s="170"/>
      <c r="AV165" s="170"/>
      <c r="AW165" s="170"/>
      <c r="AX165" s="170"/>
      <c r="AY165" s="170"/>
      <c r="AZ165" s="170"/>
      <c r="BA165" s="170"/>
      <c r="BB165" s="170"/>
      <c r="BC165" s="170"/>
      <c r="BD165" s="170"/>
      <c r="BE165" s="170"/>
      <c r="BF165" s="170"/>
      <c r="BG165" s="170"/>
      <c r="BH165" s="36"/>
      <c r="BI165" s="150" cm="1">
        <f t="array" ref="BI165">IF(A165="","",IFERROR(MATCH(1,INDEX((pjNo=A165)*(pjType="Project"),0),0),""))</f>
        <v>122</v>
      </c>
      <c r="BJ165" s="150" t="str">
        <f>IF(D165="","",IFERROR(INDEX(tblStaff[Staff Level],MATCH(D165,tblStaff[Initials],0)),"?"))</f>
        <v>Principal</v>
      </c>
      <c r="BK165" s="151" t="str" cm="1">
        <f t="array" ref="BK165">IF(BI165="","",INDEX(pjStart,BI165))</f>
        <v/>
      </c>
      <c r="BL165" s="151" t="str" cm="1">
        <f t="array" ref="BL165">IF(BI165="","",INDEX(pjEnd,BI165))</f>
        <v/>
      </c>
      <c r="BM165" s="150">
        <f>IF(BI165="",0,IF(C165="Active",1,IF(C165="Prospective",IF(Assumptions!$B$6="Active only",0,Assumptions!$B$7),0)))</f>
        <v>1</v>
      </c>
      <c r="BN165" s="150">
        <v>2</v>
      </c>
      <c r="BO165" s="36"/>
      <c r="BP165" s="36"/>
    </row>
    <row r="166" spans="1:68" hidden="1" outlineLevel="1" x14ac:dyDescent="0.25">
      <c r="A166" s="158">
        <v>2577</v>
      </c>
      <c r="B166" s="157" t="str" cm="1">
        <f t="array" ref="B166">IF(BI166="","",INDEX(pjName,BI166))</f>
        <v>Riverbend Master Plan</v>
      </c>
      <c r="C166" s="158" t="str" cm="1">
        <f t="array" ref="C166">IF(BI166="","",IF(INDEX(pjStatus,BI166)="","",INDEX(pjStatus,BI166)))</f>
        <v>Active</v>
      </c>
      <c r="D166" s="158" t="str" cm="1">
        <f t="array" ref="D166">IFERROR(INDEX(tblStaff[Initials],BN166),"")</f>
        <v>KJ</v>
      </c>
      <c r="E166" s="159" cm="1">
        <f t="array" ref="E166">IF(OR(BI166="",D166=""),"",IFERROR(SUMPRODUCT((pjNo=A166)*(pjType="Phase")*INDEX(Projects!$I$5:$O$1188,0,MATCH(D166,Projects!$I$4:$O$4,0))*pjWk),0))</f>
        <v>0</v>
      </c>
      <c r="F166" s="159">
        <f t="shared" si="70"/>
        <v>0</v>
      </c>
      <c r="G166" s="159">
        <f t="shared" si="71"/>
        <v>0</v>
      </c>
      <c r="H166" s="160"/>
      <c r="I166" s="160"/>
      <c r="J166" s="160"/>
      <c r="K166" s="160"/>
      <c r="L166" s="160"/>
      <c r="M166" s="160"/>
      <c r="N166" s="160"/>
      <c r="O166" s="160"/>
      <c r="P166" s="160"/>
      <c r="Q166" s="160"/>
      <c r="R166" s="160"/>
      <c r="S166" s="160"/>
      <c r="T166" s="160"/>
      <c r="U166" s="160"/>
      <c r="V166" s="160"/>
      <c r="W166" s="160"/>
      <c r="X166" s="160"/>
      <c r="Y166" s="160"/>
      <c r="Z166" s="160"/>
      <c r="AA166" s="160"/>
      <c r="AB166" s="160"/>
      <c r="AC166" s="160"/>
      <c r="AD166" s="160"/>
      <c r="AE166" s="160"/>
      <c r="AF166" s="160"/>
      <c r="AG166" s="160"/>
      <c r="AH166" s="160"/>
      <c r="AI166" s="160"/>
      <c r="AJ166" s="160"/>
      <c r="AK166" s="160"/>
      <c r="AL166" s="160"/>
      <c r="AM166" s="160"/>
      <c r="AN166" s="160"/>
      <c r="AO166" s="160"/>
      <c r="AP166" s="160"/>
      <c r="AQ166" s="160"/>
      <c r="AR166" s="160"/>
      <c r="AS166" s="160"/>
      <c r="AT166" s="160"/>
      <c r="AU166" s="160"/>
      <c r="AV166" s="160"/>
      <c r="AW166" s="160"/>
      <c r="AX166" s="160"/>
      <c r="AY166" s="160"/>
      <c r="AZ166" s="160"/>
      <c r="BA166" s="160"/>
      <c r="BB166" s="160"/>
      <c r="BC166" s="160"/>
      <c r="BD166" s="160"/>
      <c r="BE166" s="160"/>
      <c r="BF166" s="160"/>
      <c r="BG166" s="160"/>
      <c r="BH166" s="36"/>
      <c r="BI166" s="150" cm="1">
        <f t="array" ref="BI166">IF(A166="","",IFERROR(MATCH(1,INDEX((pjNo=A166)*(pjType="Project"),0),0),""))</f>
        <v>122</v>
      </c>
      <c r="BJ166" s="150" t="str">
        <f>IF(D166="","",IFERROR(INDEX(tblStaff[Staff Level],MATCH(D166,tblStaff[Initials],0)),"?"))</f>
        <v>Director</v>
      </c>
      <c r="BK166" s="151" t="str" cm="1">
        <f t="array" ref="BK166">IF(BI166="","",INDEX(pjStart,BI166))</f>
        <v/>
      </c>
      <c r="BL166" s="151" t="str" cm="1">
        <f t="array" ref="BL166">IF(BI166="","",INDEX(pjEnd,BI166))</f>
        <v/>
      </c>
      <c r="BM166" s="150">
        <f>IF(BI166="",0,IF(C166="Active",1,IF(C166="Prospective",IF(Assumptions!$B$6="Active only",0,Assumptions!$B$7),0)))</f>
        <v>1</v>
      </c>
      <c r="BN166" s="150">
        <v>3</v>
      </c>
      <c r="BO166" s="36"/>
      <c r="BP166" s="36"/>
    </row>
    <row r="167" spans="1:68" hidden="1" outlineLevel="1" x14ac:dyDescent="0.25">
      <c r="A167" s="158">
        <v>2577</v>
      </c>
      <c r="B167" s="157" t="str" cm="1">
        <f t="array" ref="B167">IF(BI167="","",INDEX(pjName,BI167))</f>
        <v>Riverbend Master Plan</v>
      </c>
      <c r="C167" s="158" t="str" cm="1">
        <f t="array" ref="C167">IF(BI167="","",IF(INDEX(pjStatus,BI167)="","",INDEX(pjStatus,BI167)))</f>
        <v>Active</v>
      </c>
      <c r="D167" s="158" t="str" cm="1">
        <f t="array" ref="D167">IFERROR(INDEX(tblStaff[Initials],BN167),"")</f>
        <v>HL</v>
      </c>
      <c r="E167" s="159" cm="1">
        <f t="array" ref="E167">IF(OR(BI167="",D167=""),"",IFERROR(SUMPRODUCT((pjNo=A167)*(pjType="Phase")*INDEX(Projects!$I$5:$O$1188,0,MATCH(D167,Projects!$I$4:$O$4,0))*pjWk),0))</f>
        <v>0</v>
      </c>
      <c r="F167" s="159">
        <f t="shared" si="70"/>
        <v>0</v>
      </c>
      <c r="G167" s="159">
        <f t="shared" si="71"/>
        <v>0</v>
      </c>
      <c r="H167" s="160"/>
      <c r="I167" s="160"/>
      <c r="J167" s="160"/>
      <c r="K167" s="160"/>
      <c r="L167" s="160"/>
      <c r="M167" s="160"/>
      <c r="N167" s="160"/>
      <c r="O167" s="160"/>
      <c r="P167" s="160"/>
      <c r="Q167" s="160"/>
      <c r="R167" s="160"/>
      <c r="S167" s="160"/>
      <c r="T167" s="160"/>
      <c r="U167" s="160"/>
      <c r="V167" s="160"/>
      <c r="W167" s="160"/>
      <c r="X167" s="160"/>
      <c r="Y167" s="160"/>
      <c r="Z167" s="160"/>
      <c r="AA167" s="160"/>
      <c r="AB167" s="160"/>
      <c r="AC167" s="160"/>
      <c r="AD167" s="160"/>
      <c r="AE167" s="160"/>
      <c r="AF167" s="160"/>
      <c r="AG167" s="160"/>
      <c r="AH167" s="160"/>
      <c r="AI167" s="160"/>
      <c r="AJ167" s="160"/>
      <c r="AK167" s="160"/>
      <c r="AL167" s="160"/>
      <c r="AM167" s="160"/>
      <c r="AN167" s="160"/>
      <c r="AO167" s="160"/>
      <c r="AP167" s="160"/>
      <c r="AQ167" s="160"/>
      <c r="AR167" s="160"/>
      <c r="AS167" s="160"/>
      <c r="AT167" s="160"/>
      <c r="AU167" s="160"/>
      <c r="AV167" s="160"/>
      <c r="AW167" s="160"/>
      <c r="AX167" s="160"/>
      <c r="AY167" s="160"/>
      <c r="AZ167" s="160"/>
      <c r="BA167" s="160"/>
      <c r="BB167" s="160"/>
      <c r="BC167" s="160"/>
      <c r="BD167" s="160"/>
      <c r="BE167" s="160"/>
      <c r="BF167" s="160"/>
      <c r="BG167" s="160"/>
      <c r="BH167" s="36"/>
      <c r="BI167" s="150" cm="1">
        <f t="array" ref="BI167">IF(A167="","",IFERROR(MATCH(1,INDEX((pjNo=A167)*(pjType="Project"),0),0),""))</f>
        <v>122</v>
      </c>
      <c r="BJ167" s="150" t="str">
        <f>IF(D167="","",IFERROR(INDEX(tblStaff[Staff Level],MATCH(D167,tblStaff[Initials],0)),"?"))</f>
        <v>Senior Designer</v>
      </c>
      <c r="BK167" s="151" t="str" cm="1">
        <f t="array" ref="BK167">IF(BI167="","",INDEX(pjStart,BI167))</f>
        <v/>
      </c>
      <c r="BL167" s="151" t="str" cm="1">
        <f t="array" ref="BL167">IF(BI167="","",INDEX(pjEnd,BI167))</f>
        <v/>
      </c>
      <c r="BM167" s="150">
        <f>IF(BI167="",0,IF(C167="Active",1,IF(C167="Prospective",IF(Assumptions!$B$6="Active only",0,Assumptions!$B$7),0)))</f>
        <v>1</v>
      </c>
      <c r="BN167" s="150">
        <v>4</v>
      </c>
      <c r="BO167" s="36"/>
      <c r="BP167" s="36"/>
    </row>
    <row r="168" spans="1:68" hidden="1" outlineLevel="1" x14ac:dyDescent="0.25">
      <c r="A168" s="158">
        <v>2577</v>
      </c>
      <c r="B168" s="157" t="str" cm="1">
        <f t="array" ref="B168">IF(BI168="","",INDEX(pjName,BI168))</f>
        <v>Riverbend Master Plan</v>
      </c>
      <c r="C168" s="158" t="str" cm="1">
        <f t="array" ref="C168">IF(BI168="","",IF(INDEX(pjStatus,BI168)="","",INDEX(pjStatus,BI168)))</f>
        <v>Active</v>
      </c>
      <c r="D168" s="158" t="str" cm="1">
        <f t="array" ref="D168">IFERROR(INDEX(tblStaff[Initials],BN168),"")</f>
        <v>EHH</v>
      </c>
      <c r="E168" s="159" cm="1">
        <f t="array" ref="E168">IF(OR(BI168="",D168=""),"",IFERROR(SUMPRODUCT((pjNo=A168)*(pjType="Phase")*INDEX(Projects!$I$5:$O$1188,0,MATCH(D168,Projects!$I$4:$O$4,0))*pjWk),0))</f>
        <v>0</v>
      </c>
      <c r="F168" s="159">
        <f t="shared" si="70"/>
        <v>0</v>
      </c>
      <c r="G168" s="159">
        <f t="shared" si="71"/>
        <v>0</v>
      </c>
      <c r="H168" s="160"/>
      <c r="I168" s="160"/>
      <c r="J168" s="160"/>
      <c r="K168" s="160"/>
      <c r="L168" s="160"/>
      <c r="M168" s="160"/>
      <c r="N168" s="160"/>
      <c r="O168" s="160"/>
      <c r="P168" s="160"/>
      <c r="Q168" s="160"/>
      <c r="R168" s="160"/>
      <c r="S168" s="160"/>
      <c r="T168" s="160"/>
      <c r="U168" s="160"/>
      <c r="V168" s="160"/>
      <c r="W168" s="160"/>
      <c r="X168" s="160"/>
      <c r="Y168" s="160"/>
      <c r="Z168" s="160"/>
      <c r="AA168" s="160"/>
      <c r="AB168" s="160"/>
      <c r="AC168" s="160"/>
      <c r="AD168" s="160"/>
      <c r="AE168" s="160"/>
      <c r="AF168" s="160"/>
      <c r="AG168" s="160"/>
      <c r="AH168" s="160"/>
      <c r="AI168" s="160"/>
      <c r="AJ168" s="160"/>
      <c r="AK168" s="160"/>
      <c r="AL168" s="160"/>
      <c r="AM168" s="160"/>
      <c r="AN168" s="160"/>
      <c r="AO168" s="160"/>
      <c r="AP168" s="160"/>
      <c r="AQ168" s="160"/>
      <c r="AR168" s="160"/>
      <c r="AS168" s="160"/>
      <c r="AT168" s="160"/>
      <c r="AU168" s="160"/>
      <c r="AV168" s="160"/>
      <c r="AW168" s="160"/>
      <c r="AX168" s="160"/>
      <c r="AY168" s="160"/>
      <c r="AZ168" s="160"/>
      <c r="BA168" s="160"/>
      <c r="BB168" s="160"/>
      <c r="BC168" s="160"/>
      <c r="BD168" s="160"/>
      <c r="BE168" s="160"/>
      <c r="BF168" s="160"/>
      <c r="BG168" s="160"/>
      <c r="BH168" s="36"/>
      <c r="BI168" s="150" cm="1">
        <f t="array" ref="BI168">IF(A168="","",IFERROR(MATCH(1,INDEX((pjNo=A168)*(pjType="Project"),0),0),""))</f>
        <v>122</v>
      </c>
      <c r="BJ168" s="150" t="str">
        <f>IF(D168="","",IFERROR(INDEX(tblStaff[Staff Level],MATCH(D168,tblStaff[Initials],0)),"?"))</f>
        <v>Mid Level Designer</v>
      </c>
      <c r="BK168" s="151" t="str" cm="1">
        <f t="array" ref="BK168">IF(BI168="","",INDEX(pjStart,BI168))</f>
        <v/>
      </c>
      <c r="BL168" s="151" t="str" cm="1">
        <f t="array" ref="BL168">IF(BI168="","",INDEX(pjEnd,BI168))</f>
        <v/>
      </c>
      <c r="BM168" s="150">
        <f>IF(BI168="",0,IF(C168="Active",1,IF(C168="Prospective",IF(Assumptions!$B$6="Active only",0,Assumptions!$B$7),0)))</f>
        <v>1</v>
      </c>
      <c r="BN168" s="150">
        <v>5</v>
      </c>
      <c r="BO168" s="36"/>
      <c r="BP168" s="36"/>
    </row>
    <row r="169" spans="1:68" hidden="1" outlineLevel="1" x14ac:dyDescent="0.25">
      <c r="A169" s="158">
        <v>2577</v>
      </c>
      <c r="B169" s="157" t="str" cm="1">
        <f t="array" ref="B169">IF(BI169="","",INDEX(pjName,BI169))</f>
        <v>Riverbend Master Plan</v>
      </c>
      <c r="C169" s="158" t="str" cm="1">
        <f t="array" ref="C169">IF(BI169="","",IF(INDEX(pjStatus,BI169)="","",INDEX(pjStatus,BI169)))</f>
        <v>Active</v>
      </c>
      <c r="D169" s="158" t="str" cm="1">
        <f t="array" ref="D169">IFERROR(INDEX(tblStaff[Initials],BN169),"")</f>
        <v>KD</v>
      </c>
      <c r="E169" s="159" cm="1">
        <f t="array" ref="E169">IF(OR(BI169="",D169=""),"",IFERROR(SUMPRODUCT((pjNo=A169)*(pjType="Phase")*INDEX(Projects!$I$5:$O$1188,0,MATCH(D169,Projects!$I$4:$O$4,0))*pjWk),0))</f>
        <v>0</v>
      </c>
      <c r="F169" s="159">
        <f t="shared" si="70"/>
        <v>0</v>
      </c>
      <c r="G169" s="159">
        <f t="shared" si="71"/>
        <v>0</v>
      </c>
      <c r="H169" s="160"/>
      <c r="I169" s="160"/>
      <c r="J169" s="160"/>
      <c r="K169" s="160"/>
      <c r="L169" s="160"/>
      <c r="M169" s="160"/>
      <c r="N169" s="160"/>
      <c r="O169" s="160"/>
      <c r="P169" s="160"/>
      <c r="Q169" s="160"/>
      <c r="R169" s="160"/>
      <c r="S169" s="160"/>
      <c r="T169" s="160"/>
      <c r="U169" s="160"/>
      <c r="V169" s="160"/>
      <c r="W169" s="160"/>
      <c r="X169" s="160"/>
      <c r="Y169" s="160"/>
      <c r="Z169" s="160"/>
      <c r="AA169" s="160"/>
      <c r="AB169" s="160"/>
      <c r="AC169" s="160"/>
      <c r="AD169" s="160"/>
      <c r="AE169" s="160"/>
      <c r="AF169" s="160"/>
      <c r="AG169" s="160"/>
      <c r="AH169" s="160"/>
      <c r="AI169" s="160"/>
      <c r="AJ169" s="160"/>
      <c r="AK169" s="160"/>
      <c r="AL169" s="160"/>
      <c r="AM169" s="160"/>
      <c r="AN169" s="160"/>
      <c r="AO169" s="160"/>
      <c r="AP169" s="160"/>
      <c r="AQ169" s="160"/>
      <c r="AR169" s="160"/>
      <c r="AS169" s="160"/>
      <c r="AT169" s="160"/>
      <c r="AU169" s="160"/>
      <c r="AV169" s="160"/>
      <c r="AW169" s="160"/>
      <c r="AX169" s="160"/>
      <c r="AY169" s="160"/>
      <c r="AZ169" s="160"/>
      <c r="BA169" s="160"/>
      <c r="BB169" s="160"/>
      <c r="BC169" s="160"/>
      <c r="BD169" s="160"/>
      <c r="BE169" s="160"/>
      <c r="BF169" s="160"/>
      <c r="BG169" s="160"/>
      <c r="BH169" s="36"/>
      <c r="BI169" s="150" cm="1">
        <f t="array" ref="BI169">IF(A169="","",IFERROR(MATCH(1,INDEX((pjNo=A169)*(pjType="Project"),0),0),""))</f>
        <v>122</v>
      </c>
      <c r="BJ169" s="150" t="str">
        <f>IF(D169="","",IFERROR(INDEX(tblStaff[Staff Level],MATCH(D169,tblStaff[Initials],0)),"?"))</f>
        <v>Mid Level Designer</v>
      </c>
      <c r="BK169" s="151" t="str" cm="1">
        <f t="array" ref="BK169">IF(BI169="","",INDEX(pjStart,BI169))</f>
        <v/>
      </c>
      <c r="BL169" s="151" t="str" cm="1">
        <f t="array" ref="BL169">IF(BI169="","",INDEX(pjEnd,BI169))</f>
        <v/>
      </c>
      <c r="BM169" s="150">
        <f>IF(BI169="",0,IF(C169="Active",1,IF(C169="Prospective",IF(Assumptions!$B$6="Active only",0,Assumptions!$B$7),0)))</f>
        <v>1</v>
      </c>
      <c r="BN169" s="150">
        <v>6</v>
      </c>
      <c r="BO169" s="36"/>
      <c r="BP169" s="36"/>
    </row>
    <row r="170" spans="1:68" hidden="1" outlineLevel="1" x14ac:dyDescent="0.25">
      <c r="A170" s="158">
        <v>2577</v>
      </c>
      <c r="B170" s="157" t="str" cm="1">
        <f t="array" ref="B170">IF(BI170="","",INDEX(pjName,BI170))</f>
        <v>Riverbend Master Plan</v>
      </c>
      <c r="C170" s="158" t="str" cm="1">
        <f t="array" ref="C170">IF(BI170="","",IF(INDEX(pjStatus,BI170)="","",INDEX(pjStatus,BI170)))</f>
        <v>Active</v>
      </c>
      <c r="D170" s="158" t="str" cm="1">
        <f t="array" ref="D170">IFERROR(INDEX(tblStaff[Initials],BN170),"")</f>
        <v>XX</v>
      </c>
      <c r="E170" s="159" cm="1">
        <f t="array" ref="E170">IF(OR(BI170="",D170=""),"",IFERROR(SUMPRODUCT((pjNo=A170)*(pjType="Phase")*INDEX(Projects!$I$5:$O$1188,0,MATCH(D170,Projects!$I$4:$O$4,0))*pjWk),0))</f>
        <v>0</v>
      </c>
      <c r="F170" s="159">
        <f t="shared" si="70"/>
        <v>0</v>
      </c>
      <c r="G170" s="159">
        <f t="shared" si="71"/>
        <v>0</v>
      </c>
      <c r="H170" s="160"/>
      <c r="I170" s="160"/>
      <c r="J170" s="160"/>
      <c r="K170" s="160"/>
      <c r="L170" s="160"/>
      <c r="M170" s="160"/>
      <c r="N170" s="160"/>
      <c r="O170" s="160"/>
      <c r="P170" s="160"/>
      <c r="Q170" s="160"/>
      <c r="R170" s="160"/>
      <c r="S170" s="160"/>
      <c r="T170" s="160"/>
      <c r="U170" s="160"/>
      <c r="V170" s="160"/>
      <c r="W170" s="160"/>
      <c r="X170" s="160"/>
      <c r="Y170" s="160"/>
      <c r="Z170" s="160"/>
      <c r="AA170" s="160"/>
      <c r="AB170" s="160"/>
      <c r="AC170" s="160"/>
      <c r="AD170" s="160"/>
      <c r="AE170" s="160"/>
      <c r="AF170" s="160"/>
      <c r="AG170" s="160"/>
      <c r="AH170" s="160"/>
      <c r="AI170" s="160"/>
      <c r="AJ170" s="160"/>
      <c r="AK170" s="160"/>
      <c r="AL170" s="160"/>
      <c r="AM170" s="160"/>
      <c r="AN170" s="160"/>
      <c r="AO170" s="160"/>
      <c r="AP170" s="160"/>
      <c r="AQ170" s="160"/>
      <c r="AR170" s="160"/>
      <c r="AS170" s="160"/>
      <c r="AT170" s="160"/>
      <c r="AU170" s="160"/>
      <c r="AV170" s="160"/>
      <c r="AW170" s="160"/>
      <c r="AX170" s="160"/>
      <c r="AY170" s="160"/>
      <c r="AZ170" s="160"/>
      <c r="BA170" s="160"/>
      <c r="BB170" s="160"/>
      <c r="BC170" s="160"/>
      <c r="BD170" s="160"/>
      <c r="BE170" s="160"/>
      <c r="BF170" s="160"/>
      <c r="BG170" s="160"/>
      <c r="BH170" s="36"/>
      <c r="BI170" s="150" cm="1">
        <f t="array" ref="BI170">IF(A170="","",IFERROR(MATCH(1,INDEX((pjNo=A170)*(pjType="Project"),0),0),""))</f>
        <v>122</v>
      </c>
      <c r="BJ170" s="150" t="str">
        <f>IF(D170="","",IFERROR(INDEX(tblStaff[Staff Level],MATCH(D170,tblStaff[Initials],0)),"?"))</f>
        <v>Project Designer</v>
      </c>
      <c r="BK170" s="151" t="str" cm="1">
        <f t="array" ref="BK170">IF(BI170="","",INDEX(pjStart,BI170))</f>
        <v/>
      </c>
      <c r="BL170" s="151" t="str" cm="1">
        <f t="array" ref="BL170">IF(BI170="","",INDEX(pjEnd,BI170))</f>
        <v/>
      </c>
      <c r="BM170" s="150">
        <f>IF(BI170="",0,IF(C170="Active",1,IF(C170="Prospective",IF(Assumptions!$B$6="Active only",0,Assumptions!$B$7),0)))</f>
        <v>1</v>
      </c>
      <c r="BN170" s="150">
        <v>7</v>
      </c>
      <c r="BO170" s="36"/>
      <c r="BP170" s="36"/>
    </row>
    <row r="171" spans="1:68" hidden="1" outlineLevel="1" x14ac:dyDescent="0.25">
      <c r="A171" s="162">
        <v>2577</v>
      </c>
      <c r="B171" s="161" t="str" cm="1">
        <f t="array" ref="B171">IF(BI171="","",INDEX(pjName,BI171))</f>
        <v>Riverbend Master Plan</v>
      </c>
      <c r="C171" s="162" t="str" cm="1">
        <f t="array" ref="C171">IF(BI171="","",IF(INDEX(pjStatus,BI171)="","",INDEX(pjStatus,BI171)))</f>
        <v>Active</v>
      </c>
      <c r="D171" s="162" t="str" cm="1">
        <f t="array" ref="D171">IFERROR(INDEX(tblStaff[Initials],BN171),"")</f>
        <v/>
      </c>
      <c r="E171" s="163" t="str" cm="1">
        <f t="array" ref="E171">IF(OR(BI171="",D171=""),"",IFERROR(SUMPRODUCT((pjNo=A171)*(pjType="Phase")*INDEX(Projects!$I$5:$O$1188,0,MATCH(D171,Projects!$I$4:$O$4,0))*pjWk),0))</f>
        <v/>
      </c>
      <c r="F171" s="163">
        <f t="shared" si="70"/>
        <v>0</v>
      </c>
      <c r="G171" s="163" t="str">
        <f t="shared" si="71"/>
        <v/>
      </c>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164"/>
      <c r="AH171" s="164"/>
      <c r="AI171" s="164"/>
      <c r="AJ171" s="164"/>
      <c r="AK171" s="164"/>
      <c r="AL171" s="164"/>
      <c r="AM171" s="164"/>
      <c r="AN171" s="164"/>
      <c r="AO171" s="164"/>
      <c r="AP171" s="164"/>
      <c r="AQ171" s="164"/>
      <c r="AR171" s="164"/>
      <c r="AS171" s="164"/>
      <c r="AT171" s="164"/>
      <c r="AU171" s="164"/>
      <c r="AV171" s="164"/>
      <c r="AW171" s="164"/>
      <c r="AX171" s="164"/>
      <c r="AY171" s="164"/>
      <c r="AZ171" s="164"/>
      <c r="BA171" s="164"/>
      <c r="BB171" s="164"/>
      <c r="BC171" s="164"/>
      <c r="BD171" s="164"/>
      <c r="BE171" s="164"/>
      <c r="BF171" s="164"/>
      <c r="BG171" s="164"/>
      <c r="BH171" s="36"/>
      <c r="BI171" s="150" cm="1">
        <f t="array" ref="BI171">IF(A171="","",IFERROR(MATCH(1,INDEX((pjNo=A171)*(pjType="Project"),0),0),""))</f>
        <v>122</v>
      </c>
      <c r="BJ171" s="150" t="str">
        <f>IF(D171="","",IFERROR(INDEX(tblStaff[Staff Level],MATCH(D171,tblStaff[Initials],0)),"?"))</f>
        <v/>
      </c>
      <c r="BK171" s="151" t="str" cm="1">
        <f t="array" ref="BK171">IF(BI171="","",INDEX(pjStart,BI171))</f>
        <v/>
      </c>
      <c r="BL171" s="151" t="str" cm="1">
        <f t="array" ref="BL171">IF(BI171="","",INDEX(pjEnd,BI171))</f>
        <v/>
      </c>
      <c r="BM171" s="150">
        <f>IF(BI171="",0,IF(C171="Active",1,IF(C171="Prospective",IF(Assumptions!$B$6="Active only",0,Assumptions!$B$7),0)))</f>
        <v>1</v>
      </c>
      <c r="BN171" s="150">
        <v>8</v>
      </c>
      <c r="BO171" s="36"/>
      <c r="BP171" s="36"/>
    </row>
    <row r="172" spans="1:68" collapsed="1" x14ac:dyDescent="0.25">
      <c r="A172" s="171"/>
      <c r="B172" s="173" t="str">
        <f>IF(A173="","",A173&amp;" · "&amp;B173)</f>
        <v>2582 · Bayside Lofts</v>
      </c>
      <c r="C172" s="171" t="str">
        <f>IF(A173="","",C173)</f>
        <v>Active</v>
      </c>
      <c r="D172" s="171"/>
      <c r="E172" s="172">
        <f>SUM(E173:E180)</f>
        <v>72</v>
      </c>
      <c r="F172" s="172">
        <f>SUM(F173:F180)</f>
        <v>72</v>
      </c>
      <c r="G172" s="172">
        <f>IF(E172=0,"",E172-F172)</f>
        <v>0</v>
      </c>
      <c r="H172" s="174">
        <f t="shared" ref="H172:AM172" si="72">SUM(H173:H180)</f>
        <v>0</v>
      </c>
      <c r="I172" s="174">
        <f t="shared" si="72"/>
        <v>0</v>
      </c>
      <c r="J172" s="174">
        <f t="shared" si="72"/>
        <v>0</v>
      </c>
      <c r="K172" s="174">
        <f t="shared" si="72"/>
        <v>0</v>
      </c>
      <c r="L172" s="174">
        <f t="shared" si="72"/>
        <v>0</v>
      </c>
      <c r="M172" s="174">
        <f t="shared" si="72"/>
        <v>0</v>
      </c>
      <c r="N172" s="174">
        <f t="shared" si="72"/>
        <v>0</v>
      </c>
      <c r="O172" s="174">
        <f t="shared" si="72"/>
        <v>0</v>
      </c>
      <c r="P172" s="174">
        <f t="shared" si="72"/>
        <v>0</v>
      </c>
      <c r="Q172" s="174">
        <f t="shared" si="72"/>
        <v>0</v>
      </c>
      <c r="R172" s="174">
        <f t="shared" si="72"/>
        <v>0</v>
      </c>
      <c r="S172" s="174">
        <f t="shared" si="72"/>
        <v>0</v>
      </c>
      <c r="T172" s="174">
        <f t="shared" si="72"/>
        <v>0</v>
      </c>
      <c r="U172" s="174">
        <f t="shared" si="72"/>
        <v>0</v>
      </c>
      <c r="V172" s="174">
        <f t="shared" si="72"/>
        <v>0</v>
      </c>
      <c r="W172" s="174">
        <f t="shared" si="72"/>
        <v>0</v>
      </c>
      <c r="X172" s="174">
        <f t="shared" si="72"/>
        <v>12</v>
      </c>
      <c r="Y172" s="174">
        <f t="shared" si="72"/>
        <v>8</v>
      </c>
      <c r="Z172" s="174">
        <f t="shared" si="72"/>
        <v>8</v>
      </c>
      <c r="AA172" s="174">
        <f t="shared" si="72"/>
        <v>12</v>
      </c>
      <c r="AB172" s="174">
        <f t="shared" si="72"/>
        <v>8</v>
      </c>
      <c r="AC172" s="174">
        <f t="shared" si="72"/>
        <v>8</v>
      </c>
      <c r="AD172" s="174">
        <f t="shared" si="72"/>
        <v>12</v>
      </c>
      <c r="AE172" s="174">
        <f t="shared" si="72"/>
        <v>4</v>
      </c>
      <c r="AF172" s="174">
        <f t="shared" si="72"/>
        <v>0</v>
      </c>
      <c r="AG172" s="174">
        <f t="shared" si="72"/>
        <v>0</v>
      </c>
      <c r="AH172" s="174">
        <f t="shared" si="72"/>
        <v>0</v>
      </c>
      <c r="AI172" s="174">
        <f t="shared" si="72"/>
        <v>0</v>
      </c>
      <c r="AJ172" s="174">
        <f t="shared" si="72"/>
        <v>0</v>
      </c>
      <c r="AK172" s="174">
        <f t="shared" si="72"/>
        <v>0</v>
      </c>
      <c r="AL172" s="174">
        <f t="shared" si="72"/>
        <v>0</v>
      </c>
      <c r="AM172" s="174">
        <f t="shared" si="72"/>
        <v>0</v>
      </c>
      <c r="AN172" s="174">
        <f t="shared" ref="AN172:BG172" si="73">SUM(AN173:AN180)</f>
        <v>0</v>
      </c>
      <c r="AO172" s="174">
        <f t="shared" si="73"/>
        <v>0</v>
      </c>
      <c r="AP172" s="174">
        <f t="shared" si="73"/>
        <v>0</v>
      </c>
      <c r="AQ172" s="174">
        <f t="shared" si="73"/>
        <v>0</v>
      </c>
      <c r="AR172" s="174">
        <f t="shared" si="73"/>
        <v>0</v>
      </c>
      <c r="AS172" s="174">
        <f t="shared" si="73"/>
        <v>0</v>
      </c>
      <c r="AT172" s="174">
        <f t="shared" si="73"/>
        <v>0</v>
      </c>
      <c r="AU172" s="174">
        <f t="shared" si="73"/>
        <v>0</v>
      </c>
      <c r="AV172" s="174">
        <f t="shared" si="73"/>
        <v>0</v>
      </c>
      <c r="AW172" s="174">
        <f t="shared" si="73"/>
        <v>0</v>
      </c>
      <c r="AX172" s="174">
        <f t="shared" si="73"/>
        <v>0</v>
      </c>
      <c r="AY172" s="174">
        <f t="shared" si="73"/>
        <v>0</v>
      </c>
      <c r="AZ172" s="174">
        <f t="shared" si="73"/>
        <v>0</v>
      </c>
      <c r="BA172" s="174">
        <f t="shared" si="73"/>
        <v>0</v>
      </c>
      <c r="BB172" s="174">
        <f t="shared" si="73"/>
        <v>0</v>
      </c>
      <c r="BC172" s="174">
        <f t="shared" si="73"/>
        <v>0</v>
      </c>
      <c r="BD172" s="174">
        <f t="shared" si="73"/>
        <v>0</v>
      </c>
      <c r="BE172" s="174">
        <f t="shared" si="73"/>
        <v>0</v>
      </c>
      <c r="BF172" s="174">
        <f t="shared" si="73"/>
        <v>0</v>
      </c>
      <c r="BG172" s="174">
        <f t="shared" si="73"/>
        <v>0</v>
      </c>
      <c r="BH172" s="36"/>
      <c r="BI172" s="150"/>
      <c r="BJ172" s="150"/>
      <c r="BK172" s="151"/>
      <c r="BL172" s="151"/>
      <c r="BM172" s="150"/>
      <c r="BN172" s="150"/>
      <c r="BO172" s="36"/>
      <c r="BP172" s="36"/>
    </row>
    <row r="173" spans="1:68" hidden="1" outlineLevel="1" x14ac:dyDescent="0.25">
      <c r="A173" s="167">
        <v>2582</v>
      </c>
      <c r="B173" s="168" t="str" cm="1">
        <f t="array" ref="B173">IF(BI173="","",INDEX(pjName,BI173))</f>
        <v>Bayside Lofts</v>
      </c>
      <c r="C173" s="167" t="str" cm="1">
        <f t="array" ref="C173">IF(BI173="","",IF(INDEX(pjStatus,BI173)="","",INDEX(pjStatus,BI173)))</f>
        <v>Active</v>
      </c>
      <c r="D173" s="167" t="str" cm="1">
        <f t="array" ref="D173">IFERROR(INDEX(tblStaff[Initials],BN173),"")</f>
        <v>PK</v>
      </c>
      <c r="E173" s="169" cm="1">
        <f t="array" ref="E173">IF(OR(BI173="",D173=""),"",IFERROR(SUMPRODUCT((pjNo=A173)*(pjType="Phase")*INDEX(Projects!$I$5:$O$1188,0,MATCH(D173,Projects!$I$4:$O$4,0))*pjWk),0))</f>
        <v>12</v>
      </c>
      <c r="F173" s="169">
        <f t="shared" ref="F173:F180" si="74">IF(BI173="","",SUM(H173:BG173))</f>
        <v>12</v>
      </c>
      <c r="G173" s="169">
        <f t="shared" ref="G173:G180" si="75">IF(OR(E173="",F173=""),"",E173-F173)</f>
        <v>0</v>
      </c>
      <c r="H173" s="170"/>
      <c r="I173" s="170"/>
      <c r="J173" s="170"/>
      <c r="K173" s="170"/>
      <c r="L173" s="170"/>
      <c r="M173" s="170"/>
      <c r="N173" s="170"/>
      <c r="O173" s="170"/>
      <c r="P173" s="170"/>
      <c r="Q173" s="170"/>
      <c r="R173" s="170"/>
      <c r="S173" s="170"/>
      <c r="T173" s="170"/>
      <c r="U173" s="170"/>
      <c r="V173" s="170"/>
      <c r="W173" s="170"/>
      <c r="X173" s="170">
        <v>4</v>
      </c>
      <c r="Y173" s="170"/>
      <c r="Z173" s="170"/>
      <c r="AA173" s="170">
        <v>4</v>
      </c>
      <c r="AB173" s="170"/>
      <c r="AC173" s="170"/>
      <c r="AD173" s="170">
        <v>4</v>
      </c>
      <c r="AE173" s="170"/>
      <c r="AF173" s="170"/>
      <c r="AG173" s="170"/>
      <c r="AH173" s="170"/>
      <c r="AI173" s="170"/>
      <c r="AJ173" s="170"/>
      <c r="AK173" s="170"/>
      <c r="AL173" s="170"/>
      <c r="AM173" s="170"/>
      <c r="AN173" s="170"/>
      <c r="AO173" s="170"/>
      <c r="AP173" s="170"/>
      <c r="AQ173" s="170"/>
      <c r="AR173" s="170"/>
      <c r="AS173" s="170"/>
      <c r="AT173" s="170"/>
      <c r="AU173" s="170"/>
      <c r="AV173" s="170"/>
      <c r="AW173" s="170"/>
      <c r="AX173" s="170"/>
      <c r="AY173" s="170"/>
      <c r="AZ173" s="170"/>
      <c r="BA173" s="170"/>
      <c r="BB173" s="170"/>
      <c r="BC173" s="170"/>
      <c r="BD173" s="170"/>
      <c r="BE173" s="170"/>
      <c r="BF173" s="170"/>
      <c r="BG173" s="170"/>
      <c r="BH173" s="36"/>
      <c r="BI173" s="150" cm="1">
        <f t="array" ref="BI173">IF(A173="","",IFERROR(MATCH(1,INDEX((pjNo=A173)*(pjType="Project"),0),0),""))</f>
        <v>131</v>
      </c>
      <c r="BJ173" s="150" t="str">
        <f>IF(D173="","",IFERROR(INDEX(tblStaff[Staff Level],MATCH(D173,tblStaff[Initials],0)),"?"))</f>
        <v>Principal</v>
      </c>
      <c r="BK173" s="151" cm="1">
        <f t="array" ref="BK173">IF(BI173="","",INDEX(pjStart,BI173))</f>
        <v>46054</v>
      </c>
      <c r="BL173" s="151" cm="1">
        <f t="array" ref="BL173">IF(BI173="","",INDEX(pjEnd,BI173))</f>
        <v>46137</v>
      </c>
      <c r="BM173" s="150">
        <f>IF(BI173="",0,IF(C173="Active",1,IF(C173="Prospective",IF(Assumptions!$B$6="Active only",0,Assumptions!$B$7),0)))</f>
        <v>1</v>
      </c>
      <c r="BN173" s="150">
        <v>1</v>
      </c>
      <c r="BO173" s="36"/>
      <c r="BP173" s="36"/>
    </row>
    <row r="174" spans="1:68" hidden="1" outlineLevel="1" x14ac:dyDescent="0.25">
      <c r="A174" s="167">
        <v>2582</v>
      </c>
      <c r="B174" s="168" t="str" cm="1">
        <f t="array" ref="B174">IF(BI174="","",INDEX(pjName,BI174))</f>
        <v>Bayside Lofts</v>
      </c>
      <c r="C174" s="167" t="str" cm="1">
        <f t="array" ref="C174">IF(BI174="","",IF(INDEX(pjStatus,BI174)="","",INDEX(pjStatus,BI174)))</f>
        <v>Active</v>
      </c>
      <c r="D174" s="167" t="str" cm="1">
        <f t="array" ref="D174">IFERROR(INDEX(tblStaff[Initials],BN174),"")</f>
        <v>DF</v>
      </c>
      <c r="E174" s="169" cm="1">
        <f t="array" ref="E174">IF(OR(BI174="",D174=""),"",IFERROR(SUMPRODUCT((pjNo=A174)*(pjType="Phase")*INDEX(Projects!$I$5:$O$1188,0,MATCH(D174,Projects!$I$4:$O$4,0))*pjWk),0))</f>
        <v>0</v>
      </c>
      <c r="F174" s="169">
        <f t="shared" si="74"/>
        <v>0</v>
      </c>
      <c r="G174" s="169">
        <f t="shared" si="75"/>
        <v>0</v>
      </c>
      <c r="H174" s="170"/>
      <c r="I174" s="170"/>
      <c r="J174" s="170"/>
      <c r="K174" s="170"/>
      <c r="L174" s="170"/>
      <c r="M174" s="170"/>
      <c r="N174" s="170"/>
      <c r="O174" s="170"/>
      <c r="P174" s="170"/>
      <c r="Q174" s="170"/>
      <c r="R174" s="170"/>
      <c r="S174" s="170"/>
      <c r="T174" s="170"/>
      <c r="U174" s="170"/>
      <c r="V174" s="170"/>
      <c r="W174" s="170"/>
      <c r="X174" s="170"/>
      <c r="Y174" s="170"/>
      <c r="Z174" s="170"/>
      <c r="AA174" s="170"/>
      <c r="AB174" s="170"/>
      <c r="AC174" s="170"/>
      <c r="AD174" s="170"/>
      <c r="AE174" s="170"/>
      <c r="AF174" s="170"/>
      <c r="AG174" s="170"/>
      <c r="AH174" s="170"/>
      <c r="AI174" s="170"/>
      <c r="AJ174" s="170"/>
      <c r="AK174" s="170"/>
      <c r="AL174" s="170"/>
      <c r="AM174" s="170"/>
      <c r="AN174" s="170"/>
      <c r="AO174" s="170"/>
      <c r="AP174" s="170"/>
      <c r="AQ174" s="170"/>
      <c r="AR174" s="170"/>
      <c r="AS174" s="170"/>
      <c r="AT174" s="170"/>
      <c r="AU174" s="170"/>
      <c r="AV174" s="170"/>
      <c r="AW174" s="170"/>
      <c r="AX174" s="170"/>
      <c r="AY174" s="170"/>
      <c r="AZ174" s="170"/>
      <c r="BA174" s="170"/>
      <c r="BB174" s="170"/>
      <c r="BC174" s="170"/>
      <c r="BD174" s="170"/>
      <c r="BE174" s="170"/>
      <c r="BF174" s="170"/>
      <c r="BG174" s="170"/>
      <c r="BH174" s="36"/>
      <c r="BI174" s="150" cm="1">
        <f t="array" ref="BI174">IF(A174="","",IFERROR(MATCH(1,INDEX((pjNo=A174)*(pjType="Project"),0),0),""))</f>
        <v>131</v>
      </c>
      <c r="BJ174" s="150" t="str">
        <f>IF(D174="","",IFERROR(INDEX(tblStaff[Staff Level],MATCH(D174,tblStaff[Initials],0)),"?"))</f>
        <v>Principal</v>
      </c>
      <c r="BK174" s="151" cm="1">
        <f t="array" ref="BK174">IF(BI174="","",INDEX(pjStart,BI174))</f>
        <v>46054</v>
      </c>
      <c r="BL174" s="151" cm="1">
        <f t="array" ref="BL174">IF(BI174="","",INDEX(pjEnd,BI174))</f>
        <v>46137</v>
      </c>
      <c r="BM174" s="150">
        <f>IF(BI174="",0,IF(C174="Active",1,IF(C174="Prospective",IF(Assumptions!$B$6="Active only",0,Assumptions!$B$7),0)))</f>
        <v>1</v>
      </c>
      <c r="BN174" s="150">
        <v>2</v>
      </c>
      <c r="BO174" s="36"/>
      <c r="BP174" s="36"/>
    </row>
    <row r="175" spans="1:68" hidden="1" outlineLevel="1" x14ac:dyDescent="0.25">
      <c r="A175" s="158">
        <v>2582</v>
      </c>
      <c r="B175" s="157" t="str" cm="1">
        <f t="array" ref="B175">IF(BI175="","",INDEX(pjName,BI175))</f>
        <v>Bayside Lofts</v>
      </c>
      <c r="C175" s="158" t="str" cm="1">
        <f t="array" ref="C175">IF(BI175="","",IF(INDEX(pjStatus,BI175)="","",INDEX(pjStatus,BI175)))</f>
        <v>Active</v>
      </c>
      <c r="D175" s="158" t="str" cm="1">
        <f t="array" ref="D175">IFERROR(INDEX(tblStaff[Initials],BN175),"")</f>
        <v>KJ</v>
      </c>
      <c r="E175" s="159" cm="1">
        <f t="array" ref="E175">IF(OR(BI175="",D175=""),"",IFERROR(SUMPRODUCT((pjNo=A175)*(pjType="Phase")*INDEX(Projects!$I$5:$O$1188,0,MATCH(D175,Projects!$I$4:$O$4,0))*pjWk),0))</f>
        <v>60</v>
      </c>
      <c r="F175" s="159">
        <f t="shared" si="74"/>
        <v>60</v>
      </c>
      <c r="G175" s="159">
        <f t="shared" si="75"/>
        <v>0</v>
      </c>
      <c r="H175" s="160"/>
      <c r="I175" s="160"/>
      <c r="J175" s="160"/>
      <c r="K175" s="160"/>
      <c r="L175" s="160"/>
      <c r="M175" s="160"/>
      <c r="N175" s="160"/>
      <c r="O175" s="160"/>
      <c r="P175" s="160"/>
      <c r="Q175" s="160"/>
      <c r="R175" s="160"/>
      <c r="S175" s="160"/>
      <c r="T175" s="160"/>
      <c r="U175" s="160"/>
      <c r="V175" s="160"/>
      <c r="W175" s="160"/>
      <c r="X175" s="160">
        <v>8</v>
      </c>
      <c r="Y175" s="160">
        <v>8</v>
      </c>
      <c r="Z175" s="160">
        <v>8</v>
      </c>
      <c r="AA175" s="160">
        <v>8</v>
      </c>
      <c r="AB175" s="160">
        <v>8</v>
      </c>
      <c r="AC175" s="160">
        <v>8</v>
      </c>
      <c r="AD175" s="160">
        <v>8</v>
      </c>
      <c r="AE175" s="160">
        <v>4</v>
      </c>
      <c r="AF175" s="160"/>
      <c r="AG175" s="160"/>
      <c r="AH175" s="160"/>
      <c r="AI175" s="160"/>
      <c r="AJ175" s="160"/>
      <c r="AK175" s="160"/>
      <c r="AL175" s="160"/>
      <c r="AM175" s="160"/>
      <c r="AN175" s="160"/>
      <c r="AO175" s="160"/>
      <c r="AP175" s="160"/>
      <c r="AQ175" s="160"/>
      <c r="AR175" s="160"/>
      <c r="AS175" s="160"/>
      <c r="AT175" s="160"/>
      <c r="AU175" s="160"/>
      <c r="AV175" s="160"/>
      <c r="AW175" s="160"/>
      <c r="AX175" s="160"/>
      <c r="AY175" s="160"/>
      <c r="AZ175" s="160"/>
      <c r="BA175" s="160"/>
      <c r="BB175" s="160"/>
      <c r="BC175" s="160"/>
      <c r="BD175" s="160"/>
      <c r="BE175" s="160"/>
      <c r="BF175" s="160"/>
      <c r="BG175" s="160"/>
      <c r="BH175" s="36"/>
      <c r="BI175" s="150" cm="1">
        <f t="array" ref="BI175">IF(A175="","",IFERROR(MATCH(1,INDEX((pjNo=A175)*(pjType="Project"),0),0),""))</f>
        <v>131</v>
      </c>
      <c r="BJ175" s="150" t="str">
        <f>IF(D175="","",IFERROR(INDEX(tblStaff[Staff Level],MATCH(D175,tblStaff[Initials],0)),"?"))</f>
        <v>Director</v>
      </c>
      <c r="BK175" s="151" cm="1">
        <f t="array" ref="BK175">IF(BI175="","",INDEX(pjStart,BI175))</f>
        <v>46054</v>
      </c>
      <c r="BL175" s="151" cm="1">
        <f t="array" ref="BL175">IF(BI175="","",INDEX(pjEnd,BI175))</f>
        <v>46137</v>
      </c>
      <c r="BM175" s="150">
        <f>IF(BI175="",0,IF(C175="Active",1,IF(C175="Prospective",IF(Assumptions!$B$6="Active only",0,Assumptions!$B$7),0)))</f>
        <v>1</v>
      </c>
      <c r="BN175" s="150">
        <v>3</v>
      </c>
      <c r="BO175" s="36"/>
      <c r="BP175" s="36"/>
    </row>
    <row r="176" spans="1:68" hidden="1" outlineLevel="1" x14ac:dyDescent="0.25">
      <c r="A176" s="158">
        <v>2582</v>
      </c>
      <c r="B176" s="157" t="str" cm="1">
        <f t="array" ref="B176">IF(BI176="","",INDEX(pjName,BI176))</f>
        <v>Bayside Lofts</v>
      </c>
      <c r="C176" s="158" t="str" cm="1">
        <f t="array" ref="C176">IF(BI176="","",IF(INDEX(pjStatus,BI176)="","",INDEX(pjStatus,BI176)))</f>
        <v>Active</v>
      </c>
      <c r="D176" s="158" t="str" cm="1">
        <f t="array" ref="D176">IFERROR(INDEX(tblStaff[Initials],BN176),"")</f>
        <v>HL</v>
      </c>
      <c r="E176" s="159" cm="1">
        <f t="array" ref="E176">IF(OR(BI176="",D176=""),"",IFERROR(SUMPRODUCT((pjNo=A176)*(pjType="Phase")*INDEX(Projects!$I$5:$O$1188,0,MATCH(D176,Projects!$I$4:$O$4,0))*pjWk),0))</f>
        <v>0</v>
      </c>
      <c r="F176" s="159">
        <f t="shared" si="74"/>
        <v>0</v>
      </c>
      <c r="G176" s="159">
        <f t="shared" si="75"/>
        <v>0</v>
      </c>
      <c r="H176" s="160"/>
      <c r="I176" s="160"/>
      <c r="J176" s="160"/>
      <c r="K176" s="160"/>
      <c r="L176" s="160"/>
      <c r="M176" s="160"/>
      <c r="N176" s="160"/>
      <c r="O176" s="160"/>
      <c r="P176" s="160"/>
      <c r="Q176" s="160"/>
      <c r="R176" s="160"/>
      <c r="S176" s="160"/>
      <c r="T176" s="160"/>
      <c r="U176" s="160"/>
      <c r="V176" s="160"/>
      <c r="W176" s="160"/>
      <c r="X176" s="160"/>
      <c r="Y176" s="160"/>
      <c r="Z176" s="160"/>
      <c r="AA176" s="160"/>
      <c r="AB176" s="160"/>
      <c r="AC176" s="160"/>
      <c r="AD176" s="160"/>
      <c r="AE176" s="160"/>
      <c r="AF176" s="160"/>
      <c r="AG176" s="160"/>
      <c r="AH176" s="160"/>
      <c r="AI176" s="160"/>
      <c r="AJ176" s="160"/>
      <c r="AK176" s="160"/>
      <c r="AL176" s="160"/>
      <c r="AM176" s="160"/>
      <c r="AN176" s="160"/>
      <c r="AO176" s="160"/>
      <c r="AP176" s="160"/>
      <c r="AQ176" s="160"/>
      <c r="AR176" s="160"/>
      <c r="AS176" s="160"/>
      <c r="AT176" s="160"/>
      <c r="AU176" s="160"/>
      <c r="AV176" s="160"/>
      <c r="AW176" s="160"/>
      <c r="AX176" s="160"/>
      <c r="AY176" s="160"/>
      <c r="AZ176" s="160"/>
      <c r="BA176" s="160"/>
      <c r="BB176" s="160"/>
      <c r="BC176" s="160"/>
      <c r="BD176" s="160"/>
      <c r="BE176" s="160"/>
      <c r="BF176" s="160"/>
      <c r="BG176" s="160"/>
      <c r="BH176" s="36"/>
      <c r="BI176" s="150" cm="1">
        <f t="array" ref="BI176">IF(A176="","",IFERROR(MATCH(1,INDEX((pjNo=A176)*(pjType="Project"),0),0),""))</f>
        <v>131</v>
      </c>
      <c r="BJ176" s="150" t="str">
        <f>IF(D176="","",IFERROR(INDEX(tblStaff[Staff Level],MATCH(D176,tblStaff[Initials],0)),"?"))</f>
        <v>Senior Designer</v>
      </c>
      <c r="BK176" s="151" cm="1">
        <f t="array" ref="BK176">IF(BI176="","",INDEX(pjStart,BI176))</f>
        <v>46054</v>
      </c>
      <c r="BL176" s="151" cm="1">
        <f t="array" ref="BL176">IF(BI176="","",INDEX(pjEnd,BI176))</f>
        <v>46137</v>
      </c>
      <c r="BM176" s="150">
        <f>IF(BI176="",0,IF(C176="Active",1,IF(C176="Prospective",IF(Assumptions!$B$6="Active only",0,Assumptions!$B$7),0)))</f>
        <v>1</v>
      </c>
      <c r="BN176" s="150">
        <v>4</v>
      </c>
      <c r="BO176" s="36"/>
      <c r="BP176" s="36"/>
    </row>
    <row r="177" spans="1:68" hidden="1" outlineLevel="1" x14ac:dyDescent="0.25">
      <c r="A177" s="158">
        <v>2582</v>
      </c>
      <c r="B177" s="157" t="str" cm="1">
        <f t="array" ref="B177">IF(BI177="","",INDEX(pjName,BI177))</f>
        <v>Bayside Lofts</v>
      </c>
      <c r="C177" s="158" t="str" cm="1">
        <f t="array" ref="C177">IF(BI177="","",IF(INDEX(pjStatus,BI177)="","",INDEX(pjStatus,BI177)))</f>
        <v>Active</v>
      </c>
      <c r="D177" s="158" t="str" cm="1">
        <f t="array" ref="D177">IFERROR(INDEX(tblStaff[Initials],BN177),"")</f>
        <v>EHH</v>
      </c>
      <c r="E177" s="159" cm="1">
        <f t="array" ref="E177">IF(OR(BI177="",D177=""),"",IFERROR(SUMPRODUCT((pjNo=A177)*(pjType="Phase")*INDEX(Projects!$I$5:$O$1188,0,MATCH(D177,Projects!$I$4:$O$4,0))*pjWk),0))</f>
        <v>0</v>
      </c>
      <c r="F177" s="159">
        <f t="shared" si="74"/>
        <v>0</v>
      </c>
      <c r="G177" s="159">
        <f t="shared" si="75"/>
        <v>0</v>
      </c>
      <c r="H177" s="160"/>
      <c r="I177" s="160"/>
      <c r="J177" s="160"/>
      <c r="K177" s="160"/>
      <c r="L177" s="160"/>
      <c r="M177" s="160"/>
      <c r="N177" s="160"/>
      <c r="O177" s="160"/>
      <c r="P177" s="160"/>
      <c r="Q177" s="160"/>
      <c r="R177" s="160"/>
      <c r="S177" s="160"/>
      <c r="T177" s="160"/>
      <c r="U177" s="160"/>
      <c r="V177" s="160"/>
      <c r="W177" s="160"/>
      <c r="X177" s="160"/>
      <c r="Y177" s="160"/>
      <c r="Z177" s="160"/>
      <c r="AA177" s="160"/>
      <c r="AB177" s="160"/>
      <c r="AC177" s="160"/>
      <c r="AD177" s="160"/>
      <c r="AE177" s="160"/>
      <c r="AF177" s="160"/>
      <c r="AG177" s="160"/>
      <c r="AH177" s="160"/>
      <c r="AI177" s="160"/>
      <c r="AJ177" s="160"/>
      <c r="AK177" s="160"/>
      <c r="AL177" s="160"/>
      <c r="AM177" s="160"/>
      <c r="AN177" s="160"/>
      <c r="AO177" s="160"/>
      <c r="AP177" s="160"/>
      <c r="AQ177" s="160"/>
      <c r="AR177" s="160"/>
      <c r="AS177" s="160"/>
      <c r="AT177" s="160"/>
      <c r="AU177" s="160"/>
      <c r="AV177" s="160"/>
      <c r="AW177" s="160"/>
      <c r="AX177" s="160"/>
      <c r="AY177" s="160"/>
      <c r="AZ177" s="160"/>
      <c r="BA177" s="160"/>
      <c r="BB177" s="160"/>
      <c r="BC177" s="160"/>
      <c r="BD177" s="160"/>
      <c r="BE177" s="160"/>
      <c r="BF177" s="160"/>
      <c r="BG177" s="160"/>
      <c r="BH177" s="36"/>
      <c r="BI177" s="150" cm="1">
        <f t="array" ref="BI177">IF(A177="","",IFERROR(MATCH(1,INDEX((pjNo=A177)*(pjType="Project"),0),0),""))</f>
        <v>131</v>
      </c>
      <c r="BJ177" s="150" t="str">
        <f>IF(D177="","",IFERROR(INDEX(tblStaff[Staff Level],MATCH(D177,tblStaff[Initials],0)),"?"))</f>
        <v>Mid Level Designer</v>
      </c>
      <c r="BK177" s="151" cm="1">
        <f t="array" ref="BK177">IF(BI177="","",INDEX(pjStart,BI177))</f>
        <v>46054</v>
      </c>
      <c r="BL177" s="151" cm="1">
        <f t="array" ref="BL177">IF(BI177="","",INDEX(pjEnd,BI177))</f>
        <v>46137</v>
      </c>
      <c r="BM177" s="150">
        <f>IF(BI177="",0,IF(C177="Active",1,IF(C177="Prospective",IF(Assumptions!$B$6="Active only",0,Assumptions!$B$7),0)))</f>
        <v>1</v>
      </c>
      <c r="BN177" s="150">
        <v>5</v>
      </c>
      <c r="BO177" s="36"/>
      <c r="BP177" s="36"/>
    </row>
    <row r="178" spans="1:68" hidden="1" outlineLevel="1" x14ac:dyDescent="0.25">
      <c r="A178" s="158">
        <v>2582</v>
      </c>
      <c r="B178" s="157" t="str" cm="1">
        <f t="array" ref="B178">IF(BI178="","",INDEX(pjName,BI178))</f>
        <v>Bayside Lofts</v>
      </c>
      <c r="C178" s="158" t="str" cm="1">
        <f t="array" ref="C178">IF(BI178="","",IF(INDEX(pjStatus,BI178)="","",INDEX(pjStatus,BI178)))</f>
        <v>Active</v>
      </c>
      <c r="D178" s="158" t="str" cm="1">
        <f t="array" ref="D178">IFERROR(INDEX(tblStaff[Initials],BN178),"")</f>
        <v>KD</v>
      </c>
      <c r="E178" s="159" cm="1">
        <f t="array" ref="E178">IF(OR(BI178="",D178=""),"",IFERROR(SUMPRODUCT((pjNo=A178)*(pjType="Phase")*INDEX(Projects!$I$5:$O$1188,0,MATCH(D178,Projects!$I$4:$O$4,0))*pjWk),0))</f>
        <v>0</v>
      </c>
      <c r="F178" s="159">
        <f t="shared" si="74"/>
        <v>0</v>
      </c>
      <c r="G178" s="159">
        <f t="shared" si="75"/>
        <v>0</v>
      </c>
      <c r="H178" s="160"/>
      <c r="I178" s="160"/>
      <c r="J178" s="160"/>
      <c r="K178" s="160"/>
      <c r="L178" s="160"/>
      <c r="M178" s="160"/>
      <c r="N178" s="160"/>
      <c r="O178" s="160"/>
      <c r="P178" s="160"/>
      <c r="Q178" s="160"/>
      <c r="R178" s="160"/>
      <c r="S178" s="160"/>
      <c r="T178" s="160"/>
      <c r="U178" s="160"/>
      <c r="V178" s="160"/>
      <c r="W178" s="160"/>
      <c r="X178" s="160"/>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c r="AX178" s="160"/>
      <c r="AY178" s="160"/>
      <c r="AZ178" s="160"/>
      <c r="BA178" s="160"/>
      <c r="BB178" s="160"/>
      <c r="BC178" s="160"/>
      <c r="BD178" s="160"/>
      <c r="BE178" s="160"/>
      <c r="BF178" s="160"/>
      <c r="BG178" s="160"/>
      <c r="BH178" s="36"/>
      <c r="BI178" s="150" cm="1">
        <f t="array" ref="BI178">IF(A178="","",IFERROR(MATCH(1,INDEX((pjNo=A178)*(pjType="Project"),0),0),""))</f>
        <v>131</v>
      </c>
      <c r="BJ178" s="150" t="str">
        <f>IF(D178="","",IFERROR(INDEX(tblStaff[Staff Level],MATCH(D178,tblStaff[Initials],0)),"?"))</f>
        <v>Mid Level Designer</v>
      </c>
      <c r="BK178" s="151" cm="1">
        <f t="array" ref="BK178">IF(BI178="","",INDEX(pjStart,BI178))</f>
        <v>46054</v>
      </c>
      <c r="BL178" s="151" cm="1">
        <f t="array" ref="BL178">IF(BI178="","",INDEX(pjEnd,BI178))</f>
        <v>46137</v>
      </c>
      <c r="BM178" s="150">
        <f>IF(BI178="",0,IF(C178="Active",1,IF(C178="Prospective",IF(Assumptions!$B$6="Active only",0,Assumptions!$B$7),0)))</f>
        <v>1</v>
      </c>
      <c r="BN178" s="150">
        <v>6</v>
      </c>
      <c r="BO178" s="36"/>
      <c r="BP178" s="36"/>
    </row>
    <row r="179" spans="1:68" hidden="1" outlineLevel="1" x14ac:dyDescent="0.25">
      <c r="A179" s="158">
        <v>2582</v>
      </c>
      <c r="B179" s="157" t="str" cm="1">
        <f t="array" ref="B179">IF(BI179="","",INDEX(pjName,BI179))</f>
        <v>Bayside Lofts</v>
      </c>
      <c r="C179" s="158" t="str" cm="1">
        <f t="array" ref="C179">IF(BI179="","",IF(INDEX(pjStatus,BI179)="","",INDEX(pjStatus,BI179)))</f>
        <v>Active</v>
      </c>
      <c r="D179" s="158" t="str" cm="1">
        <f t="array" ref="D179">IFERROR(INDEX(tblStaff[Initials],BN179),"")</f>
        <v>XX</v>
      </c>
      <c r="E179" s="159" cm="1">
        <f t="array" ref="E179">IF(OR(BI179="",D179=""),"",IFERROR(SUMPRODUCT((pjNo=A179)*(pjType="Phase")*INDEX(Projects!$I$5:$O$1188,0,MATCH(D179,Projects!$I$4:$O$4,0))*pjWk),0))</f>
        <v>0</v>
      </c>
      <c r="F179" s="159">
        <f t="shared" si="74"/>
        <v>0</v>
      </c>
      <c r="G179" s="159">
        <f t="shared" si="75"/>
        <v>0</v>
      </c>
      <c r="H179" s="160"/>
      <c r="I179" s="160"/>
      <c r="J179" s="160"/>
      <c r="K179" s="160"/>
      <c r="L179" s="160"/>
      <c r="M179" s="160"/>
      <c r="N179" s="160"/>
      <c r="O179" s="160"/>
      <c r="P179" s="160"/>
      <c r="Q179" s="160"/>
      <c r="R179" s="160"/>
      <c r="S179" s="160"/>
      <c r="T179" s="160"/>
      <c r="U179" s="160"/>
      <c r="V179" s="160"/>
      <c r="W179" s="160"/>
      <c r="X179" s="160"/>
      <c r="Y179" s="160"/>
      <c r="Z179" s="160"/>
      <c r="AA179" s="160"/>
      <c r="AB179" s="160"/>
      <c r="AC179" s="160"/>
      <c r="AD179" s="160"/>
      <c r="AE179" s="160"/>
      <c r="AF179" s="160"/>
      <c r="AG179" s="160"/>
      <c r="AH179" s="160"/>
      <c r="AI179" s="160"/>
      <c r="AJ179" s="160"/>
      <c r="AK179" s="160"/>
      <c r="AL179" s="160"/>
      <c r="AM179" s="160"/>
      <c r="AN179" s="160"/>
      <c r="AO179" s="160"/>
      <c r="AP179" s="160"/>
      <c r="AQ179" s="160"/>
      <c r="AR179" s="160"/>
      <c r="AS179" s="160"/>
      <c r="AT179" s="160"/>
      <c r="AU179" s="160"/>
      <c r="AV179" s="160"/>
      <c r="AW179" s="160"/>
      <c r="AX179" s="160"/>
      <c r="AY179" s="160"/>
      <c r="AZ179" s="160"/>
      <c r="BA179" s="160"/>
      <c r="BB179" s="160"/>
      <c r="BC179" s="160"/>
      <c r="BD179" s="160"/>
      <c r="BE179" s="160"/>
      <c r="BF179" s="160"/>
      <c r="BG179" s="160"/>
      <c r="BH179" s="36"/>
      <c r="BI179" s="150" cm="1">
        <f t="array" ref="BI179">IF(A179="","",IFERROR(MATCH(1,INDEX((pjNo=A179)*(pjType="Project"),0),0),""))</f>
        <v>131</v>
      </c>
      <c r="BJ179" s="150" t="str">
        <f>IF(D179="","",IFERROR(INDEX(tblStaff[Staff Level],MATCH(D179,tblStaff[Initials],0)),"?"))</f>
        <v>Project Designer</v>
      </c>
      <c r="BK179" s="151" cm="1">
        <f t="array" ref="BK179">IF(BI179="","",INDEX(pjStart,BI179))</f>
        <v>46054</v>
      </c>
      <c r="BL179" s="151" cm="1">
        <f t="array" ref="BL179">IF(BI179="","",INDEX(pjEnd,BI179))</f>
        <v>46137</v>
      </c>
      <c r="BM179" s="150">
        <f>IF(BI179="",0,IF(C179="Active",1,IF(C179="Prospective",IF(Assumptions!$B$6="Active only",0,Assumptions!$B$7),0)))</f>
        <v>1</v>
      </c>
      <c r="BN179" s="150">
        <v>7</v>
      </c>
      <c r="BO179" s="36"/>
      <c r="BP179" s="36"/>
    </row>
    <row r="180" spans="1:68" hidden="1" outlineLevel="1" x14ac:dyDescent="0.25">
      <c r="A180" s="162">
        <v>2582</v>
      </c>
      <c r="B180" s="161" t="str" cm="1">
        <f t="array" ref="B180">IF(BI180="","",INDEX(pjName,BI180))</f>
        <v>Bayside Lofts</v>
      </c>
      <c r="C180" s="162" t="str" cm="1">
        <f t="array" ref="C180">IF(BI180="","",IF(INDEX(pjStatus,BI180)="","",INDEX(pjStatus,BI180)))</f>
        <v>Active</v>
      </c>
      <c r="D180" s="162" t="str" cm="1">
        <f t="array" ref="D180">IFERROR(INDEX(tblStaff[Initials],BN180),"")</f>
        <v/>
      </c>
      <c r="E180" s="163" t="str" cm="1">
        <f t="array" ref="E180">IF(OR(BI180="",D180=""),"",IFERROR(SUMPRODUCT((pjNo=A180)*(pjType="Phase")*INDEX(Projects!$I$5:$O$1188,0,MATCH(D180,Projects!$I$4:$O$4,0))*pjWk),0))</f>
        <v/>
      </c>
      <c r="F180" s="163">
        <f t="shared" si="74"/>
        <v>0</v>
      </c>
      <c r="G180" s="163" t="str">
        <f t="shared" si="75"/>
        <v/>
      </c>
      <c r="H180" s="164"/>
      <c r="I180" s="164"/>
      <c r="J180" s="164"/>
      <c r="K180" s="164"/>
      <c r="L180" s="164"/>
      <c r="M180" s="164"/>
      <c r="N180" s="164"/>
      <c r="O180" s="164"/>
      <c r="P180" s="164"/>
      <c r="Q180" s="164"/>
      <c r="R180" s="164"/>
      <c r="S180" s="164"/>
      <c r="T180" s="164"/>
      <c r="U180" s="164"/>
      <c r="V180" s="164"/>
      <c r="W180" s="164"/>
      <c r="X180" s="164"/>
      <c r="Y180" s="164"/>
      <c r="Z180" s="164"/>
      <c r="AA180" s="164"/>
      <c r="AB180" s="164"/>
      <c r="AC180" s="164"/>
      <c r="AD180" s="164"/>
      <c r="AE180" s="164"/>
      <c r="AF180" s="164"/>
      <c r="AG180" s="164"/>
      <c r="AH180" s="164"/>
      <c r="AI180" s="164"/>
      <c r="AJ180" s="164"/>
      <c r="AK180" s="164"/>
      <c r="AL180" s="164"/>
      <c r="AM180" s="164"/>
      <c r="AN180" s="164"/>
      <c r="AO180" s="164"/>
      <c r="AP180" s="164"/>
      <c r="AQ180" s="164"/>
      <c r="AR180" s="164"/>
      <c r="AS180" s="164"/>
      <c r="AT180" s="164"/>
      <c r="AU180" s="164"/>
      <c r="AV180" s="164"/>
      <c r="AW180" s="164"/>
      <c r="AX180" s="164"/>
      <c r="AY180" s="164"/>
      <c r="AZ180" s="164"/>
      <c r="BA180" s="164"/>
      <c r="BB180" s="164"/>
      <c r="BC180" s="164"/>
      <c r="BD180" s="164"/>
      <c r="BE180" s="164"/>
      <c r="BF180" s="164"/>
      <c r="BG180" s="164"/>
      <c r="BH180" s="36"/>
      <c r="BI180" s="150" cm="1">
        <f t="array" ref="BI180">IF(A180="","",IFERROR(MATCH(1,INDEX((pjNo=A180)*(pjType="Project"),0),0),""))</f>
        <v>131</v>
      </c>
      <c r="BJ180" s="150" t="str">
        <f>IF(D180="","",IFERROR(INDEX(tblStaff[Staff Level],MATCH(D180,tblStaff[Initials],0)),"?"))</f>
        <v/>
      </c>
      <c r="BK180" s="151" cm="1">
        <f t="array" ref="BK180">IF(BI180="","",INDEX(pjStart,BI180))</f>
        <v>46054</v>
      </c>
      <c r="BL180" s="151" cm="1">
        <f t="array" ref="BL180">IF(BI180="","",INDEX(pjEnd,BI180))</f>
        <v>46137</v>
      </c>
      <c r="BM180" s="150">
        <f>IF(BI180="",0,IF(C180="Active",1,IF(C180="Prospective",IF(Assumptions!$B$6="Active only",0,Assumptions!$B$7),0)))</f>
        <v>1</v>
      </c>
      <c r="BN180" s="150">
        <v>8</v>
      </c>
      <c r="BO180" s="36"/>
      <c r="BP180" s="36"/>
    </row>
    <row r="181" spans="1:68" collapsed="1" x14ac:dyDescent="0.25">
      <c r="A181" s="171"/>
      <c r="B181" s="173" t="str">
        <f>IF(A182="","",A182&amp;" · "&amp;B182)</f>
        <v>2583 · Cypress Point Campus Plan</v>
      </c>
      <c r="C181" s="171" t="str">
        <f>IF(A182="","",C182)</f>
        <v>Active</v>
      </c>
      <c r="D181" s="171"/>
      <c r="E181" s="172">
        <f>SUM(E182:E189)</f>
        <v>0</v>
      </c>
      <c r="F181" s="172">
        <f>SUM(F182:F189)</f>
        <v>0</v>
      </c>
      <c r="G181" s="172" t="str">
        <f>IF(E181=0,"",E181-F181)</f>
        <v/>
      </c>
      <c r="H181" s="174">
        <f t="shared" ref="H181:AM181" si="76">SUM(H182:H189)</f>
        <v>0</v>
      </c>
      <c r="I181" s="174">
        <f t="shared" si="76"/>
        <v>0</v>
      </c>
      <c r="J181" s="174">
        <f t="shared" si="76"/>
        <v>0</v>
      </c>
      <c r="K181" s="174">
        <f t="shared" si="76"/>
        <v>0</v>
      </c>
      <c r="L181" s="174">
        <f t="shared" si="76"/>
        <v>0</v>
      </c>
      <c r="M181" s="174">
        <f t="shared" si="76"/>
        <v>0</v>
      </c>
      <c r="N181" s="174">
        <f t="shared" si="76"/>
        <v>0</v>
      </c>
      <c r="O181" s="174">
        <f t="shared" si="76"/>
        <v>0</v>
      </c>
      <c r="P181" s="174">
        <f t="shared" si="76"/>
        <v>0</v>
      </c>
      <c r="Q181" s="174">
        <f t="shared" si="76"/>
        <v>0</v>
      </c>
      <c r="R181" s="174">
        <f t="shared" si="76"/>
        <v>0</v>
      </c>
      <c r="S181" s="174">
        <f t="shared" si="76"/>
        <v>0</v>
      </c>
      <c r="T181" s="174">
        <f t="shared" si="76"/>
        <v>0</v>
      </c>
      <c r="U181" s="174">
        <f t="shared" si="76"/>
        <v>0</v>
      </c>
      <c r="V181" s="174">
        <f t="shared" si="76"/>
        <v>0</v>
      </c>
      <c r="W181" s="174">
        <f t="shared" si="76"/>
        <v>0</v>
      </c>
      <c r="X181" s="174">
        <f t="shared" si="76"/>
        <v>0</v>
      </c>
      <c r="Y181" s="174">
        <f t="shared" si="76"/>
        <v>0</v>
      </c>
      <c r="Z181" s="174">
        <f t="shared" si="76"/>
        <v>0</v>
      </c>
      <c r="AA181" s="174">
        <f t="shared" si="76"/>
        <v>0</v>
      </c>
      <c r="AB181" s="174">
        <f t="shared" si="76"/>
        <v>0</v>
      </c>
      <c r="AC181" s="174">
        <f t="shared" si="76"/>
        <v>0</v>
      </c>
      <c r="AD181" s="174">
        <f t="shared" si="76"/>
        <v>0</v>
      </c>
      <c r="AE181" s="174">
        <f t="shared" si="76"/>
        <v>0</v>
      </c>
      <c r="AF181" s="174">
        <f t="shared" si="76"/>
        <v>0</v>
      </c>
      <c r="AG181" s="174">
        <f t="shared" si="76"/>
        <v>0</v>
      </c>
      <c r="AH181" s="174">
        <f t="shared" si="76"/>
        <v>0</v>
      </c>
      <c r="AI181" s="174">
        <f t="shared" si="76"/>
        <v>0</v>
      </c>
      <c r="AJ181" s="174">
        <f t="shared" si="76"/>
        <v>0</v>
      </c>
      <c r="AK181" s="174">
        <f t="shared" si="76"/>
        <v>0</v>
      </c>
      <c r="AL181" s="174">
        <f t="shared" si="76"/>
        <v>0</v>
      </c>
      <c r="AM181" s="174">
        <f t="shared" si="76"/>
        <v>0</v>
      </c>
      <c r="AN181" s="174">
        <f t="shared" ref="AN181:BG181" si="77">SUM(AN182:AN189)</f>
        <v>0</v>
      </c>
      <c r="AO181" s="174">
        <f t="shared" si="77"/>
        <v>0</v>
      </c>
      <c r="AP181" s="174">
        <f t="shared" si="77"/>
        <v>0</v>
      </c>
      <c r="AQ181" s="174">
        <f t="shared" si="77"/>
        <v>0</v>
      </c>
      <c r="AR181" s="174">
        <f t="shared" si="77"/>
        <v>0</v>
      </c>
      <c r="AS181" s="174">
        <f t="shared" si="77"/>
        <v>0</v>
      </c>
      <c r="AT181" s="174">
        <f t="shared" si="77"/>
        <v>0</v>
      </c>
      <c r="AU181" s="174">
        <f t="shared" si="77"/>
        <v>0</v>
      </c>
      <c r="AV181" s="174">
        <f t="shared" si="77"/>
        <v>0</v>
      </c>
      <c r="AW181" s="174">
        <f t="shared" si="77"/>
        <v>0</v>
      </c>
      <c r="AX181" s="174">
        <f t="shared" si="77"/>
        <v>0</v>
      </c>
      <c r="AY181" s="174">
        <f t="shared" si="77"/>
        <v>0</v>
      </c>
      <c r="AZ181" s="174">
        <f t="shared" si="77"/>
        <v>0</v>
      </c>
      <c r="BA181" s="174">
        <f t="shared" si="77"/>
        <v>0</v>
      </c>
      <c r="BB181" s="174">
        <f t="shared" si="77"/>
        <v>0</v>
      </c>
      <c r="BC181" s="174">
        <f t="shared" si="77"/>
        <v>0</v>
      </c>
      <c r="BD181" s="174">
        <f t="shared" si="77"/>
        <v>0</v>
      </c>
      <c r="BE181" s="174">
        <f t="shared" si="77"/>
        <v>0</v>
      </c>
      <c r="BF181" s="174">
        <f t="shared" si="77"/>
        <v>0</v>
      </c>
      <c r="BG181" s="174">
        <f t="shared" si="77"/>
        <v>0</v>
      </c>
      <c r="BH181" s="36"/>
      <c r="BI181" s="150"/>
      <c r="BJ181" s="150"/>
      <c r="BK181" s="151"/>
      <c r="BL181" s="151"/>
      <c r="BM181" s="150"/>
      <c r="BN181" s="150"/>
      <c r="BO181" s="36"/>
      <c r="BP181" s="36"/>
    </row>
    <row r="182" spans="1:68" hidden="1" outlineLevel="1" x14ac:dyDescent="0.25">
      <c r="A182" s="167">
        <v>2583</v>
      </c>
      <c r="B182" s="168" t="str" cm="1">
        <f t="array" ref="B182">IF(BI182="","",INDEX(pjName,BI182))</f>
        <v>Cypress Point Campus Plan</v>
      </c>
      <c r="C182" s="167" t="str" cm="1">
        <f t="array" ref="C182">IF(BI182="","",IF(INDEX(pjStatus,BI182)="","",INDEX(pjStatus,BI182)))</f>
        <v>Active</v>
      </c>
      <c r="D182" s="167" t="str" cm="1">
        <f t="array" ref="D182">IFERROR(INDEX(tblStaff[Initials],BN182),"")</f>
        <v>PK</v>
      </c>
      <c r="E182" s="169" cm="1">
        <f t="array" ref="E182">IF(OR(BI182="",D182=""),"",IFERROR(SUMPRODUCT((pjNo=A182)*(pjType="Phase")*INDEX(Projects!$I$5:$O$1188,0,MATCH(D182,Projects!$I$4:$O$4,0))*pjWk),0))</f>
        <v>0</v>
      </c>
      <c r="F182" s="169">
        <f t="shared" ref="F182:F189" si="78">IF(BI182="","",SUM(H182:BG182))</f>
        <v>0</v>
      </c>
      <c r="G182" s="169">
        <f t="shared" ref="G182:G189" si="79">IF(OR(E182="",F182=""),"",E182-F182)</f>
        <v>0</v>
      </c>
      <c r="H182" s="170"/>
      <c r="I182" s="170"/>
      <c r="J182" s="170"/>
      <c r="K182" s="170"/>
      <c r="L182" s="170"/>
      <c r="M182" s="170"/>
      <c r="N182" s="170"/>
      <c r="O182" s="170"/>
      <c r="P182" s="170"/>
      <c r="Q182" s="170"/>
      <c r="R182" s="170"/>
      <c r="S182" s="170"/>
      <c r="T182" s="170"/>
      <c r="U182" s="170"/>
      <c r="V182" s="170"/>
      <c r="W182" s="170"/>
      <c r="X182" s="170"/>
      <c r="Y182" s="170"/>
      <c r="Z182" s="170"/>
      <c r="AA182" s="170"/>
      <c r="AB182" s="170"/>
      <c r="AC182" s="170"/>
      <c r="AD182" s="170"/>
      <c r="AE182" s="170"/>
      <c r="AF182" s="170"/>
      <c r="AG182" s="170"/>
      <c r="AH182" s="170"/>
      <c r="AI182" s="170"/>
      <c r="AJ182" s="170"/>
      <c r="AK182" s="170"/>
      <c r="AL182" s="170"/>
      <c r="AM182" s="170"/>
      <c r="AN182" s="170"/>
      <c r="AO182" s="170"/>
      <c r="AP182" s="170"/>
      <c r="AQ182" s="170"/>
      <c r="AR182" s="170"/>
      <c r="AS182" s="170"/>
      <c r="AT182" s="170"/>
      <c r="AU182" s="170"/>
      <c r="AV182" s="170"/>
      <c r="AW182" s="170"/>
      <c r="AX182" s="170"/>
      <c r="AY182" s="170"/>
      <c r="AZ182" s="170"/>
      <c r="BA182" s="170"/>
      <c r="BB182" s="170"/>
      <c r="BC182" s="170"/>
      <c r="BD182" s="170"/>
      <c r="BE182" s="170"/>
      <c r="BF182" s="170"/>
      <c r="BG182" s="170"/>
      <c r="BH182" s="36"/>
      <c r="BI182" s="150" cm="1">
        <f t="array" ref="BI182">IF(A182="","",IFERROR(MATCH(1,INDEX((pjNo=A182)*(pjType="Project"),0),0),""))</f>
        <v>133</v>
      </c>
      <c r="BJ182" s="150" t="str">
        <f>IF(D182="","",IFERROR(INDEX(tblStaff[Staff Level],MATCH(D182,tblStaff[Initials],0)),"?"))</f>
        <v>Principal</v>
      </c>
      <c r="BK182" s="151" t="str" cm="1">
        <f t="array" ref="BK182">IF(BI182="","",INDEX(pjStart,BI182))</f>
        <v/>
      </c>
      <c r="BL182" s="151" t="str" cm="1">
        <f t="array" ref="BL182">IF(BI182="","",INDEX(pjEnd,BI182))</f>
        <v/>
      </c>
      <c r="BM182" s="150">
        <f>IF(BI182="",0,IF(C182="Active",1,IF(C182="Prospective",IF(Assumptions!$B$6="Active only",0,Assumptions!$B$7),0)))</f>
        <v>1</v>
      </c>
      <c r="BN182" s="150">
        <v>1</v>
      </c>
      <c r="BO182" s="36"/>
      <c r="BP182" s="36"/>
    </row>
    <row r="183" spans="1:68" hidden="1" outlineLevel="1" x14ac:dyDescent="0.25">
      <c r="A183" s="167">
        <v>2583</v>
      </c>
      <c r="B183" s="168" t="str" cm="1">
        <f t="array" ref="B183">IF(BI183="","",INDEX(pjName,BI183))</f>
        <v>Cypress Point Campus Plan</v>
      </c>
      <c r="C183" s="167" t="str" cm="1">
        <f t="array" ref="C183">IF(BI183="","",IF(INDEX(pjStatus,BI183)="","",INDEX(pjStatus,BI183)))</f>
        <v>Active</v>
      </c>
      <c r="D183" s="167" t="str" cm="1">
        <f t="array" ref="D183">IFERROR(INDEX(tblStaff[Initials],BN183),"")</f>
        <v>DF</v>
      </c>
      <c r="E183" s="169" cm="1">
        <f t="array" ref="E183">IF(OR(BI183="",D183=""),"",IFERROR(SUMPRODUCT((pjNo=A183)*(pjType="Phase")*INDEX(Projects!$I$5:$O$1188,0,MATCH(D183,Projects!$I$4:$O$4,0))*pjWk),0))</f>
        <v>0</v>
      </c>
      <c r="F183" s="169">
        <f t="shared" si="78"/>
        <v>0</v>
      </c>
      <c r="G183" s="169">
        <f t="shared" si="79"/>
        <v>0</v>
      </c>
      <c r="H183" s="170"/>
      <c r="I183" s="170"/>
      <c r="J183" s="170"/>
      <c r="K183" s="170"/>
      <c r="L183" s="170"/>
      <c r="M183" s="170"/>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c r="AT183" s="170"/>
      <c r="AU183" s="170"/>
      <c r="AV183" s="170"/>
      <c r="AW183" s="170"/>
      <c r="AX183" s="170"/>
      <c r="AY183" s="170"/>
      <c r="AZ183" s="170"/>
      <c r="BA183" s="170"/>
      <c r="BB183" s="170"/>
      <c r="BC183" s="170"/>
      <c r="BD183" s="170"/>
      <c r="BE183" s="170"/>
      <c r="BF183" s="170"/>
      <c r="BG183" s="170"/>
      <c r="BH183" s="36"/>
      <c r="BI183" s="150" cm="1">
        <f t="array" ref="BI183">IF(A183="","",IFERROR(MATCH(1,INDEX((pjNo=A183)*(pjType="Project"),0),0),""))</f>
        <v>133</v>
      </c>
      <c r="BJ183" s="150" t="str">
        <f>IF(D183="","",IFERROR(INDEX(tblStaff[Staff Level],MATCH(D183,tblStaff[Initials],0)),"?"))</f>
        <v>Principal</v>
      </c>
      <c r="BK183" s="151" t="str" cm="1">
        <f t="array" ref="BK183">IF(BI183="","",INDEX(pjStart,BI183))</f>
        <v/>
      </c>
      <c r="BL183" s="151" t="str" cm="1">
        <f t="array" ref="BL183">IF(BI183="","",INDEX(pjEnd,BI183))</f>
        <v/>
      </c>
      <c r="BM183" s="150">
        <f>IF(BI183="",0,IF(C183="Active",1,IF(C183="Prospective",IF(Assumptions!$B$6="Active only",0,Assumptions!$B$7),0)))</f>
        <v>1</v>
      </c>
      <c r="BN183" s="150">
        <v>2</v>
      </c>
      <c r="BO183" s="36"/>
      <c r="BP183" s="36"/>
    </row>
    <row r="184" spans="1:68" hidden="1" outlineLevel="1" x14ac:dyDescent="0.25">
      <c r="A184" s="158">
        <v>2583</v>
      </c>
      <c r="B184" s="157" t="str" cm="1">
        <f t="array" ref="B184">IF(BI184="","",INDEX(pjName,BI184))</f>
        <v>Cypress Point Campus Plan</v>
      </c>
      <c r="C184" s="158" t="str" cm="1">
        <f t="array" ref="C184">IF(BI184="","",IF(INDEX(pjStatus,BI184)="","",INDEX(pjStatus,BI184)))</f>
        <v>Active</v>
      </c>
      <c r="D184" s="158" t="str" cm="1">
        <f t="array" ref="D184">IFERROR(INDEX(tblStaff[Initials],BN184),"")</f>
        <v>KJ</v>
      </c>
      <c r="E184" s="159" cm="1">
        <f t="array" ref="E184">IF(OR(BI184="",D184=""),"",IFERROR(SUMPRODUCT((pjNo=A184)*(pjType="Phase")*INDEX(Projects!$I$5:$O$1188,0,MATCH(D184,Projects!$I$4:$O$4,0))*pjWk),0))</f>
        <v>0</v>
      </c>
      <c r="F184" s="159">
        <f t="shared" si="78"/>
        <v>0</v>
      </c>
      <c r="G184" s="159">
        <f t="shared" si="79"/>
        <v>0</v>
      </c>
      <c r="H184" s="160"/>
      <c r="I184" s="160"/>
      <c r="J184" s="160"/>
      <c r="K184" s="160"/>
      <c r="L184" s="160"/>
      <c r="M184" s="160"/>
      <c r="N184" s="160"/>
      <c r="O184" s="160"/>
      <c r="P184" s="160"/>
      <c r="Q184" s="160"/>
      <c r="R184" s="160"/>
      <c r="S184" s="160"/>
      <c r="T184" s="160"/>
      <c r="U184" s="160"/>
      <c r="V184" s="160"/>
      <c r="W184" s="160"/>
      <c r="X184" s="160"/>
      <c r="Y184" s="160"/>
      <c r="Z184" s="160"/>
      <c r="AA184" s="160"/>
      <c r="AB184" s="160"/>
      <c r="AC184" s="160"/>
      <c r="AD184" s="160"/>
      <c r="AE184" s="160"/>
      <c r="AF184" s="160"/>
      <c r="AG184" s="160"/>
      <c r="AH184" s="160"/>
      <c r="AI184" s="160"/>
      <c r="AJ184" s="160"/>
      <c r="AK184" s="160"/>
      <c r="AL184" s="160"/>
      <c r="AM184" s="160"/>
      <c r="AN184" s="160"/>
      <c r="AO184" s="160"/>
      <c r="AP184" s="160"/>
      <c r="AQ184" s="160"/>
      <c r="AR184" s="160"/>
      <c r="AS184" s="160"/>
      <c r="AT184" s="160"/>
      <c r="AU184" s="160"/>
      <c r="AV184" s="160"/>
      <c r="AW184" s="160"/>
      <c r="AX184" s="160"/>
      <c r="AY184" s="160"/>
      <c r="AZ184" s="160"/>
      <c r="BA184" s="160"/>
      <c r="BB184" s="160"/>
      <c r="BC184" s="160"/>
      <c r="BD184" s="160"/>
      <c r="BE184" s="160"/>
      <c r="BF184" s="160"/>
      <c r="BG184" s="160"/>
      <c r="BH184" s="36"/>
      <c r="BI184" s="150" cm="1">
        <f t="array" ref="BI184">IF(A184="","",IFERROR(MATCH(1,INDEX((pjNo=A184)*(pjType="Project"),0),0),""))</f>
        <v>133</v>
      </c>
      <c r="BJ184" s="150" t="str">
        <f>IF(D184="","",IFERROR(INDEX(tblStaff[Staff Level],MATCH(D184,tblStaff[Initials],0)),"?"))</f>
        <v>Director</v>
      </c>
      <c r="BK184" s="151" t="str" cm="1">
        <f t="array" ref="BK184">IF(BI184="","",INDEX(pjStart,BI184))</f>
        <v/>
      </c>
      <c r="BL184" s="151" t="str" cm="1">
        <f t="array" ref="BL184">IF(BI184="","",INDEX(pjEnd,BI184))</f>
        <v/>
      </c>
      <c r="BM184" s="150">
        <f>IF(BI184="",0,IF(C184="Active",1,IF(C184="Prospective",IF(Assumptions!$B$6="Active only",0,Assumptions!$B$7),0)))</f>
        <v>1</v>
      </c>
      <c r="BN184" s="150">
        <v>3</v>
      </c>
      <c r="BO184" s="36"/>
      <c r="BP184" s="36"/>
    </row>
    <row r="185" spans="1:68" hidden="1" outlineLevel="1" x14ac:dyDescent="0.25">
      <c r="A185" s="158">
        <v>2583</v>
      </c>
      <c r="B185" s="157" t="str" cm="1">
        <f t="array" ref="B185">IF(BI185="","",INDEX(pjName,BI185))</f>
        <v>Cypress Point Campus Plan</v>
      </c>
      <c r="C185" s="158" t="str" cm="1">
        <f t="array" ref="C185">IF(BI185="","",IF(INDEX(pjStatus,BI185)="","",INDEX(pjStatus,BI185)))</f>
        <v>Active</v>
      </c>
      <c r="D185" s="158" t="str" cm="1">
        <f t="array" ref="D185">IFERROR(INDEX(tblStaff[Initials],BN185),"")</f>
        <v>HL</v>
      </c>
      <c r="E185" s="159" cm="1">
        <f t="array" ref="E185">IF(OR(BI185="",D185=""),"",IFERROR(SUMPRODUCT((pjNo=A185)*(pjType="Phase")*INDEX(Projects!$I$5:$O$1188,0,MATCH(D185,Projects!$I$4:$O$4,0))*pjWk),0))</f>
        <v>0</v>
      </c>
      <c r="F185" s="159">
        <f t="shared" si="78"/>
        <v>0</v>
      </c>
      <c r="G185" s="159">
        <f t="shared" si="79"/>
        <v>0</v>
      </c>
      <c r="H185" s="160"/>
      <c r="I185" s="160"/>
      <c r="J185" s="160"/>
      <c r="K185" s="160"/>
      <c r="L185" s="160"/>
      <c r="M185" s="160"/>
      <c r="N185" s="160"/>
      <c r="O185" s="160"/>
      <c r="P185" s="160"/>
      <c r="Q185" s="160"/>
      <c r="R185" s="160"/>
      <c r="S185" s="160"/>
      <c r="T185" s="160"/>
      <c r="U185" s="160"/>
      <c r="V185" s="160"/>
      <c r="W185" s="160"/>
      <c r="X185" s="160"/>
      <c r="Y185" s="160"/>
      <c r="Z185" s="160"/>
      <c r="AA185" s="160"/>
      <c r="AB185" s="160"/>
      <c r="AC185" s="160"/>
      <c r="AD185" s="160"/>
      <c r="AE185" s="160"/>
      <c r="AF185" s="160"/>
      <c r="AG185" s="160"/>
      <c r="AH185" s="160"/>
      <c r="AI185" s="160"/>
      <c r="AJ185" s="160"/>
      <c r="AK185" s="160"/>
      <c r="AL185" s="160"/>
      <c r="AM185" s="160"/>
      <c r="AN185" s="160"/>
      <c r="AO185" s="160"/>
      <c r="AP185" s="160"/>
      <c r="AQ185" s="160"/>
      <c r="AR185" s="160"/>
      <c r="AS185" s="160"/>
      <c r="AT185" s="160"/>
      <c r="AU185" s="160"/>
      <c r="AV185" s="160"/>
      <c r="AW185" s="160"/>
      <c r="AX185" s="160"/>
      <c r="AY185" s="160"/>
      <c r="AZ185" s="160"/>
      <c r="BA185" s="160"/>
      <c r="BB185" s="160"/>
      <c r="BC185" s="160"/>
      <c r="BD185" s="160"/>
      <c r="BE185" s="160"/>
      <c r="BF185" s="160"/>
      <c r="BG185" s="160"/>
      <c r="BH185" s="36"/>
      <c r="BI185" s="150" cm="1">
        <f t="array" ref="BI185">IF(A185="","",IFERROR(MATCH(1,INDEX((pjNo=A185)*(pjType="Project"),0),0),""))</f>
        <v>133</v>
      </c>
      <c r="BJ185" s="150" t="str">
        <f>IF(D185="","",IFERROR(INDEX(tblStaff[Staff Level],MATCH(D185,tblStaff[Initials],0)),"?"))</f>
        <v>Senior Designer</v>
      </c>
      <c r="BK185" s="151" t="str" cm="1">
        <f t="array" ref="BK185">IF(BI185="","",INDEX(pjStart,BI185))</f>
        <v/>
      </c>
      <c r="BL185" s="151" t="str" cm="1">
        <f t="array" ref="BL185">IF(BI185="","",INDEX(pjEnd,BI185))</f>
        <v/>
      </c>
      <c r="BM185" s="150">
        <f>IF(BI185="",0,IF(C185="Active",1,IF(C185="Prospective",IF(Assumptions!$B$6="Active only",0,Assumptions!$B$7),0)))</f>
        <v>1</v>
      </c>
      <c r="BN185" s="150">
        <v>4</v>
      </c>
      <c r="BO185" s="36"/>
      <c r="BP185" s="36"/>
    </row>
    <row r="186" spans="1:68" hidden="1" outlineLevel="1" x14ac:dyDescent="0.25">
      <c r="A186" s="158">
        <v>2583</v>
      </c>
      <c r="B186" s="157" t="str" cm="1">
        <f t="array" ref="B186">IF(BI186="","",INDEX(pjName,BI186))</f>
        <v>Cypress Point Campus Plan</v>
      </c>
      <c r="C186" s="158" t="str" cm="1">
        <f t="array" ref="C186">IF(BI186="","",IF(INDEX(pjStatus,BI186)="","",INDEX(pjStatus,BI186)))</f>
        <v>Active</v>
      </c>
      <c r="D186" s="158" t="str" cm="1">
        <f t="array" ref="D186">IFERROR(INDEX(tblStaff[Initials],BN186),"")</f>
        <v>EHH</v>
      </c>
      <c r="E186" s="159" cm="1">
        <f t="array" ref="E186">IF(OR(BI186="",D186=""),"",IFERROR(SUMPRODUCT((pjNo=A186)*(pjType="Phase")*INDEX(Projects!$I$5:$O$1188,0,MATCH(D186,Projects!$I$4:$O$4,0))*pjWk),0))</f>
        <v>0</v>
      </c>
      <c r="F186" s="159">
        <f t="shared" si="78"/>
        <v>0</v>
      </c>
      <c r="G186" s="159">
        <f t="shared" si="79"/>
        <v>0</v>
      </c>
      <c r="H186" s="160"/>
      <c r="I186" s="160"/>
      <c r="J186" s="160"/>
      <c r="K186" s="160"/>
      <c r="L186" s="160"/>
      <c r="M186" s="160"/>
      <c r="N186" s="160"/>
      <c r="O186" s="160"/>
      <c r="P186" s="160"/>
      <c r="Q186" s="160"/>
      <c r="R186" s="160"/>
      <c r="S186" s="160"/>
      <c r="T186" s="160"/>
      <c r="U186" s="160"/>
      <c r="V186" s="160"/>
      <c r="W186" s="160"/>
      <c r="X186" s="160"/>
      <c r="Y186" s="160"/>
      <c r="Z186" s="160"/>
      <c r="AA186" s="160"/>
      <c r="AB186" s="160"/>
      <c r="AC186" s="160"/>
      <c r="AD186" s="160"/>
      <c r="AE186" s="160"/>
      <c r="AF186" s="160"/>
      <c r="AG186" s="160"/>
      <c r="AH186" s="160"/>
      <c r="AI186" s="160"/>
      <c r="AJ186" s="160"/>
      <c r="AK186" s="160"/>
      <c r="AL186" s="160"/>
      <c r="AM186" s="160"/>
      <c r="AN186" s="160"/>
      <c r="AO186" s="160"/>
      <c r="AP186" s="160"/>
      <c r="AQ186" s="160"/>
      <c r="AR186" s="160"/>
      <c r="AS186" s="160"/>
      <c r="AT186" s="160"/>
      <c r="AU186" s="160"/>
      <c r="AV186" s="160"/>
      <c r="AW186" s="160"/>
      <c r="AX186" s="160"/>
      <c r="AY186" s="160"/>
      <c r="AZ186" s="160"/>
      <c r="BA186" s="160"/>
      <c r="BB186" s="160"/>
      <c r="BC186" s="160"/>
      <c r="BD186" s="160"/>
      <c r="BE186" s="160"/>
      <c r="BF186" s="160"/>
      <c r="BG186" s="160"/>
      <c r="BH186" s="36"/>
      <c r="BI186" s="150" cm="1">
        <f t="array" ref="BI186">IF(A186="","",IFERROR(MATCH(1,INDEX((pjNo=A186)*(pjType="Project"),0),0),""))</f>
        <v>133</v>
      </c>
      <c r="BJ186" s="150" t="str">
        <f>IF(D186="","",IFERROR(INDEX(tblStaff[Staff Level],MATCH(D186,tblStaff[Initials],0)),"?"))</f>
        <v>Mid Level Designer</v>
      </c>
      <c r="BK186" s="151" t="str" cm="1">
        <f t="array" ref="BK186">IF(BI186="","",INDEX(pjStart,BI186))</f>
        <v/>
      </c>
      <c r="BL186" s="151" t="str" cm="1">
        <f t="array" ref="BL186">IF(BI186="","",INDEX(pjEnd,BI186))</f>
        <v/>
      </c>
      <c r="BM186" s="150">
        <f>IF(BI186="",0,IF(C186="Active",1,IF(C186="Prospective",IF(Assumptions!$B$6="Active only",0,Assumptions!$B$7),0)))</f>
        <v>1</v>
      </c>
      <c r="BN186" s="150">
        <v>5</v>
      </c>
      <c r="BO186" s="36"/>
      <c r="BP186" s="36"/>
    </row>
    <row r="187" spans="1:68" hidden="1" outlineLevel="1" x14ac:dyDescent="0.25">
      <c r="A187" s="158">
        <v>2583</v>
      </c>
      <c r="B187" s="157" t="str" cm="1">
        <f t="array" ref="B187">IF(BI187="","",INDEX(pjName,BI187))</f>
        <v>Cypress Point Campus Plan</v>
      </c>
      <c r="C187" s="158" t="str" cm="1">
        <f t="array" ref="C187">IF(BI187="","",IF(INDEX(pjStatus,BI187)="","",INDEX(pjStatus,BI187)))</f>
        <v>Active</v>
      </c>
      <c r="D187" s="158" t="str" cm="1">
        <f t="array" ref="D187">IFERROR(INDEX(tblStaff[Initials],BN187),"")</f>
        <v>KD</v>
      </c>
      <c r="E187" s="159" cm="1">
        <f t="array" ref="E187">IF(OR(BI187="",D187=""),"",IFERROR(SUMPRODUCT((pjNo=A187)*(pjType="Phase")*INDEX(Projects!$I$5:$O$1188,0,MATCH(D187,Projects!$I$4:$O$4,0))*pjWk),0))</f>
        <v>0</v>
      </c>
      <c r="F187" s="159">
        <f t="shared" si="78"/>
        <v>0</v>
      </c>
      <c r="G187" s="159">
        <f t="shared" si="79"/>
        <v>0</v>
      </c>
      <c r="H187" s="160"/>
      <c r="I187" s="160"/>
      <c r="J187" s="160"/>
      <c r="K187" s="160"/>
      <c r="L187" s="160"/>
      <c r="M187" s="160"/>
      <c r="N187" s="160"/>
      <c r="O187" s="160"/>
      <c r="P187" s="160"/>
      <c r="Q187" s="160"/>
      <c r="R187" s="160"/>
      <c r="S187" s="160"/>
      <c r="T187" s="160"/>
      <c r="U187" s="160"/>
      <c r="V187" s="160"/>
      <c r="W187" s="160"/>
      <c r="X187" s="160"/>
      <c r="Y187" s="160"/>
      <c r="Z187" s="160"/>
      <c r="AA187" s="160"/>
      <c r="AB187" s="160"/>
      <c r="AC187" s="160"/>
      <c r="AD187" s="160"/>
      <c r="AE187" s="160"/>
      <c r="AF187" s="160"/>
      <c r="AG187" s="160"/>
      <c r="AH187" s="160"/>
      <c r="AI187" s="160"/>
      <c r="AJ187" s="160"/>
      <c r="AK187" s="160"/>
      <c r="AL187" s="160"/>
      <c r="AM187" s="160"/>
      <c r="AN187" s="160"/>
      <c r="AO187" s="160"/>
      <c r="AP187" s="160"/>
      <c r="AQ187" s="160"/>
      <c r="AR187" s="160"/>
      <c r="AS187" s="160"/>
      <c r="AT187" s="160"/>
      <c r="AU187" s="160"/>
      <c r="AV187" s="160"/>
      <c r="AW187" s="160"/>
      <c r="AX187" s="160"/>
      <c r="AY187" s="160"/>
      <c r="AZ187" s="160"/>
      <c r="BA187" s="160"/>
      <c r="BB187" s="160"/>
      <c r="BC187" s="160"/>
      <c r="BD187" s="160"/>
      <c r="BE187" s="160"/>
      <c r="BF187" s="160"/>
      <c r="BG187" s="160"/>
      <c r="BH187" s="36"/>
      <c r="BI187" s="150" cm="1">
        <f t="array" ref="BI187">IF(A187="","",IFERROR(MATCH(1,INDEX((pjNo=A187)*(pjType="Project"),0),0),""))</f>
        <v>133</v>
      </c>
      <c r="BJ187" s="150" t="str">
        <f>IF(D187="","",IFERROR(INDEX(tblStaff[Staff Level],MATCH(D187,tblStaff[Initials],0)),"?"))</f>
        <v>Mid Level Designer</v>
      </c>
      <c r="BK187" s="151" t="str" cm="1">
        <f t="array" ref="BK187">IF(BI187="","",INDEX(pjStart,BI187))</f>
        <v/>
      </c>
      <c r="BL187" s="151" t="str" cm="1">
        <f t="array" ref="BL187">IF(BI187="","",INDEX(pjEnd,BI187))</f>
        <v/>
      </c>
      <c r="BM187" s="150">
        <f>IF(BI187="",0,IF(C187="Active",1,IF(C187="Prospective",IF(Assumptions!$B$6="Active only",0,Assumptions!$B$7),0)))</f>
        <v>1</v>
      </c>
      <c r="BN187" s="150">
        <v>6</v>
      </c>
      <c r="BO187" s="36"/>
      <c r="BP187" s="36"/>
    </row>
    <row r="188" spans="1:68" hidden="1" outlineLevel="1" x14ac:dyDescent="0.25">
      <c r="A188" s="158">
        <v>2583</v>
      </c>
      <c r="B188" s="157" t="str" cm="1">
        <f t="array" ref="B188">IF(BI188="","",INDEX(pjName,BI188))</f>
        <v>Cypress Point Campus Plan</v>
      </c>
      <c r="C188" s="158" t="str" cm="1">
        <f t="array" ref="C188">IF(BI188="","",IF(INDEX(pjStatus,BI188)="","",INDEX(pjStatus,BI188)))</f>
        <v>Active</v>
      </c>
      <c r="D188" s="158" t="str" cm="1">
        <f t="array" ref="D188">IFERROR(INDEX(tblStaff[Initials],BN188),"")</f>
        <v>XX</v>
      </c>
      <c r="E188" s="159" cm="1">
        <f t="array" ref="E188">IF(OR(BI188="",D188=""),"",IFERROR(SUMPRODUCT((pjNo=A188)*(pjType="Phase")*INDEX(Projects!$I$5:$O$1188,0,MATCH(D188,Projects!$I$4:$O$4,0))*pjWk),0))</f>
        <v>0</v>
      </c>
      <c r="F188" s="159">
        <f t="shared" si="78"/>
        <v>0</v>
      </c>
      <c r="G188" s="159">
        <f t="shared" si="79"/>
        <v>0</v>
      </c>
      <c r="H188" s="160"/>
      <c r="I188" s="160"/>
      <c r="J188" s="160"/>
      <c r="K188" s="160"/>
      <c r="L188" s="160"/>
      <c r="M188" s="160"/>
      <c r="N188" s="160"/>
      <c r="O188" s="160"/>
      <c r="P188" s="160"/>
      <c r="Q188" s="160"/>
      <c r="R188" s="160"/>
      <c r="S188" s="160"/>
      <c r="T188" s="160"/>
      <c r="U188" s="160"/>
      <c r="V188" s="160"/>
      <c r="W188" s="160"/>
      <c r="X188" s="160"/>
      <c r="Y188" s="160"/>
      <c r="Z188" s="160"/>
      <c r="AA188" s="160"/>
      <c r="AB188" s="160"/>
      <c r="AC188" s="160"/>
      <c r="AD188" s="160"/>
      <c r="AE188" s="160"/>
      <c r="AF188" s="160"/>
      <c r="AG188" s="160"/>
      <c r="AH188" s="160"/>
      <c r="AI188" s="160"/>
      <c r="AJ188" s="160"/>
      <c r="AK188" s="160"/>
      <c r="AL188" s="160"/>
      <c r="AM188" s="160"/>
      <c r="AN188" s="160"/>
      <c r="AO188" s="160"/>
      <c r="AP188" s="160"/>
      <c r="AQ188" s="160"/>
      <c r="AR188" s="160"/>
      <c r="AS188" s="160"/>
      <c r="AT188" s="160"/>
      <c r="AU188" s="160"/>
      <c r="AV188" s="160"/>
      <c r="AW188" s="160"/>
      <c r="AX188" s="160"/>
      <c r="AY188" s="160"/>
      <c r="AZ188" s="160"/>
      <c r="BA188" s="160"/>
      <c r="BB188" s="160"/>
      <c r="BC188" s="160"/>
      <c r="BD188" s="160"/>
      <c r="BE188" s="160"/>
      <c r="BF188" s="160"/>
      <c r="BG188" s="160"/>
      <c r="BH188" s="36"/>
      <c r="BI188" s="150" cm="1">
        <f t="array" ref="BI188">IF(A188="","",IFERROR(MATCH(1,INDEX((pjNo=A188)*(pjType="Project"),0),0),""))</f>
        <v>133</v>
      </c>
      <c r="BJ188" s="150" t="str">
        <f>IF(D188="","",IFERROR(INDEX(tblStaff[Staff Level],MATCH(D188,tblStaff[Initials],0)),"?"))</f>
        <v>Project Designer</v>
      </c>
      <c r="BK188" s="151" t="str" cm="1">
        <f t="array" ref="BK188">IF(BI188="","",INDEX(pjStart,BI188))</f>
        <v/>
      </c>
      <c r="BL188" s="151" t="str" cm="1">
        <f t="array" ref="BL188">IF(BI188="","",INDEX(pjEnd,BI188))</f>
        <v/>
      </c>
      <c r="BM188" s="150">
        <f>IF(BI188="",0,IF(C188="Active",1,IF(C188="Prospective",IF(Assumptions!$B$6="Active only",0,Assumptions!$B$7),0)))</f>
        <v>1</v>
      </c>
      <c r="BN188" s="150">
        <v>7</v>
      </c>
      <c r="BO188" s="36"/>
      <c r="BP188" s="36"/>
    </row>
    <row r="189" spans="1:68" hidden="1" outlineLevel="1" x14ac:dyDescent="0.25">
      <c r="A189" s="162">
        <v>2583</v>
      </c>
      <c r="B189" s="161" t="str" cm="1">
        <f t="array" ref="B189">IF(BI189="","",INDEX(pjName,BI189))</f>
        <v>Cypress Point Campus Plan</v>
      </c>
      <c r="C189" s="162" t="str" cm="1">
        <f t="array" ref="C189">IF(BI189="","",IF(INDEX(pjStatus,BI189)="","",INDEX(pjStatus,BI189)))</f>
        <v>Active</v>
      </c>
      <c r="D189" s="162" t="str" cm="1">
        <f t="array" ref="D189">IFERROR(INDEX(tblStaff[Initials],BN189),"")</f>
        <v/>
      </c>
      <c r="E189" s="163" t="str" cm="1">
        <f t="array" ref="E189">IF(OR(BI189="",D189=""),"",IFERROR(SUMPRODUCT((pjNo=A189)*(pjType="Phase")*INDEX(Projects!$I$5:$O$1188,0,MATCH(D189,Projects!$I$4:$O$4,0))*pjWk),0))</f>
        <v/>
      </c>
      <c r="F189" s="163">
        <f t="shared" si="78"/>
        <v>0</v>
      </c>
      <c r="G189" s="163" t="str">
        <f t="shared" si="79"/>
        <v/>
      </c>
      <c r="H189" s="164"/>
      <c r="I189" s="164"/>
      <c r="J189" s="164"/>
      <c r="K189" s="164"/>
      <c r="L189" s="164"/>
      <c r="M189" s="164"/>
      <c r="N189" s="164"/>
      <c r="O189" s="164"/>
      <c r="P189" s="164"/>
      <c r="Q189" s="164"/>
      <c r="R189" s="164"/>
      <c r="S189" s="164"/>
      <c r="T189" s="164"/>
      <c r="U189" s="164"/>
      <c r="V189" s="164"/>
      <c r="W189" s="164"/>
      <c r="X189" s="164"/>
      <c r="Y189" s="164"/>
      <c r="Z189" s="164"/>
      <c r="AA189" s="164"/>
      <c r="AB189" s="164"/>
      <c r="AC189" s="164"/>
      <c r="AD189" s="164"/>
      <c r="AE189" s="164"/>
      <c r="AF189" s="164"/>
      <c r="AG189" s="164"/>
      <c r="AH189" s="164"/>
      <c r="AI189" s="164"/>
      <c r="AJ189" s="164"/>
      <c r="AK189" s="164"/>
      <c r="AL189" s="164"/>
      <c r="AM189" s="164"/>
      <c r="AN189" s="164"/>
      <c r="AO189" s="164"/>
      <c r="AP189" s="164"/>
      <c r="AQ189" s="164"/>
      <c r="AR189" s="164"/>
      <c r="AS189" s="164"/>
      <c r="AT189" s="164"/>
      <c r="AU189" s="164"/>
      <c r="AV189" s="164"/>
      <c r="AW189" s="164"/>
      <c r="AX189" s="164"/>
      <c r="AY189" s="164"/>
      <c r="AZ189" s="164"/>
      <c r="BA189" s="164"/>
      <c r="BB189" s="164"/>
      <c r="BC189" s="164"/>
      <c r="BD189" s="164"/>
      <c r="BE189" s="164"/>
      <c r="BF189" s="164"/>
      <c r="BG189" s="164"/>
      <c r="BH189" s="36"/>
      <c r="BI189" s="150" cm="1">
        <f t="array" ref="BI189">IF(A189="","",IFERROR(MATCH(1,INDEX((pjNo=A189)*(pjType="Project"),0),0),""))</f>
        <v>133</v>
      </c>
      <c r="BJ189" s="150" t="str">
        <f>IF(D189="","",IFERROR(INDEX(tblStaff[Staff Level],MATCH(D189,tblStaff[Initials],0)),"?"))</f>
        <v/>
      </c>
      <c r="BK189" s="151" t="str" cm="1">
        <f t="array" ref="BK189">IF(BI189="","",INDEX(pjStart,BI189))</f>
        <v/>
      </c>
      <c r="BL189" s="151" t="str" cm="1">
        <f t="array" ref="BL189">IF(BI189="","",INDEX(pjEnd,BI189))</f>
        <v/>
      </c>
      <c r="BM189" s="150">
        <f>IF(BI189="",0,IF(C189="Active",1,IF(C189="Prospective",IF(Assumptions!$B$6="Active only",0,Assumptions!$B$7),0)))</f>
        <v>1</v>
      </c>
      <c r="BN189" s="150">
        <v>8</v>
      </c>
      <c r="BO189" s="36"/>
      <c r="BP189" s="36"/>
    </row>
    <row r="190" spans="1:68" collapsed="1" x14ac:dyDescent="0.25">
      <c r="A190" s="171"/>
      <c r="B190" s="173" t="str">
        <f>IF(A191="","",A191&amp;" · "&amp;B191)</f>
        <v>2584 · Hollis Campus Plan</v>
      </c>
      <c r="C190" s="171" t="str">
        <f>IF(A191="","",C191)</f>
        <v>Active</v>
      </c>
      <c r="D190" s="171"/>
      <c r="E190" s="172">
        <f>SUM(E191:E198)</f>
        <v>144</v>
      </c>
      <c r="F190" s="172">
        <f>SUM(F191:F198)</f>
        <v>144</v>
      </c>
      <c r="G190" s="172">
        <f>IF(E190=0,"",E190-F190)</f>
        <v>0</v>
      </c>
      <c r="H190" s="174">
        <f t="shared" ref="H190:AM190" si="80">SUM(H191:H198)</f>
        <v>24</v>
      </c>
      <c r="I190" s="174">
        <f t="shared" si="80"/>
        <v>24</v>
      </c>
      <c r="J190" s="174">
        <f t="shared" si="80"/>
        <v>24</v>
      </c>
      <c r="K190" s="174">
        <f t="shared" si="80"/>
        <v>24</v>
      </c>
      <c r="L190" s="174">
        <f t="shared" si="80"/>
        <v>24</v>
      </c>
      <c r="M190" s="174">
        <f t="shared" si="80"/>
        <v>24</v>
      </c>
      <c r="N190" s="174">
        <f t="shared" si="80"/>
        <v>0</v>
      </c>
      <c r="O190" s="174">
        <f t="shared" si="80"/>
        <v>0</v>
      </c>
      <c r="P190" s="174">
        <f t="shared" si="80"/>
        <v>0</v>
      </c>
      <c r="Q190" s="174">
        <f t="shared" si="80"/>
        <v>0</v>
      </c>
      <c r="R190" s="174">
        <f t="shared" si="80"/>
        <v>0</v>
      </c>
      <c r="S190" s="174">
        <f t="shared" si="80"/>
        <v>0</v>
      </c>
      <c r="T190" s="174">
        <f t="shared" si="80"/>
        <v>0</v>
      </c>
      <c r="U190" s="174">
        <f t="shared" si="80"/>
        <v>0</v>
      </c>
      <c r="V190" s="174">
        <f t="shared" si="80"/>
        <v>0</v>
      </c>
      <c r="W190" s="174">
        <f t="shared" si="80"/>
        <v>0</v>
      </c>
      <c r="X190" s="174">
        <f t="shared" si="80"/>
        <v>0</v>
      </c>
      <c r="Y190" s="174">
        <f t="shared" si="80"/>
        <v>0</v>
      </c>
      <c r="Z190" s="174">
        <f t="shared" si="80"/>
        <v>0</v>
      </c>
      <c r="AA190" s="174">
        <f t="shared" si="80"/>
        <v>0</v>
      </c>
      <c r="AB190" s="174">
        <f t="shared" si="80"/>
        <v>0</v>
      </c>
      <c r="AC190" s="174">
        <f t="shared" si="80"/>
        <v>0</v>
      </c>
      <c r="AD190" s="174">
        <f t="shared" si="80"/>
        <v>0</v>
      </c>
      <c r="AE190" s="174">
        <f t="shared" si="80"/>
        <v>0</v>
      </c>
      <c r="AF190" s="174">
        <f t="shared" si="80"/>
        <v>0</v>
      </c>
      <c r="AG190" s="174">
        <f t="shared" si="80"/>
        <v>0</v>
      </c>
      <c r="AH190" s="174">
        <f t="shared" si="80"/>
        <v>0</v>
      </c>
      <c r="AI190" s="174">
        <f t="shared" si="80"/>
        <v>0</v>
      </c>
      <c r="AJ190" s="174">
        <f t="shared" si="80"/>
        <v>0</v>
      </c>
      <c r="AK190" s="174">
        <f t="shared" si="80"/>
        <v>0</v>
      </c>
      <c r="AL190" s="174">
        <f t="shared" si="80"/>
        <v>0</v>
      </c>
      <c r="AM190" s="174">
        <f t="shared" si="80"/>
        <v>0</v>
      </c>
      <c r="AN190" s="174">
        <f t="shared" ref="AN190:BG190" si="81">SUM(AN191:AN198)</f>
        <v>0</v>
      </c>
      <c r="AO190" s="174">
        <f t="shared" si="81"/>
        <v>0</v>
      </c>
      <c r="AP190" s="174">
        <f t="shared" si="81"/>
        <v>0</v>
      </c>
      <c r="AQ190" s="174">
        <f t="shared" si="81"/>
        <v>0</v>
      </c>
      <c r="AR190" s="174">
        <f t="shared" si="81"/>
        <v>0</v>
      </c>
      <c r="AS190" s="174">
        <f t="shared" si="81"/>
        <v>0</v>
      </c>
      <c r="AT190" s="174">
        <f t="shared" si="81"/>
        <v>0</v>
      </c>
      <c r="AU190" s="174">
        <f t="shared" si="81"/>
        <v>0</v>
      </c>
      <c r="AV190" s="174">
        <f t="shared" si="81"/>
        <v>0</v>
      </c>
      <c r="AW190" s="174">
        <f t="shared" si="81"/>
        <v>0</v>
      </c>
      <c r="AX190" s="174">
        <f t="shared" si="81"/>
        <v>0</v>
      </c>
      <c r="AY190" s="174">
        <f t="shared" si="81"/>
        <v>0</v>
      </c>
      <c r="AZ190" s="174">
        <f t="shared" si="81"/>
        <v>0</v>
      </c>
      <c r="BA190" s="174">
        <f t="shared" si="81"/>
        <v>0</v>
      </c>
      <c r="BB190" s="174">
        <f t="shared" si="81"/>
        <v>0</v>
      </c>
      <c r="BC190" s="174">
        <f t="shared" si="81"/>
        <v>0</v>
      </c>
      <c r="BD190" s="174">
        <f t="shared" si="81"/>
        <v>0</v>
      </c>
      <c r="BE190" s="174">
        <f t="shared" si="81"/>
        <v>0</v>
      </c>
      <c r="BF190" s="174">
        <f t="shared" si="81"/>
        <v>0</v>
      </c>
      <c r="BG190" s="174">
        <f t="shared" si="81"/>
        <v>0</v>
      </c>
      <c r="BH190" s="36"/>
      <c r="BI190" s="150"/>
      <c r="BJ190" s="150"/>
      <c r="BK190" s="151"/>
      <c r="BL190" s="151"/>
      <c r="BM190" s="150"/>
      <c r="BN190" s="150"/>
      <c r="BO190" s="36"/>
      <c r="BP190" s="36"/>
    </row>
    <row r="191" spans="1:68" outlineLevel="1" x14ac:dyDescent="0.25">
      <c r="A191" s="167">
        <v>2584</v>
      </c>
      <c r="B191" s="168" t="str" cm="1">
        <f t="array" ref="B191">IF(BI191="","",INDEX(pjName,BI191))</f>
        <v>Hollis Campus Plan</v>
      </c>
      <c r="C191" s="167" t="str" cm="1">
        <f t="array" ref="C191">IF(BI191="","",IF(INDEX(pjStatus,BI191)="","",INDEX(pjStatus,BI191)))</f>
        <v>Active</v>
      </c>
      <c r="D191" s="167" t="str" cm="1">
        <f t="array" ref="D191">IFERROR(INDEX(tblStaff[Initials],BN191),"")</f>
        <v>PK</v>
      </c>
      <c r="E191" s="169" cm="1">
        <f t="array" ref="E191">IF(OR(BI191="",D191=""),"",IFERROR(SUMPRODUCT((pjNo=A191)*(pjType="Phase")*INDEX(Projects!$I$5:$O$1188,0,MATCH(D191,Projects!$I$4:$O$4,0))*pjWk),0))</f>
        <v>48</v>
      </c>
      <c r="F191" s="169">
        <f t="shared" ref="F191:F198" si="82">IF(BI191="","",SUM(H191:BG191))</f>
        <v>48</v>
      </c>
      <c r="G191" s="169">
        <f t="shared" ref="G191:G198" si="83">IF(OR(E191="",F191=""),"",E191-F191)</f>
        <v>0</v>
      </c>
      <c r="H191" s="170">
        <v>8</v>
      </c>
      <c r="I191" s="170">
        <v>8</v>
      </c>
      <c r="J191" s="170">
        <v>8</v>
      </c>
      <c r="K191" s="170">
        <v>8</v>
      </c>
      <c r="L191" s="170">
        <v>8</v>
      </c>
      <c r="M191" s="170">
        <v>8</v>
      </c>
      <c r="N191" s="170"/>
      <c r="O191" s="170"/>
      <c r="P191" s="170"/>
      <c r="Q191" s="170"/>
      <c r="R191" s="170"/>
      <c r="S191" s="170"/>
      <c r="T191" s="170"/>
      <c r="U191" s="170"/>
      <c r="V191" s="170"/>
      <c r="W191" s="170"/>
      <c r="X191" s="170"/>
      <c r="Y191" s="170"/>
      <c r="Z191" s="170"/>
      <c r="AA191" s="170"/>
      <c r="AB191" s="170"/>
      <c r="AC191" s="170"/>
      <c r="AD191" s="170"/>
      <c r="AE191" s="170"/>
      <c r="AF191" s="170"/>
      <c r="AG191" s="170"/>
      <c r="AH191" s="170"/>
      <c r="AI191" s="170"/>
      <c r="AJ191" s="170"/>
      <c r="AK191" s="170"/>
      <c r="AL191" s="170"/>
      <c r="AM191" s="170"/>
      <c r="AN191" s="170"/>
      <c r="AO191" s="170"/>
      <c r="AP191" s="170"/>
      <c r="AQ191" s="170"/>
      <c r="AR191" s="170"/>
      <c r="AS191" s="170"/>
      <c r="AT191" s="170"/>
      <c r="AU191" s="170"/>
      <c r="AV191" s="170"/>
      <c r="AW191" s="170"/>
      <c r="AX191" s="170"/>
      <c r="AY191" s="170"/>
      <c r="AZ191" s="170"/>
      <c r="BA191" s="170"/>
      <c r="BB191" s="170"/>
      <c r="BC191" s="170"/>
      <c r="BD191" s="170"/>
      <c r="BE191" s="170"/>
      <c r="BF191" s="170"/>
      <c r="BG191" s="170"/>
      <c r="BH191" s="36"/>
      <c r="BI191" s="150" cm="1">
        <f t="array" ref="BI191">IF(A191="","",IFERROR(MATCH(1,INDEX((pjNo=A191)*(pjType="Project"),0),0),""))</f>
        <v>142</v>
      </c>
      <c r="BJ191" s="150" t="str">
        <f>IF(D191="","",IFERROR(INDEX(tblStaff[Staff Level],MATCH(D191,tblStaff[Initials],0)),"?"))</f>
        <v>Principal</v>
      </c>
      <c r="BK191" s="151" cm="1">
        <f t="array" ref="BK191">IF(BI191="","",INDEX(pjStart,BI191))</f>
        <v>46300</v>
      </c>
      <c r="BL191" s="151" cm="1">
        <f t="array" ref="BL191">IF(BI191="","",INDEX(pjEnd,BI191))</f>
        <v>46339</v>
      </c>
      <c r="BM191" s="150">
        <f>IF(BI191="",0,IF(C191="Active",1,IF(C191="Prospective",IF(Assumptions!$B$6="Active only",0,Assumptions!$B$7),0)))</f>
        <v>1</v>
      </c>
      <c r="BN191" s="150">
        <v>1</v>
      </c>
      <c r="BO191" s="36"/>
      <c r="BP191" s="36"/>
    </row>
    <row r="192" spans="1:68" outlineLevel="1" x14ac:dyDescent="0.25">
      <c r="A192" s="167">
        <v>2584</v>
      </c>
      <c r="B192" s="168" t="str" cm="1">
        <f t="array" ref="B192">IF(BI192="","",INDEX(pjName,BI192))</f>
        <v>Hollis Campus Plan</v>
      </c>
      <c r="C192" s="167" t="str" cm="1">
        <f t="array" ref="C192">IF(BI192="","",IF(INDEX(pjStatus,BI192)="","",INDEX(pjStatus,BI192)))</f>
        <v>Active</v>
      </c>
      <c r="D192" s="167" t="str" cm="1">
        <f t="array" ref="D192">IFERROR(INDEX(tblStaff[Initials],BN192),"")</f>
        <v>DF</v>
      </c>
      <c r="E192" s="169" cm="1">
        <f t="array" ref="E192">IF(OR(BI192="",D192=""),"",IFERROR(SUMPRODUCT((pjNo=A192)*(pjType="Phase")*INDEX(Projects!$I$5:$O$1188,0,MATCH(D192,Projects!$I$4:$O$4,0))*pjWk),0))</f>
        <v>0</v>
      </c>
      <c r="F192" s="169">
        <f t="shared" si="82"/>
        <v>0</v>
      </c>
      <c r="G192" s="169">
        <f t="shared" si="83"/>
        <v>0</v>
      </c>
      <c r="H192" s="170"/>
      <c r="I192" s="170"/>
      <c r="J192" s="170"/>
      <c r="K192" s="170"/>
      <c r="L192" s="170"/>
      <c r="M192" s="170"/>
      <c r="N192" s="170"/>
      <c r="O192" s="170"/>
      <c r="P192" s="170"/>
      <c r="Q192" s="170"/>
      <c r="R192" s="170"/>
      <c r="S192" s="170"/>
      <c r="T192" s="170"/>
      <c r="U192" s="170"/>
      <c r="V192" s="170"/>
      <c r="W192" s="170"/>
      <c r="X192" s="170"/>
      <c r="Y192" s="170"/>
      <c r="Z192" s="170"/>
      <c r="AA192" s="170"/>
      <c r="AB192" s="170"/>
      <c r="AC192" s="170"/>
      <c r="AD192" s="170"/>
      <c r="AE192" s="170"/>
      <c r="AF192" s="170"/>
      <c r="AG192" s="170"/>
      <c r="AH192" s="170"/>
      <c r="AI192" s="170"/>
      <c r="AJ192" s="170"/>
      <c r="AK192" s="170"/>
      <c r="AL192" s="170"/>
      <c r="AM192" s="170"/>
      <c r="AN192" s="170"/>
      <c r="AO192" s="170"/>
      <c r="AP192" s="170"/>
      <c r="AQ192" s="170"/>
      <c r="AR192" s="170"/>
      <c r="AS192" s="170"/>
      <c r="AT192" s="170"/>
      <c r="AU192" s="170"/>
      <c r="AV192" s="170"/>
      <c r="AW192" s="170"/>
      <c r="AX192" s="170"/>
      <c r="AY192" s="170"/>
      <c r="AZ192" s="170"/>
      <c r="BA192" s="170"/>
      <c r="BB192" s="170"/>
      <c r="BC192" s="170"/>
      <c r="BD192" s="170"/>
      <c r="BE192" s="170"/>
      <c r="BF192" s="170"/>
      <c r="BG192" s="170"/>
      <c r="BH192" s="36"/>
      <c r="BI192" s="150" cm="1">
        <f t="array" ref="BI192">IF(A192="","",IFERROR(MATCH(1,INDEX((pjNo=A192)*(pjType="Project"),0),0),""))</f>
        <v>142</v>
      </c>
      <c r="BJ192" s="150" t="str">
        <f>IF(D192="","",IFERROR(INDEX(tblStaff[Staff Level],MATCH(D192,tblStaff[Initials],0)),"?"))</f>
        <v>Principal</v>
      </c>
      <c r="BK192" s="151" cm="1">
        <f t="array" ref="BK192">IF(BI192="","",INDEX(pjStart,BI192))</f>
        <v>46300</v>
      </c>
      <c r="BL192" s="151" cm="1">
        <f t="array" ref="BL192">IF(BI192="","",INDEX(pjEnd,BI192))</f>
        <v>46339</v>
      </c>
      <c r="BM192" s="150">
        <f>IF(BI192="",0,IF(C192="Active",1,IF(C192="Prospective",IF(Assumptions!$B$6="Active only",0,Assumptions!$B$7),0)))</f>
        <v>1</v>
      </c>
      <c r="BN192" s="150">
        <v>2</v>
      </c>
      <c r="BO192" s="36"/>
      <c r="BP192" s="36"/>
    </row>
    <row r="193" spans="1:68" outlineLevel="1" x14ac:dyDescent="0.25">
      <c r="A193" s="158">
        <v>2584</v>
      </c>
      <c r="B193" s="157" t="str" cm="1">
        <f t="array" ref="B193">IF(BI193="","",INDEX(pjName,BI193))</f>
        <v>Hollis Campus Plan</v>
      </c>
      <c r="C193" s="158" t="str" cm="1">
        <f t="array" ref="C193">IF(BI193="","",IF(INDEX(pjStatus,BI193)="","",INDEX(pjStatus,BI193)))</f>
        <v>Active</v>
      </c>
      <c r="D193" s="158" t="str" cm="1">
        <f t="array" ref="D193">IFERROR(INDEX(tblStaff[Initials],BN193),"")</f>
        <v>KJ</v>
      </c>
      <c r="E193" s="159" cm="1">
        <f t="array" ref="E193">IF(OR(BI193="",D193=""),"",IFERROR(SUMPRODUCT((pjNo=A193)*(pjType="Phase")*INDEX(Projects!$I$5:$O$1188,0,MATCH(D193,Projects!$I$4:$O$4,0))*pjWk),0))</f>
        <v>0</v>
      </c>
      <c r="F193" s="159">
        <f t="shared" si="82"/>
        <v>0</v>
      </c>
      <c r="G193" s="159">
        <f t="shared" si="83"/>
        <v>0</v>
      </c>
      <c r="H193" s="160"/>
      <c r="I193" s="160"/>
      <c r="J193" s="160"/>
      <c r="K193" s="160"/>
      <c r="L193" s="160"/>
      <c r="M193" s="160"/>
      <c r="N193" s="160"/>
      <c r="O193" s="160"/>
      <c r="P193" s="160"/>
      <c r="Q193" s="160"/>
      <c r="R193" s="160"/>
      <c r="S193" s="160"/>
      <c r="T193" s="160"/>
      <c r="U193" s="160"/>
      <c r="V193" s="160"/>
      <c r="W193" s="160"/>
      <c r="X193" s="160"/>
      <c r="Y193" s="160"/>
      <c r="Z193" s="160"/>
      <c r="AA193" s="160"/>
      <c r="AB193" s="160"/>
      <c r="AC193" s="160"/>
      <c r="AD193" s="160"/>
      <c r="AE193" s="160"/>
      <c r="AF193" s="160"/>
      <c r="AG193" s="160"/>
      <c r="AH193" s="160"/>
      <c r="AI193" s="160"/>
      <c r="AJ193" s="160"/>
      <c r="AK193" s="160"/>
      <c r="AL193" s="160"/>
      <c r="AM193" s="160"/>
      <c r="AN193" s="160"/>
      <c r="AO193" s="160"/>
      <c r="AP193" s="160"/>
      <c r="AQ193" s="160"/>
      <c r="AR193" s="160"/>
      <c r="AS193" s="160"/>
      <c r="AT193" s="160"/>
      <c r="AU193" s="160"/>
      <c r="AV193" s="160"/>
      <c r="AW193" s="160"/>
      <c r="AX193" s="160"/>
      <c r="AY193" s="160"/>
      <c r="AZ193" s="160"/>
      <c r="BA193" s="160"/>
      <c r="BB193" s="160"/>
      <c r="BC193" s="160"/>
      <c r="BD193" s="160"/>
      <c r="BE193" s="160"/>
      <c r="BF193" s="160"/>
      <c r="BG193" s="160"/>
      <c r="BH193" s="36"/>
      <c r="BI193" s="150" cm="1">
        <f t="array" ref="BI193">IF(A193="","",IFERROR(MATCH(1,INDEX((pjNo=A193)*(pjType="Project"),0),0),""))</f>
        <v>142</v>
      </c>
      <c r="BJ193" s="150" t="str">
        <f>IF(D193="","",IFERROR(INDEX(tblStaff[Staff Level],MATCH(D193,tblStaff[Initials],0)),"?"))</f>
        <v>Director</v>
      </c>
      <c r="BK193" s="151" cm="1">
        <f t="array" ref="BK193">IF(BI193="","",INDEX(pjStart,BI193))</f>
        <v>46300</v>
      </c>
      <c r="BL193" s="151" cm="1">
        <f t="array" ref="BL193">IF(BI193="","",INDEX(pjEnd,BI193))</f>
        <v>46339</v>
      </c>
      <c r="BM193" s="150">
        <f>IF(BI193="",0,IF(C193="Active",1,IF(C193="Prospective",IF(Assumptions!$B$6="Active only",0,Assumptions!$B$7),0)))</f>
        <v>1</v>
      </c>
      <c r="BN193" s="150">
        <v>3</v>
      </c>
      <c r="BO193" s="36"/>
      <c r="BP193" s="36"/>
    </row>
    <row r="194" spans="1:68" outlineLevel="1" x14ac:dyDescent="0.25">
      <c r="A194" s="158">
        <v>2584</v>
      </c>
      <c r="B194" s="157" t="str" cm="1">
        <f t="array" ref="B194">IF(BI194="","",INDEX(pjName,BI194))</f>
        <v>Hollis Campus Plan</v>
      </c>
      <c r="C194" s="158" t="str" cm="1">
        <f t="array" ref="C194">IF(BI194="","",IF(INDEX(pjStatus,BI194)="","",INDEX(pjStatus,BI194)))</f>
        <v>Active</v>
      </c>
      <c r="D194" s="158" t="str" cm="1">
        <f t="array" ref="D194">IFERROR(INDEX(tblStaff[Initials],BN194),"")</f>
        <v>HL</v>
      </c>
      <c r="E194" s="159" cm="1">
        <f t="array" ref="E194">IF(OR(BI194="",D194=""),"",IFERROR(SUMPRODUCT((pjNo=A194)*(pjType="Phase")*INDEX(Projects!$I$5:$O$1188,0,MATCH(D194,Projects!$I$4:$O$4,0))*pjWk),0))</f>
        <v>96</v>
      </c>
      <c r="F194" s="159">
        <f t="shared" si="82"/>
        <v>96</v>
      </c>
      <c r="G194" s="159">
        <f t="shared" si="83"/>
        <v>0</v>
      </c>
      <c r="H194" s="160">
        <v>16</v>
      </c>
      <c r="I194" s="160">
        <v>16</v>
      </c>
      <c r="J194" s="160">
        <v>16</v>
      </c>
      <c r="K194" s="160">
        <v>16</v>
      </c>
      <c r="L194" s="160">
        <v>16</v>
      </c>
      <c r="M194" s="160">
        <v>16</v>
      </c>
      <c r="N194" s="160"/>
      <c r="O194" s="160"/>
      <c r="P194" s="160"/>
      <c r="Q194" s="160"/>
      <c r="R194" s="160"/>
      <c r="S194" s="160"/>
      <c r="T194" s="160"/>
      <c r="U194" s="160"/>
      <c r="V194" s="160"/>
      <c r="W194" s="160"/>
      <c r="X194" s="160"/>
      <c r="Y194" s="160"/>
      <c r="Z194" s="160"/>
      <c r="AA194" s="160"/>
      <c r="AB194" s="160"/>
      <c r="AC194" s="160"/>
      <c r="AD194" s="160"/>
      <c r="AE194" s="160"/>
      <c r="AF194" s="160"/>
      <c r="AG194" s="160"/>
      <c r="AH194" s="160"/>
      <c r="AI194" s="160"/>
      <c r="AJ194" s="160"/>
      <c r="AK194" s="160"/>
      <c r="AL194" s="160"/>
      <c r="AM194" s="160"/>
      <c r="AN194" s="160"/>
      <c r="AO194" s="160"/>
      <c r="AP194" s="160"/>
      <c r="AQ194" s="160"/>
      <c r="AR194" s="160"/>
      <c r="AS194" s="160"/>
      <c r="AT194" s="160"/>
      <c r="AU194" s="160"/>
      <c r="AV194" s="160"/>
      <c r="AW194" s="160"/>
      <c r="AX194" s="160"/>
      <c r="AY194" s="160"/>
      <c r="AZ194" s="160"/>
      <c r="BA194" s="160"/>
      <c r="BB194" s="160"/>
      <c r="BC194" s="160"/>
      <c r="BD194" s="160"/>
      <c r="BE194" s="160"/>
      <c r="BF194" s="160"/>
      <c r="BG194" s="160"/>
      <c r="BH194" s="36"/>
      <c r="BI194" s="150" cm="1">
        <f t="array" ref="BI194">IF(A194="","",IFERROR(MATCH(1,INDEX((pjNo=A194)*(pjType="Project"),0),0),""))</f>
        <v>142</v>
      </c>
      <c r="BJ194" s="150" t="str">
        <f>IF(D194="","",IFERROR(INDEX(tblStaff[Staff Level],MATCH(D194,tblStaff[Initials],0)),"?"))</f>
        <v>Senior Designer</v>
      </c>
      <c r="BK194" s="151" cm="1">
        <f t="array" ref="BK194">IF(BI194="","",INDEX(pjStart,BI194))</f>
        <v>46300</v>
      </c>
      <c r="BL194" s="151" cm="1">
        <f t="array" ref="BL194">IF(BI194="","",INDEX(pjEnd,BI194))</f>
        <v>46339</v>
      </c>
      <c r="BM194" s="150">
        <f>IF(BI194="",0,IF(C194="Active",1,IF(C194="Prospective",IF(Assumptions!$B$6="Active only",0,Assumptions!$B$7),0)))</f>
        <v>1</v>
      </c>
      <c r="BN194" s="150">
        <v>4</v>
      </c>
      <c r="BO194" s="36"/>
      <c r="BP194" s="36"/>
    </row>
    <row r="195" spans="1:68" outlineLevel="1" x14ac:dyDescent="0.25">
      <c r="A195" s="158">
        <v>2584</v>
      </c>
      <c r="B195" s="157" t="str" cm="1">
        <f t="array" ref="B195">IF(BI195="","",INDEX(pjName,BI195))</f>
        <v>Hollis Campus Plan</v>
      </c>
      <c r="C195" s="158" t="str" cm="1">
        <f t="array" ref="C195">IF(BI195="","",IF(INDEX(pjStatus,BI195)="","",INDEX(pjStatus,BI195)))</f>
        <v>Active</v>
      </c>
      <c r="D195" s="158" t="str" cm="1">
        <f t="array" ref="D195">IFERROR(INDEX(tblStaff[Initials],BN195),"")</f>
        <v>EHH</v>
      </c>
      <c r="E195" s="159" cm="1">
        <f t="array" ref="E195">IF(OR(BI195="",D195=""),"",IFERROR(SUMPRODUCT((pjNo=A195)*(pjType="Phase")*INDEX(Projects!$I$5:$O$1188,0,MATCH(D195,Projects!$I$4:$O$4,0))*pjWk),0))</f>
        <v>0</v>
      </c>
      <c r="F195" s="159">
        <f t="shared" si="82"/>
        <v>0</v>
      </c>
      <c r="G195" s="159">
        <f t="shared" si="83"/>
        <v>0</v>
      </c>
      <c r="H195" s="160"/>
      <c r="I195" s="160"/>
      <c r="J195" s="160"/>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c r="AG195" s="160"/>
      <c r="AH195" s="160"/>
      <c r="AI195" s="160"/>
      <c r="AJ195" s="160"/>
      <c r="AK195" s="160"/>
      <c r="AL195" s="160"/>
      <c r="AM195" s="160"/>
      <c r="AN195" s="160"/>
      <c r="AO195" s="160"/>
      <c r="AP195" s="160"/>
      <c r="AQ195" s="160"/>
      <c r="AR195" s="160"/>
      <c r="AS195" s="160"/>
      <c r="AT195" s="160"/>
      <c r="AU195" s="160"/>
      <c r="AV195" s="160"/>
      <c r="AW195" s="160"/>
      <c r="AX195" s="160"/>
      <c r="AY195" s="160"/>
      <c r="AZ195" s="160"/>
      <c r="BA195" s="160"/>
      <c r="BB195" s="160"/>
      <c r="BC195" s="160"/>
      <c r="BD195" s="160"/>
      <c r="BE195" s="160"/>
      <c r="BF195" s="160"/>
      <c r="BG195" s="160"/>
      <c r="BH195" s="36"/>
      <c r="BI195" s="150" cm="1">
        <f t="array" ref="BI195">IF(A195="","",IFERROR(MATCH(1,INDEX((pjNo=A195)*(pjType="Project"),0),0),""))</f>
        <v>142</v>
      </c>
      <c r="BJ195" s="150" t="str">
        <f>IF(D195="","",IFERROR(INDEX(tblStaff[Staff Level],MATCH(D195,tblStaff[Initials],0)),"?"))</f>
        <v>Mid Level Designer</v>
      </c>
      <c r="BK195" s="151" cm="1">
        <f t="array" ref="BK195">IF(BI195="","",INDEX(pjStart,BI195))</f>
        <v>46300</v>
      </c>
      <c r="BL195" s="151" cm="1">
        <f t="array" ref="BL195">IF(BI195="","",INDEX(pjEnd,BI195))</f>
        <v>46339</v>
      </c>
      <c r="BM195" s="150">
        <f>IF(BI195="",0,IF(C195="Active",1,IF(C195="Prospective",IF(Assumptions!$B$6="Active only",0,Assumptions!$B$7),0)))</f>
        <v>1</v>
      </c>
      <c r="BN195" s="150">
        <v>5</v>
      </c>
      <c r="BO195" s="36"/>
      <c r="BP195" s="36"/>
    </row>
    <row r="196" spans="1:68" outlineLevel="1" x14ac:dyDescent="0.25">
      <c r="A196" s="158">
        <v>2584</v>
      </c>
      <c r="B196" s="157" t="str" cm="1">
        <f t="array" ref="B196">IF(BI196="","",INDEX(pjName,BI196))</f>
        <v>Hollis Campus Plan</v>
      </c>
      <c r="C196" s="158" t="str" cm="1">
        <f t="array" ref="C196">IF(BI196="","",IF(INDEX(pjStatus,BI196)="","",INDEX(pjStatus,BI196)))</f>
        <v>Active</v>
      </c>
      <c r="D196" s="158" t="str" cm="1">
        <f t="array" ref="D196">IFERROR(INDEX(tblStaff[Initials],BN196),"")</f>
        <v>KD</v>
      </c>
      <c r="E196" s="159" cm="1">
        <f t="array" ref="E196">IF(OR(BI196="",D196=""),"",IFERROR(SUMPRODUCT((pjNo=A196)*(pjType="Phase")*INDEX(Projects!$I$5:$O$1188,0,MATCH(D196,Projects!$I$4:$O$4,0))*pjWk),0))</f>
        <v>0</v>
      </c>
      <c r="F196" s="159">
        <f t="shared" si="82"/>
        <v>0</v>
      </c>
      <c r="G196" s="159">
        <f t="shared" si="83"/>
        <v>0</v>
      </c>
      <c r="H196" s="160"/>
      <c r="I196" s="160"/>
      <c r="J196" s="160"/>
      <c r="K196" s="160"/>
      <c r="L196" s="160"/>
      <c r="M196" s="160"/>
      <c r="N196" s="160"/>
      <c r="O196" s="160"/>
      <c r="P196" s="160"/>
      <c r="Q196" s="160"/>
      <c r="R196" s="160"/>
      <c r="S196" s="160"/>
      <c r="T196" s="160"/>
      <c r="U196" s="160"/>
      <c r="V196" s="160"/>
      <c r="W196" s="160"/>
      <c r="X196" s="160"/>
      <c r="Y196" s="160"/>
      <c r="Z196" s="160"/>
      <c r="AA196" s="160"/>
      <c r="AB196" s="160"/>
      <c r="AC196" s="160"/>
      <c r="AD196" s="160"/>
      <c r="AE196" s="160"/>
      <c r="AF196" s="160"/>
      <c r="AG196" s="160"/>
      <c r="AH196" s="160"/>
      <c r="AI196" s="160"/>
      <c r="AJ196" s="160"/>
      <c r="AK196" s="160"/>
      <c r="AL196" s="160"/>
      <c r="AM196" s="160"/>
      <c r="AN196" s="160"/>
      <c r="AO196" s="160"/>
      <c r="AP196" s="160"/>
      <c r="AQ196" s="160"/>
      <c r="AR196" s="160"/>
      <c r="AS196" s="160"/>
      <c r="AT196" s="160"/>
      <c r="AU196" s="160"/>
      <c r="AV196" s="160"/>
      <c r="AW196" s="160"/>
      <c r="AX196" s="160"/>
      <c r="AY196" s="160"/>
      <c r="AZ196" s="160"/>
      <c r="BA196" s="160"/>
      <c r="BB196" s="160"/>
      <c r="BC196" s="160"/>
      <c r="BD196" s="160"/>
      <c r="BE196" s="160"/>
      <c r="BF196" s="160"/>
      <c r="BG196" s="160"/>
      <c r="BH196" s="36"/>
      <c r="BI196" s="150" cm="1">
        <f t="array" ref="BI196">IF(A196="","",IFERROR(MATCH(1,INDEX((pjNo=A196)*(pjType="Project"),0),0),""))</f>
        <v>142</v>
      </c>
      <c r="BJ196" s="150" t="str">
        <f>IF(D196="","",IFERROR(INDEX(tblStaff[Staff Level],MATCH(D196,tblStaff[Initials],0)),"?"))</f>
        <v>Mid Level Designer</v>
      </c>
      <c r="BK196" s="151" cm="1">
        <f t="array" ref="BK196">IF(BI196="","",INDEX(pjStart,BI196))</f>
        <v>46300</v>
      </c>
      <c r="BL196" s="151" cm="1">
        <f t="array" ref="BL196">IF(BI196="","",INDEX(pjEnd,BI196))</f>
        <v>46339</v>
      </c>
      <c r="BM196" s="150">
        <f>IF(BI196="",0,IF(C196="Active",1,IF(C196="Prospective",IF(Assumptions!$B$6="Active only",0,Assumptions!$B$7),0)))</f>
        <v>1</v>
      </c>
      <c r="BN196" s="150">
        <v>6</v>
      </c>
      <c r="BO196" s="36"/>
      <c r="BP196" s="36"/>
    </row>
    <row r="197" spans="1:68" outlineLevel="1" x14ac:dyDescent="0.25">
      <c r="A197" s="158">
        <v>2584</v>
      </c>
      <c r="B197" s="157" t="str" cm="1">
        <f t="array" ref="B197">IF(BI197="","",INDEX(pjName,BI197))</f>
        <v>Hollis Campus Plan</v>
      </c>
      <c r="C197" s="158" t="str" cm="1">
        <f t="array" ref="C197">IF(BI197="","",IF(INDEX(pjStatus,BI197)="","",INDEX(pjStatus,BI197)))</f>
        <v>Active</v>
      </c>
      <c r="D197" s="158" t="str" cm="1">
        <f t="array" ref="D197">IFERROR(INDEX(tblStaff[Initials],BN197),"")</f>
        <v>XX</v>
      </c>
      <c r="E197" s="159" cm="1">
        <f t="array" ref="E197">IF(OR(BI197="",D197=""),"",IFERROR(SUMPRODUCT((pjNo=A197)*(pjType="Phase")*INDEX(Projects!$I$5:$O$1188,0,MATCH(D197,Projects!$I$4:$O$4,0))*pjWk),0))</f>
        <v>0</v>
      </c>
      <c r="F197" s="159">
        <f t="shared" si="82"/>
        <v>0</v>
      </c>
      <c r="G197" s="159">
        <f t="shared" si="83"/>
        <v>0</v>
      </c>
      <c r="H197" s="160"/>
      <c r="I197" s="160"/>
      <c r="J197" s="160"/>
      <c r="K197" s="160"/>
      <c r="L197" s="160"/>
      <c r="M197" s="160"/>
      <c r="N197" s="160"/>
      <c r="O197" s="160"/>
      <c r="P197" s="160"/>
      <c r="Q197" s="160"/>
      <c r="R197" s="160"/>
      <c r="S197" s="160"/>
      <c r="T197" s="160"/>
      <c r="U197" s="160"/>
      <c r="V197" s="160"/>
      <c r="W197" s="160"/>
      <c r="X197" s="160"/>
      <c r="Y197" s="160"/>
      <c r="Z197" s="160"/>
      <c r="AA197" s="160"/>
      <c r="AB197" s="160"/>
      <c r="AC197" s="160"/>
      <c r="AD197" s="160"/>
      <c r="AE197" s="160"/>
      <c r="AF197" s="160"/>
      <c r="AG197" s="160"/>
      <c r="AH197" s="160"/>
      <c r="AI197" s="160"/>
      <c r="AJ197" s="160"/>
      <c r="AK197" s="160"/>
      <c r="AL197" s="160"/>
      <c r="AM197" s="160"/>
      <c r="AN197" s="160"/>
      <c r="AO197" s="160"/>
      <c r="AP197" s="160"/>
      <c r="AQ197" s="160"/>
      <c r="AR197" s="160"/>
      <c r="AS197" s="160"/>
      <c r="AT197" s="160"/>
      <c r="AU197" s="160"/>
      <c r="AV197" s="160"/>
      <c r="AW197" s="160"/>
      <c r="AX197" s="160"/>
      <c r="AY197" s="160"/>
      <c r="AZ197" s="160"/>
      <c r="BA197" s="160"/>
      <c r="BB197" s="160"/>
      <c r="BC197" s="160"/>
      <c r="BD197" s="160"/>
      <c r="BE197" s="160"/>
      <c r="BF197" s="160"/>
      <c r="BG197" s="160"/>
      <c r="BH197" s="36"/>
      <c r="BI197" s="150" cm="1">
        <f t="array" ref="BI197">IF(A197="","",IFERROR(MATCH(1,INDEX((pjNo=A197)*(pjType="Project"),0),0),""))</f>
        <v>142</v>
      </c>
      <c r="BJ197" s="150" t="str">
        <f>IF(D197="","",IFERROR(INDEX(tblStaff[Staff Level],MATCH(D197,tblStaff[Initials],0)),"?"))</f>
        <v>Project Designer</v>
      </c>
      <c r="BK197" s="151" cm="1">
        <f t="array" ref="BK197">IF(BI197="","",INDEX(pjStart,BI197))</f>
        <v>46300</v>
      </c>
      <c r="BL197" s="151" cm="1">
        <f t="array" ref="BL197">IF(BI197="","",INDEX(pjEnd,BI197))</f>
        <v>46339</v>
      </c>
      <c r="BM197" s="150">
        <f>IF(BI197="",0,IF(C197="Active",1,IF(C197="Prospective",IF(Assumptions!$B$6="Active only",0,Assumptions!$B$7),0)))</f>
        <v>1</v>
      </c>
      <c r="BN197" s="150">
        <v>7</v>
      </c>
      <c r="BO197" s="36"/>
      <c r="BP197" s="36"/>
    </row>
    <row r="198" spans="1:68" outlineLevel="1" x14ac:dyDescent="0.25">
      <c r="A198" s="162">
        <v>2584</v>
      </c>
      <c r="B198" s="161" t="str" cm="1">
        <f t="array" ref="B198">IF(BI198="","",INDEX(pjName,BI198))</f>
        <v>Hollis Campus Plan</v>
      </c>
      <c r="C198" s="162" t="str" cm="1">
        <f t="array" ref="C198">IF(BI198="","",IF(INDEX(pjStatus,BI198)="","",INDEX(pjStatus,BI198)))</f>
        <v>Active</v>
      </c>
      <c r="D198" s="162" t="str" cm="1">
        <f t="array" ref="D198">IFERROR(INDEX(tblStaff[Initials],BN198),"")</f>
        <v/>
      </c>
      <c r="E198" s="163" t="str" cm="1">
        <f t="array" ref="E198">IF(OR(BI198="",D198=""),"",IFERROR(SUMPRODUCT((pjNo=A198)*(pjType="Phase")*INDEX(Projects!$I$5:$O$1188,0,MATCH(D198,Projects!$I$4:$O$4,0))*pjWk),0))</f>
        <v/>
      </c>
      <c r="F198" s="163">
        <f t="shared" si="82"/>
        <v>0</v>
      </c>
      <c r="G198" s="163" t="str">
        <f t="shared" si="83"/>
        <v/>
      </c>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c r="AH198" s="164"/>
      <c r="AI198" s="164"/>
      <c r="AJ198" s="164"/>
      <c r="AK198" s="164"/>
      <c r="AL198" s="164"/>
      <c r="AM198" s="164"/>
      <c r="AN198" s="164"/>
      <c r="AO198" s="164"/>
      <c r="AP198" s="164"/>
      <c r="AQ198" s="164"/>
      <c r="AR198" s="164"/>
      <c r="AS198" s="164"/>
      <c r="AT198" s="164"/>
      <c r="AU198" s="164"/>
      <c r="AV198" s="164"/>
      <c r="AW198" s="164"/>
      <c r="AX198" s="164"/>
      <c r="AY198" s="164"/>
      <c r="AZ198" s="164"/>
      <c r="BA198" s="164"/>
      <c r="BB198" s="164"/>
      <c r="BC198" s="164"/>
      <c r="BD198" s="164"/>
      <c r="BE198" s="164"/>
      <c r="BF198" s="164"/>
      <c r="BG198" s="164"/>
      <c r="BH198" s="36"/>
      <c r="BI198" s="150" cm="1">
        <f t="array" ref="BI198">IF(A198="","",IFERROR(MATCH(1,INDEX((pjNo=A198)*(pjType="Project"),0),0),""))</f>
        <v>142</v>
      </c>
      <c r="BJ198" s="150" t="str">
        <f>IF(D198="","",IFERROR(INDEX(tblStaff[Staff Level],MATCH(D198,tblStaff[Initials],0)),"?"))</f>
        <v/>
      </c>
      <c r="BK198" s="151" cm="1">
        <f t="array" ref="BK198">IF(BI198="","",INDEX(pjStart,BI198))</f>
        <v>46300</v>
      </c>
      <c r="BL198" s="151" cm="1">
        <f t="array" ref="BL198">IF(BI198="","",INDEX(pjEnd,BI198))</f>
        <v>46339</v>
      </c>
      <c r="BM198" s="150">
        <f>IF(BI198="",0,IF(C198="Active",1,IF(C198="Prospective",IF(Assumptions!$B$6="Active only",0,Assumptions!$B$7),0)))</f>
        <v>1</v>
      </c>
      <c r="BN198" s="150">
        <v>8</v>
      </c>
      <c r="BO198" s="36"/>
      <c r="BP198" s="36"/>
    </row>
    <row r="199" spans="1:68" x14ac:dyDescent="0.25">
      <c r="A199" s="171"/>
      <c r="B199" s="173" t="str">
        <f>IF(A200="","",A200&amp;" · "&amp;B200)</f>
        <v>2622 · Hawthorne Glen Senior Housing</v>
      </c>
      <c r="C199" s="171" t="str">
        <f>IF(A200="","",C200)</f>
        <v>Active</v>
      </c>
      <c r="D199" s="171"/>
      <c r="E199" s="172">
        <f>SUM(E200:E207)</f>
        <v>970</v>
      </c>
      <c r="F199" s="172">
        <f>SUM(F200:F207)</f>
        <v>821</v>
      </c>
      <c r="G199" s="172">
        <f>IF(E199=0,"",E199-F199)</f>
        <v>149</v>
      </c>
      <c r="H199" s="174">
        <f t="shared" ref="H199:AM199" si="84">SUM(H200:H207)</f>
        <v>64</v>
      </c>
      <c r="I199" s="174">
        <f t="shared" si="84"/>
        <v>64</v>
      </c>
      <c r="J199" s="174">
        <f t="shared" si="84"/>
        <v>64</v>
      </c>
      <c r="K199" s="174">
        <f t="shared" si="84"/>
        <v>64</v>
      </c>
      <c r="L199" s="174">
        <f t="shared" si="84"/>
        <v>64</v>
      </c>
      <c r="M199" s="174">
        <f t="shared" si="84"/>
        <v>44</v>
      </c>
      <c r="N199" s="174">
        <f t="shared" si="84"/>
        <v>44</v>
      </c>
      <c r="O199" s="174">
        <f t="shared" si="84"/>
        <v>44</v>
      </c>
      <c r="P199" s="174">
        <f t="shared" si="84"/>
        <v>44</v>
      </c>
      <c r="Q199" s="174">
        <f t="shared" si="84"/>
        <v>1</v>
      </c>
      <c r="R199" s="174">
        <f t="shared" si="84"/>
        <v>1</v>
      </c>
      <c r="S199" s="174">
        <f t="shared" si="84"/>
        <v>1</v>
      </c>
      <c r="T199" s="174">
        <f t="shared" si="84"/>
        <v>1</v>
      </c>
      <c r="U199" s="174">
        <f t="shared" si="84"/>
        <v>1</v>
      </c>
      <c r="V199" s="174">
        <f t="shared" si="84"/>
        <v>40</v>
      </c>
      <c r="W199" s="174">
        <f t="shared" si="84"/>
        <v>52</v>
      </c>
      <c r="X199" s="174">
        <f t="shared" si="84"/>
        <v>52</v>
      </c>
      <c r="Y199" s="174">
        <f t="shared" si="84"/>
        <v>52</v>
      </c>
      <c r="Z199" s="174">
        <f t="shared" si="84"/>
        <v>1</v>
      </c>
      <c r="AA199" s="174">
        <f t="shared" si="84"/>
        <v>1</v>
      </c>
      <c r="AB199" s="174">
        <f t="shared" si="84"/>
        <v>1</v>
      </c>
      <c r="AC199" s="174">
        <f t="shared" si="84"/>
        <v>1</v>
      </c>
      <c r="AD199" s="174">
        <f t="shared" si="84"/>
        <v>1</v>
      </c>
      <c r="AE199" s="174">
        <f t="shared" si="84"/>
        <v>1</v>
      </c>
      <c r="AF199" s="174">
        <f t="shared" si="84"/>
        <v>1</v>
      </c>
      <c r="AG199" s="174">
        <f t="shared" si="84"/>
        <v>1</v>
      </c>
      <c r="AH199" s="174">
        <f t="shared" si="84"/>
        <v>1</v>
      </c>
      <c r="AI199" s="174">
        <f t="shared" si="84"/>
        <v>1</v>
      </c>
      <c r="AJ199" s="174">
        <f t="shared" si="84"/>
        <v>1</v>
      </c>
      <c r="AK199" s="174">
        <f t="shared" si="84"/>
        <v>1</v>
      </c>
      <c r="AL199" s="174">
        <f t="shared" si="84"/>
        <v>40</v>
      </c>
      <c r="AM199" s="174">
        <f t="shared" si="84"/>
        <v>36</v>
      </c>
      <c r="AN199" s="174">
        <f t="shared" ref="AN199:BG199" si="85">SUM(AN200:AN207)</f>
        <v>36</v>
      </c>
      <c r="AO199" s="174">
        <f t="shared" si="85"/>
        <v>0</v>
      </c>
      <c r="AP199" s="174">
        <f t="shared" si="85"/>
        <v>0</v>
      </c>
      <c r="AQ199" s="174">
        <f t="shared" si="85"/>
        <v>0</v>
      </c>
      <c r="AR199" s="174">
        <f t="shared" si="85"/>
        <v>0</v>
      </c>
      <c r="AS199" s="174">
        <f t="shared" si="85"/>
        <v>0</v>
      </c>
      <c r="AT199" s="174">
        <f t="shared" si="85"/>
        <v>0</v>
      </c>
      <c r="AU199" s="174">
        <f t="shared" si="85"/>
        <v>0</v>
      </c>
      <c r="AV199" s="174">
        <f t="shared" si="85"/>
        <v>0</v>
      </c>
      <c r="AW199" s="174">
        <f t="shared" si="85"/>
        <v>0</v>
      </c>
      <c r="AX199" s="174">
        <f t="shared" si="85"/>
        <v>0</v>
      </c>
      <c r="AY199" s="174">
        <f t="shared" si="85"/>
        <v>0</v>
      </c>
      <c r="AZ199" s="174">
        <f t="shared" si="85"/>
        <v>0</v>
      </c>
      <c r="BA199" s="174">
        <f t="shared" si="85"/>
        <v>0</v>
      </c>
      <c r="BB199" s="174">
        <f t="shared" si="85"/>
        <v>0</v>
      </c>
      <c r="BC199" s="174">
        <f t="shared" si="85"/>
        <v>0</v>
      </c>
      <c r="BD199" s="174">
        <f t="shared" si="85"/>
        <v>0</v>
      </c>
      <c r="BE199" s="174">
        <f t="shared" si="85"/>
        <v>0</v>
      </c>
      <c r="BF199" s="174">
        <f t="shared" si="85"/>
        <v>0</v>
      </c>
      <c r="BG199" s="174">
        <f t="shared" si="85"/>
        <v>0</v>
      </c>
      <c r="BH199" s="36"/>
      <c r="BI199" s="150"/>
      <c r="BJ199" s="150"/>
      <c r="BK199" s="151"/>
      <c r="BL199" s="151"/>
      <c r="BM199" s="150"/>
      <c r="BN199" s="150"/>
      <c r="BO199" s="36"/>
      <c r="BP199" s="36"/>
    </row>
    <row r="200" spans="1:68" outlineLevel="1" x14ac:dyDescent="0.25">
      <c r="A200" s="167">
        <v>2622</v>
      </c>
      <c r="B200" s="168" t="str" cm="1">
        <f t="array" ref="B200">IF(BI200="","",INDEX(pjName,BI200))</f>
        <v>Hawthorne Glen Senior Housing</v>
      </c>
      <c r="C200" s="167" t="str" cm="1">
        <f t="array" ref="C200">IF(BI200="","",IF(INDEX(pjStatus,BI200)="","",INDEX(pjStatus,BI200)))</f>
        <v>Active</v>
      </c>
      <c r="D200" s="167" t="str" cm="1">
        <f t="array" ref="D200">IFERROR(INDEX(tblStaff[Initials],BN200),"")</f>
        <v>PK</v>
      </c>
      <c r="E200" s="169" cm="1">
        <f t="array" ref="E200">IF(OR(BI200="",D200=""),"",IFERROR(SUMPRODUCT((pjNo=A200)*(pjType="Phase")*INDEX(Projects!$I$5:$O$1188,0,MATCH(D200,Projects!$I$4:$O$4,0))*pjWk),0))</f>
        <v>92</v>
      </c>
      <c r="F200" s="169">
        <f t="shared" ref="F200:F207" si="86">IF(BI200="","",SUM(H200:BG200))</f>
        <v>40</v>
      </c>
      <c r="G200" s="169">
        <f t="shared" ref="G200:G207" si="87">IF(OR(E200="",F200=""),"",E200-F200)</f>
        <v>52</v>
      </c>
      <c r="H200" s="170">
        <v>8</v>
      </c>
      <c r="I200" s="170">
        <v>8</v>
      </c>
      <c r="J200" s="170">
        <v>8</v>
      </c>
      <c r="K200" s="170">
        <v>8</v>
      </c>
      <c r="L200" s="170">
        <v>8</v>
      </c>
      <c r="M200" s="170"/>
      <c r="N200" s="170"/>
      <c r="O200" s="170"/>
      <c r="P200" s="170"/>
      <c r="Q200" s="170"/>
      <c r="R200" s="170"/>
      <c r="S200" s="170"/>
      <c r="T200" s="170"/>
      <c r="U200" s="170"/>
      <c r="V200" s="170"/>
      <c r="W200" s="170"/>
      <c r="X200" s="170"/>
      <c r="Y200" s="170"/>
      <c r="Z200" s="170"/>
      <c r="AA200" s="170"/>
      <c r="AB200" s="170"/>
      <c r="AC200" s="170"/>
      <c r="AD200" s="170"/>
      <c r="AE200" s="170"/>
      <c r="AF200" s="170"/>
      <c r="AG200" s="170"/>
      <c r="AH200" s="170"/>
      <c r="AI200" s="170"/>
      <c r="AJ200" s="170"/>
      <c r="AK200" s="170"/>
      <c r="AL200" s="170"/>
      <c r="AM200" s="170"/>
      <c r="AN200" s="170"/>
      <c r="AO200" s="170"/>
      <c r="AP200" s="170"/>
      <c r="AQ200" s="170"/>
      <c r="AR200" s="170"/>
      <c r="AS200" s="170"/>
      <c r="AT200" s="170"/>
      <c r="AU200" s="170"/>
      <c r="AV200" s="170"/>
      <c r="AW200" s="170"/>
      <c r="AX200" s="170"/>
      <c r="AY200" s="170"/>
      <c r="AZ200" s="170"/>
      <c r="BA200" s="170"/>
      <c r="BB200" s="170"/>
      <c r="BC200" s="170"/>
      <c r="BD200" s="170"/>
      <c r="BE200" s="170"/>
      <c r="BF200" s="170"/>
      <c r="BG200" s="170"/>
      <c r="BH200" s="36"/>
      <c r="BI200" s="150" cm="1">
        <f t="array" ref="BI200">IF(A200="","",IFERROR(MATCH(1,INDEX((pjNo=A200)*(pjType="Project"),0),0),""))</f>
        <v>149</v>
      </c>
      <c r="BJ200" s="150" t="str">
        <f>IF(D200="","",IFERROR(INDEX(tblStaff[Staff Level],MATCH(D200,tblStaff[Initials],0)),"?"))</f>
        <v>Principal</v>
      </c>
      <c r="BK200" s="151" cm="1">
        <f t="array" ref="BK200">IF(BI200="","",INDEX(pjStart,BI200))</f>
        <v>46300</v>
      </c>
      <c r="BL200" s="151" cm="1">
        <f t="array" ref="BL200">IF(BI200="","",INDEX(pjEnd,BI200))</f>
        <v>46691</v>
      </c>
      <c r="BM200" s="150">
        <f>IF(BI200="",0,IF(C200="Active",1,IF(C200="Prospective",IF(Assumptions!$B$6="Active only",0,Assumptions!$B$7),0)))</f>
        <v>1</v>
      </c>
      <c r="BN200" s="150">
        <v>1</v>
      </c>
      <c r="BO200" s="36"/>
      <c r="BP200" s="36"/>
    </row>
    <row r="201" spans="1:68" outlineLevel="1" x14ac:dyDescent="0.25">
      <c r="A201" s="167">
        <v>2622</v>
      </c>
      <c r="B201" s="168" t="str" cm="1">
        <f t="array" ref="B201">IF(BI201="","",INDEX(pjName,BI201))</f>
        <v>Hawthorne Glen Senior Housing</v>
      </c>
      <c r="C201" s="167" t="str" cm="1">
        <f t="array" ref="C201">IF(BI201="","",IF(INDEX(pjStatus,BI201)="","",INDEX(pjStatus,BI201)))</f>
        <v>Active</v>
      </c>
      <c r="D201" s="167" t="str" cm="1">
        <f t="array" ref="D201">IFERROR(INDEX(tblStaff[Initials],BN201),"")</f>
        <v>DF</v>
      </c>
      <c r="E201" s="169" cm="1">
        <f t="array" ref="E201">IF(OR(BI201="",D201=""),"",IFERROR(SUMPRODUCT((pjNo=A201)*(pjType="Phase")*INDEX(Projects!$I$5:$O$1188,0,MATCH(D201,Projects!$I$4:$O$4,0))*pjWk),0))</f>
        <v>118</v>
      </c>
      <c r="F201" s="169">
        <f t="shared" si="86"/>
        <v>40</v>
      </c>
      <c r="G201" s="169">
        <f t="shared" si="87"/>
        <v>78</v>
      </c>
      <c r="H201" s="170">
        <v>8</v>
      </c>
      <c r="I201" s="170">
        <v>8</v>
      </c>
      <c r="J201" s="170">
        <v>8</v>
      </c>
      <c r="K201" s="170">
        <v>8</v>
      </c>
      <c r="L201" s="170">
        <v>8</v>
      </c>
      <c r="M201" s="170"/>
      <c r="N201" s="170"/>
      <c r="O201" s="170"/>
      <c r="P201" s="170"/>
      <c r="Q201" s="170"/>
      <c r="R201" s="170"/>
      <c r="S201" s="170"/>
      <c r="T201" s="170"/>
      <c r="U201" s="170"/>
      <c r="V201" s="170"/>
      <c r="W201" s="170"/>
      <c r="X201" s="170"/>
      <c r="Y201" s="170"/>
      <c r="Z201" s="170"/>
      <c r="AA201" s="170"/>
      <c r="AB201" s="170"/>
      <c r="AC201" s="170"/>
      <c r="AD201" s="170"/>
      <c r="AE201" s="170"/>
      <c r="AF201" s="170"/>
      <c r="AG201" s="170"/>
      <c r="AH201" s="170"/>
      <c r="AI201" s="170"/>
      <c r="AJ201" s="170"/>
      <c r="AK201" s="170"/>
      <c r="AL201" s="170"/>
      <c r="AM201" s="170"/>
      <c r="AN201" s="170"/>
      <c r="AO201" s="170"/>
      <c r="AP201" s="170"/>
      <c r="AQ201" s="170"/>
      <c r="AR201" s="170"/>
      <c r="AS201" s="170"/>
      <c r="AT201" s="170"/>
      <c r="AU201" s="170"/>
      <c r="AV201" s="170"/>
      <c r="AW201" s="170"/>
      <c r="AX201" s="170"/>
      <c r="AY201" s="170"/>
      <c r="AZ201" s="170"/>
      <c r="BA201" s="170"/>
      <c r="BB201" s="170"/>
      <c r="BC201" s="170"/>
      <c r="BD201" s="170"/>
      <c r="BE201" s="170"/>
      <c r="BF201" s="170"/>
      <c r="BG201" s="170"/>
      <c r="BH201" s="36"/>
      <c r="BI201" s="150" cm="1">
        <f t="array" ref="BI201">IF(A201="","",IFERROR(MATCH(1,INDEX((pjNo=A201)*(pjType="Project"),0),0),""))</f>
        <v>149</v>
      </c>
      <c r="BJ201" s="150" t="str">
        <f>IF(D201="","",IFERROR(INDEX(tblStaff[Staff Level],MATCH(D201,tblStaff[Initials],0)),"?"))</f>
        <v>Principal</v>
      </c>
      <c r="BK201" s="151" cm="1">
        <f t="array" ref="BK201">IF(BI201="","",INDEX(pjStart,BI201))</f>
        <v>46300</v>
      </c>
      <c r="BL201" s="151" cm="1">
        <f t="array" ref="BL201">IF(BI201="","",INDEX(pjEnd,BI201))</f>
        <v>46691</v>
      </c>
      <c r="BM201" s="150">
        <f>IF(BI201="",0,IF(C201="Active",1,IF(C201="Prospective",IF(Assumptions!$B$6="Active only",0,Assumptions!$B$7),0)))</f>
        <v>1</v>
      </c>
      <c r="BN201" s="150">
        <v>2</v>
      </c>
      <c r="BO201" s="36"/>
      <c r="BP201" s="36"/>
    </row>
    <row r="202" spans="1:68" outlineLevel="1" x14ac:dyDescent="0.25">
      <c r="A202" s="158">
        <v>2622</v>
      </c>
      <c r="B202" s="157" t="str" cm="1">
        <f t="array" ref="B202">IF(BI202="","",INDEX(pjName,BI202))</f>
        <v>Hawthorne Glen Senior Housing</v>
      </c>
      <c r="C202" s="158" t="str" cm="1">
        <f t="array" ref="C202">IF(BI202="","",IF(INDEX(pjStatus,BI202)="","",INDEX(pjStatus,BI202)))</f>
        <v>Active</v>
      </c>
      <c r="D202" s="158" t="str" cm="1">
        <f t="array" ref="D202">IFERROR(INDEX(tblStaff[Initials],BN202),"")</f>
        <v>KJ</v>
      </c>
      <c r="E202" s="159" cm="1">
        <f t="array" ref="E202">IF(OR(BI202="",D202=""),"",IFERROR(SUMPRODUCT((pjNo=A202)*(pjType="Phase")*INDEX(Projects!$I$5:$O$1188,0,MATCH(D202,Projects!$I$4:$O$4,0))*pjWk),0))</f>
        <v>288</v>
      </c>
      <c r="F202" s="159">
        <f t="shared" si="86"/>
        <v>273</v>
      </c>
      <c r="G202" s="159">
        <f t="shared" si="87"/>
        <v>15</v>
      </c>
      <c r="H202" s="160">
        <v>16</v>
      </c>
      <c r="I202" s="160">
        <v>16</v>
      </c>
      <c r="J202" s="160">
        <v>16</v>
      </c>
      <c r="K202" s="160">
        <v>16</v>
      </c>
      <c r="L202" s="160">
        <v>16</v>
      </c>
      <c r="M202" s="160">
        <v>16</v>
      </c>
      <c r="N202" s="160">
        <v>16</v>
      </c>
      <c r="O202" s="160">
        <v>16</v>
      </c>
      <c r="P202" s="160">
        <v>16</v>
      </c>
      <c r="Q202" s="160">
        <v>1</v>
      </c>
      <c r="R202" s="160">
        <v>1</v>
      </c>
      <c r="S202" s="160">
        <v>1</v>
      </c>
      <c r="T202" s="160">
        <v>1</v>
      </c>
      <c r="U202" s="160">
        <v>1</v>
      </c>
      <c r="V202" s="160">
        <v>16</v>
      </c>
      <c r="W202" s="160">
        <v>16</v>
      </c>
      <c r="X202" s="160">
        <v>16</v>
      </c>
      <c r="Y202" s="160">
        <v>16</v>
      </c>
      <c r="Z202" s="160">
        <v>1</v>
      </c>
      <c r="AA202" s="160">
        <v>1</v>
      </c>
      <c r="AB202" s="160">
        <v>1</v>
      </c>
      <c r="AC202" s="160">
        <v>1</v>
      </c>
      <c r="AD202" s="160">
        <v>1</v>
      </c>
      <c r="AE202" s="160">
        <v>1</v>
      </c>
      <c r="AF202" s="160">
        <v>1</v>
      </c>
      <c r="AG202" s="160">
        <v>1</v>
      </c>
      <c r="AH202" s="160">
        <v>1</v>
      </c>
      <c r="AI202" s="160">
        <v>1</v>
      </c>
      <c r="AJ202" s="160">
        <v>1</v>
      </c>
      <c r="AK202" s="160">
        <v>1</v>
      </c>
      <c r="AL202" s="160">
        <v>16</v>
      </c>
      <c r="AM202" s="160">
        <v>16</v>
      </c>
      <c r="AN202" s="160">
        <v>16</v>
      </c>
      <c r="AO202" s="160"/>
      <c r="AP202" s="160"/>
      <c r="AQ202" s="160"/>
      <c r="AR202" s="160"/>
      <c r="AS202" s="160"/>
      <c r="AT202" s="160"/>
      <c r="AU202" s="160"/>
      <c r="AV202" s="160"/>
      <c r="AW202" s="160"/>
      <c r="AX202" s="160"/>
      <c r="AY202" s="160"/>
      <c r="AZ202" s="160"/>
      <c r="BA202" s="160"/>
      <c r="BB202" s="160"/>
      <c r="BC202" s="160"/>
      <c r="BD202" s="160"/>
      <c r="BE202" s="160"/>
      <c r="BF202" s="160"/>
      <c r="BG202" s="160"/>
      <c r="BH202" s="36"/>
      <c r="BI202" s="150" cm="1">
        <f t="array" ref="BI202">IF(A202="","",IFERROR(MATCH(1,INDEX((pjNo=A202)*(pjType="Project"),0),0),""))</f>
        <v>149</v>
      </c>
      <c r="BJ202" s="150" t="str">
        <f>IF(D202="","",IFERROR(INDEX(tblStaff[Staff Level],MATCH(D202,tblStaff[Initials],0)),"?"))</f>
        <v>Director</v>
      </c>
      <c r="BK202" s="151" cm="1">
        <f t="array" ref="BK202">IF(BI202="","",INDEX(pjStart,BI202))</f>
        <v>46300</v>
      </c>
      <c r="BL202" s="151" cm="1">
        <f t="array" ref="BL202">IF(BI202="","",INDEX(pjEnd,BI202))</f>
        <v>46691</v>
      </c>
      <c r="BM202" s="150">
        <f>IF(BI202="",0,IF(C202="Active",1,IF(C202="Prospective",IF(Assumptions!$B$6="Active only",0,Assumptions!$B$7),0)))</f>
        <v>1</v>
      </c>
      <c r="BN202" s="150">
        <v>3</v>
      </c>
      <c r="BO202" s="36"/>
      <c r="BP202" s="36"/>
    </row>
    <row r="203" spans="1:68" outlineLevel="1" x14ac:dyDescent="0.25">
      <c r="A203" s="158">
        <v>2622</v>
      </c>
      <c r="B203" s="157" t="str" cm="1">
        <f t="array" ref="B203">IF(BI203="","",INDEX(pjName,BI203))</f>
        <v>Hawthorne Glen Senior Housing</v>
      </c>
      <c r="C203" s="158" t="str" cm="1">
        <f t="array" ref="C203">IF(BI203="","",IF(INDEX(pjStatus,BI203)="","",INDEX(pjStatus,BI203)))</f>
        <v>Active</v>
      </c>
      <c r="D203" s="158" t="str" cm="1">
        <f t="array" ref="D203">IFERROR(INDEX(tblStaff[Initials],BN203),"")</f>
        <v>HL</v>
      </c>
      <c r="E203" s="159" cm="1">
        <f t="array" ref="E203">IF(OR(BI203="",D203=""),"",IFERROR(SUMPRODUCT((pjNo=A203)*(pjType="Phase")*INDEX(Projects!$I$5:$O$1188,0,MATCH(D203,Projects!$I$4:$O$4,0))*pjWk),0))</f>
        <v>0</v>
      </c>
      <c r="F203" s="159">
        <f t="shared" si="86"/>
        <v>0</v>
      </c>
      <c r="G203" s="159">
        <f t="shared" si="87"/>
        <v>0</v>
      </c>
      <c r="H203" s="160"/>
      <c r="I203" s="160"/>
      <c r="J203" s="160"/>
      <c r="K203" s="160"/>
      <c r="L203" s="160"/>
      <c r="M203" s="160"/>
      <c r="N203" s="160"/>
      <c r="O203" s="160"/>
      <c r="P203" s="160"/>
      <c r="Q203" s="160"/>
      <c r="R203" s="160"/>
      <c r="S203" s="160"/>
      <c r="T203" s="160"/>
      <c r="U203" s="160"/>
      <c r="V203" s="160"/>
      <c r="W203" s="160"/>
      <c r="X203" s="160"/>
      <c r="Y203" s="160"/>
      <c r="Z203" s="160"/>
      <c r="AA203" s="160"/>
      <c r="AB203" s="160"/>
      <c r="AC203" s="160"/>
      <c r="AD203" s="160"/>
      <c r="AE203" s="160"/>
      <c r="AF203" s="160"/>
      <c r="AG203" s="160"/>
      <c r="AH203" s="160"/>
      <c r="AI203" s="160"/>
      <c r="AJ203" s="160"/>
      <c r="AK203" s="160"/>
      <c r="AL203" s="160"/>
      <c r="AM203" s="160"/>
      <c r="AN203" s="160"/>
      <c r="AO203" s="160"/>
      <c r="AP203" s="160"/>
      <c r="AQ203" s="160"/>
      <c r="AR203" s="160"/>
      <c r="AS203" s="160"/>
      <c r="AT203" s="160"/>
      <c r="AU203" s="160"/>
      <c r="AV203" s="160"/>
      <c r="AW203" s="160"/>
      <c r="AX203" s="160"/>
      <c r="AY203" s="160"/>
      <c r="AZ203" s="160"/>
      <c r="BA203" s="160"/>
      <c r="BB203" s="160"/>
      <c r="BC203" s="160"/>
      <c r="BD203" s="160"/>
      <c r="BE203" s="160"/>
      <c r="BF203" s="160"/>
      <c r="BG203" s="160"/>
      <c r="BH203" s="36"/>
      <c r="BI203" s="150" cm="1">
        <f t="array" ref="BI203">IF(A203="","",IFERROR(MATCH(1,INDEX((pjNo=A203)*(pjType="Project"),0),0),""))</f>
        <v>149</v>
      </c>
      <c r="BJ203" s="150" t="str">
        <f>IF(D203="","",IFERROR(INDEX(tblStaff[Staff Level],MATCH(D203,tblStaff[Initials],0)),"?"))</f>
        <v>Senior Designer</v>
      </c>
      <c r="BK203" s="151" cm="1">
        <f t="array" ref="BK203">IF(BI203="","",INDEX(pjStart,BI203))</f>
        <v>46300</v>
      </c>
      <c r="BL203" s="151" cm="1">
        <f t="array" ref="BL203">IF(BI203="","",INDEX(pjEnd,BI203))</f>
        <v>46691</v>
      </c>
      <c r="BM203" s="150">
        <f>IF(BI203="",0,IF(C203="Active",1,IF(C203="Prospective",IF(Assumptions!$B$6="Active only",0,Assumptions!$B$7),0)))</f>
        <v>1</v>
      </c>
      <c r="BN203" s="150">
        <v>4</v>
      </c>
      <c r="BO203" s="36"/>
      <c r="BP203" s="36"/>
    </row>
    <row r="204" spans="1:68" outlineLevel="1" x14ac:dyDescent="0.25">
      <c r="A204" s="158">
        <v>2622</v>
      </c>
      <c r="B204" s="157" t="str" cm="1">
        <f t="array" ref="B204">IF(BI204="","",INDEX(pjName,BI204))</f>
        <v>Hawthorne Glen Senior Housing</v>
      </c>
      <c r="C204" s="158" t="str" cm="1">
        <f t="array" ref="C204">IF(BI204="","",IF(INDEX(pjStatus,BI204)="","",INDEX(pjStatus,BI204)))</f>
        <v>Active</v>
      </c>
      <c r="D204" s="158" t="str" cm="1">
        <f t="array" ref="D204">IFERROR(INDEX(tblStaff[Initials],BN204),"")</f>
        <v>EHH</v>
      </c>
      <c r="E204" s="159" cm="1">
        <f t="array" ref="E204">IF(OR(BI204="",D204=""),"",IFERROR(SUMPRODUCT((pjNo=A204)*(pjType="Phase")*INDEX(Projects!$I$5:$O$1188,0,MATCH(D204,Projects!$I$4:$O$4,0))*pjWk),0))</f>
        <v>0</v>
      </c>
      <c r="F204" s="159">
        <f t="shared" si="86"/>
        <v>0</v>
      </c>
      <c r="G204" s="159">
        <f t="shared" si="87"/>
        <v>0</v>
      </c>
      <c r="H204" s="160"/>
      <c r="I204" s="160"/>
      <c r="J204" s="160"/>
      <c r="K204" s="160"/>
      <c r="L204" s="160"/>
      <c r="M204" s="160"/>
      <c r="N204" s="160"/>
      <c r="O204" s="160"/>
      <c r="P204" s="160"/>
      <c r="Q204" s="160"/>
      <c r="R204" s="160"/>
      <c r="S204" s="160"/>
      <c r="T204" s="160"/>
      <c r="U204" s="160"/>
      <c r="V204" s="160"/>
      <c r="W204" s="160"/>
      <c r="X204" s="160"/>
      <c r="Y204" s="160"/>
      <c r="Z204" s="160"/>
      <c r="AA204" s="160"/>
      <c r="AB204" s="160"/>
      <c r="AC204" s="160"/>
      <c r="AD204" s="160"/>
      <c r="AE204" s="160"/>
      <c r="AF204" s="160"/>
      <c r="AG204" s="160"/>
      <c r="AH204" s="160"/>
      <c r="AI204" s="160"/>
      <c r="AJ204" s="160"/>
      <c r="AK204" s="160"/>
      <c r="AL204" s="160"/>
      <c r="AM204" s="160"/>
      <c r="AN204" s="160"/>
      <c r="AO204" s="160"/>
      <c r="AP204" s="160"/>
      <c r="AQ204" s="160"/>
      <c r="AR204" s="160"/>
      <c r="AS204" s="160"/>
      <c r="AT204" s="160"/>
      <c r="AU204" s="160"/>
      <c r="AV204" s="160"/>
      <c r="AW204" s="160"/>
      <c r="AX204" s="160"/>
      <c r="AY204" s="160"/>
      <c r="AZ204" s="160"/>
      <c r="BA204" s="160"/>
      <c r="BB204" s="160"/>
      <c r="BC204" s="160"/>
      <c r="BD204" s="160"/>
      <c r="BE204" s="160"/>
      <c r="BF204" s="160"/>
      <c r="BG204" s="160"/>
      <c r="BH204" s="36"/>
      <c r="BI204" s="150" cm="1">
        <f t="array" ref="BI204">IF(A204="","",IFERROR(MATCH(1,INDEX((pjNo=A204)*(pjType="Project"),0),0),""))</f>
        <v>149</v>
      </c>
      <c r="BJ204" s="150" t="str">
        <f>IF(D204="","",IFERROR(INDEX(tblStaff[Staff Level],MATCH(D204,tblStaff[Initials],0)),"?"))</f>
        <v>Mid Level Designer</v>
      </c>
      <c r="BK204" s="151" cm="1">
        <f t="array" ref="BK204">IF(BI204="","",INDEX(pjStart,BI204))</f>
        <v>46300</v>
      </c>
      <c r="BL204" s="151" cm="1">
        <f t="array" ref="BL204">IF(BI204="","",INDEX(pjEnd,BI204))</f>
        <v>46691</v>
      </c>
      <c r="BM204" s="150">
        <f>IF(BI204="",0,IF(C204="Active",1,IF(C204="Prospective",IF(Assumptions!$B$6="Active only",0,Assumptions!$B$7),0)))</f>
        <v>1</v>
      </c>
      <c r="BN204" s="150">
        <v>5</v>
      </c>
      <c r="BO204" s="36"/>
      <c r="BP204" s="36"/>
    </row>
    <row r="205" spans="1:68" outlineLevel="1" x14ac:dyDescent="0.25">
      <c r="A205" s="158">
        <v>2622</v>
      </c>
      <c r="B205" s="157" t="str" cm="1">
        <f t="array" ref="B205">IF(BI205="","",INDEX(pjName,BI205))</f>
        <v>Hawthorne Glen Senior Housing</v>
      </c>
      <c r="C205" s="158" t="str" cm="1">
        <f t="array" ref="C205">IF(BI205="","",IF(INDEX(pjStatus,BI205)="","",INDEX(pjStatus,BI205)))</f>
        <v>Active</v>
      </c>
      <c r="D205" s="158" t="str" cm="1">
        <f t="array" ref="D205">IFERROR(INDEX(tblStaff[Initials],BN205),"")</f>
        <v>KD</v>
      </c>
      <c r="E205" s="159" cm="1">
        <f t="array" ref="E205">IF(OR(BI205="",D205=""),"",IFERROR(SUMPRODUCT((pjNo=A205)*(pjType="Phase")*INDEX(Projects!$I$5:$O$1188,0,MATCH(D205,Projects!$I$4:$O$4,0))*pjWk),0))</f>
        <v>328</v>
      </c>
      <c r="F205" s="159">
        <f t="shared" si="86"/>
        <v>324</v>
      </c>
      <c r="G205" s="159">
        <f t="shared" si="87"/>
        <v>4</v>
      </c>
      <c r="H205" s="160">
        <v>24</v>
      </c>
      <c r="I205" s="160">
        <v>24</v>
      </c>
      <c r="J205" s="160">
        <v>24</v>
      </c>
      <c r="K205" s="160">
        <v>24</v>
      </c>
      <c r="L205" s="160">
        <v>24</v>
      </c>
      <c r="M205" s="160">
        <v>20</v>
      </c>
      <c r="N205" s="160">
        <v>20</v>
      </c>
      <c r="O205" s="160">
        <v>20</v>
      </c>
      <c r="P205" s="160">
        <v>20</v>
      </c>
      <c r="Q205" s="160"/>
      <c r="R205" s="160"/>
      <c r="S205" s="160"/>
      <c r="T205" s="160"/>
      <c r="U205" s="160"/>
      <c r="V205" s="160">
        <v>16</v>
      </c>
      <c r="W205" s="160">
        <v>16</v>
      </c>
      <c r="X205" s="160">
        <v>16</v>
      </c>
      <c r="Y205" s="160">
        <v>16</v>
      </c>
      <c r="Z205" s="160"/>
      <c r="AA205" s="160"/>
      <c r="AB205" s="160"/>
      <c r="AC205" s="160"/>
      <c r="AD205" s="160"/>
      <c r="AE205" s="160"/>
      <c r="AF205" s="160"/>
      <c r="AG205" s="160"/>
      <c r="AH205" s="160"/>
      <c r="AI205" s="160"/>
      <c r="AJ205" s="160"/>
      <c r="AK205" s="160"/>
      <c r="AL205" s="160">
        <v>20</v>
      </c>
      <c r="AM205" s="160">
        <v>20</v>
      </c>
      <c r="AN205" s="160">
        <v>20</v>
      </c>
      <c r="AO205" s="160"/>
      <c r="AP205" s="160"/>
      <c r="AQ205" s="160"/>
      <c r="AR205" s="160"/>
      <c r="AS205" s="160"/>
      <c r="AT205" s="160"/>
      <c r="AU205" s="160"/>
      <c r="AV205" s="160"/>
      <c r="AW205" s="160"/>
      <c r="AX205" s="160"/>
      <c r="AY205" s="160"/>
      <c r="AZ205" s="160"/>
      <c r="BA205" s="160"/>
      <c r="BB205" s="160"/>
      <c r="BC205" s="160"/>
      <c r="BD205" s="160"/>
      <c r="BE205" s="160"/>
      <c r="BF205" s="160"/>
      <c r="BG205" s="160"/>
      <c r="BH205" s="36"/>
      <c r="BI205" s="150" cm="1">
        <f t="array" ref="BI205">IF(A205="","",IFERROR(MATCH(1,INDEX((pjNo=A205)*(pjType="Project"),0),0),""))</f>
        <v>149</v>
      </c>
      <c r="BJ205" s="150" t="str">
        <f>IF(D205="","",IFERROR(INDEX(tblStaff[Staff Level],MATCH(D205,tblStaff[Initials],0)),"?"))</f>
        <v>Mid Level Designer</v>
      </c>
      <c r="BK205" s="151" cm="1">
        <f t="array" ref="BK205">IF(BI205="","",INDEX(pjStart,BI205))</f>
        <v>46300</v>
      </c>
      <c r="BL205" s="151" cm="1">
        <f t="array" ref="BL205">IF(BI205="","",INDEX(pjEnd,BI205))</f>
        <v>46691</v>
      </c>
      <c r="BM205" s="150">
        <f>IF(BI205="",0,IF(C205="Active",1,IF(C205="Prospective",IF(Assumptions!$B$6="Active only",0,Assumptions!$B$7),0)))</f>
        <v>1</v>
      </c>
      <c r="BN205" s="150">
        <v>6</v>
      </c>
      <c r="BO205" s="36"/>
      <c r="BP205" s="36"/>
    </row>
    <row r="206" spans="1:68" outlineLevel="1" x14ac:dyDescent="0.25">
      <c r="A206" s="158">
        <v>2622</v>
      </c>
      <c r="B206" s="157" t="str" cm="1">
        <f t="array" ref="B206">IF(BI206="","",INDEX(pjName,BI206))</f>
        <v>Hawthorne Glen Senior Housing</v>
      </c>
      <c r="C206" s="158" t="str" cm="1">
        <f t="array" ref="C206">IF(BI206="","",IF(INDEX(pjStatus,BI206)="","",INDEX(pjStatus,BI206)))</f>
        <v>Active</v>
      </c>
      <c r="D206" s="158" t="str" cm="1">
        <f t="array" ref="D206">IFERROR(INDEX(tblStaff[Initials],BN206),"")</f>
        <v>XX</v>
      </c>
      <c r="E206" s="159" cm="1">
        <f t="array" ref="E206">IF(OR(BI206="",D206=""),"",IFERROR(SUMPRODUCT((pjNo=A206)*(pjType="Phase")*INDEX(Projects!$I$5:$O$1188,0,MATCH(D206,Projects!$I$4:$O$4,0))*pjWk),0))</f>
        <v>144</v>
      </c>
      <c r="F206" s="159">
        <f t="shared" si="86"/>
        <v>144</v>
      </c>
      <c r="G206" s="159">
        <f t="shared" si="87"/>
        <v>0</v>
      </c>
      <c r="H206" s="160">
        <v>8</v>
      </c>
      <c r="I206" s="160">
        <v>8</v>
      </c>
      <c r="J206" s="160">
        <v>8</v>
      </c>
      <c r="K206" s="160">
        <v>8</v>
      </c>
      <c r="L206" s="160">
        <v>8</v>
      </c>
      <c r="M206" s="160">
        <v>8</v>
      </c>
      <c r="N206" s="160">
        <v>8</v>
      </c>
      <c r="O206" s="160">
        <v>8</v>
      </c>
      <c r="P206" s="160">
        <v>8</v>
      </c>
      <c r="Q206" s="160"/>
      <c r="R206" s="160"/>
      <c r="S206" s="160"/>
      <c r="T206" s="160"/>
      <c r="U206" s="160"/>
      <c r="V206" s="160">
        <v>8</v>
      </c>
      <c r="W206" s="160">
        <v>20</v>
      </c>
      <c r="X206" s="160">
        <v>20</v>
      </c>
      <c r="Y206" s="160">
        <v>20</v>
      </c>
      <c r="Z206" s="160"/>
      <c r="AA206" s="160"/>
      <c r="AB206" s="160"/>
      <c r="AC206" s="160"/>
      <c r="AD206" s="160"/>
      <c r="AE206" s="160"/>
      <c r="AF206" s="160"/>
      <c r="AG206" s="160"/>
      <c r="AH206" s="160"/>
      <c r="AI206" s="160"/>
      <c r="AJ206" s="160"/>
      <c r="AK206" s="160"/>
      <c r="AL206" s="160">
        <v>4</v>
      </c>
      <c r="AM206" s="160"/>
      <c r="AN206" s="160"/>
      <c r="AO206" s="160"/>
      <c r="AP206" s="160"/>
      <c r="AQ206" s="160"/>
      <c r="AR206" s="160"/>
      <c r="AS206" s="160"/>
      <c r="AT206" s="160"/>
      <c r="AU206" s="160"/>
      <c r="AV206" s="160"/>
      <c r="AW206" s="160"/>
      <c r="AX206" s="160"/>
      <c r="AY206" s="160"/>
      <c r="AZ206" s="160"/>
      <c r="BA206" s="160"/>
      <c r="BB206" s="160"/>
      <c r="BC206" s="160"/>
      <c r="BD206" s="160"/>
      <c r="BE206" s="160"/>
      <c r="BF206" s="160"/>
      <c r="BG206" s="160"/>
      <c r="BH206" s="36"/>
      <c r="BI206" s="150" cm="1">
        <f t="array" ref="BI206">IF(A206="","",IFERROR(MATCH(1,INDEX((pjNo=A206)*(pjType="Project"),0),0),""))</f>
        <v>149</v>
      </c>
      <c r="BJ206" s="150" t="str">
        <f>IF(D206="","",IFERROR(INDEX(tblStaff[Staff Level],MATCH(D206,tblStaff[Initials],0)),"?"))</f>
        <v>Project Designer</v>
      </c>
      <c r="BK206" s="151" cm="1">
        <f t="array" ref="BK206">IF(BI206="","",INDEX(pjStart,BI206))</f>
        <v>46300</v>
      </c>
      <c r="BL206" s="151" cm="1">
        <f t="array" ref="BL206">IF(BI206="","",INDEX(pjEnd,BI206))</f>
        <v>46691</v>
      </c>
      <c r="BM206" s="150">
        <f>IF(BI206="",0,IF(C206="Active",1,IF(C206="Prospective",IF(Assumptions!$B$6="Active only",0,Assumptions!$B$7),0)))</f>
        <v>1</v>
      </c>
      <c r="BN206" s="150">
        <v>7</v>
      </c>
      <c r="BO206" s="36"/>
      <c r="BP206" s="36"/>
    </row>
    <row r="207" spans="1:68" outlineLevel="1" x14ac:dyDescent="0.25">
      <c r="A207" s="162">
        <v>2622</v>
      </c>
      <c r="B207" s="161" t="str" cm="1">
        <f t="array" ref="B207">IF(BI207="","",INDEX(pjName,BI207))</f>
        <v>Hawthorne Glen Senior Housing</v>
      </c>
      <c r="C207" s="162" t="str" cm="1">
        <f t="array" ref="C207">IF(BI207="","",IF(INDEX(pjStatus,BI207)="","",INDEX(pjStatus,BI207)))</f>
        <v>Active</v>
      </c>
      <c r="D207" s="162" t="str" cm="1">
        <f t="array" ref="D207">IFERROR(INDEX(tblStaff[Initials],BN207),"")</f>
        <v/>
      </c>
      <c r="E207" s="163" t="str" cm="1">
        <f t="array" ref="E207">IF(OR(BI207="",D207=""),"",IFERROR(SUMPRODUCT((pjNo=A207)*(pjType="Phase")*INDEX(Projects!$I$5:$O$1188,0,MATCH(D207,Projects!$I$4:$O$4,0))*pjWk),0))</f>
        <v/>
      </c>
      <c r="F207" s="163">
        <f t="shared" si="86"/>
        <v>0</v>
      </c>
      <c r="G207" s="163" t="str">
        <f t="shared" si="87"/>
        <v/>
      </c>
      <c r="H207" s="164"/>
      <c r="I207" s="164"/>
      <c r="J207" s="164"/>
      <c r="K207" s="164"/>
      <c r="L207" s="164"/>
      <c r="M207" s="164"/>
      <c r="N207" s="164"/>
      <c r="O207" s="164"/>
      <c r="P207" s="164"/>
      <c r="Q207" s="164"/>
      <c r="R207" s="164"/>
      <c r="S207" s="164"/>
      <c r="T207" s="164"/>
      <c r="U207" s="164"/>
      <c r="V207" s="164"/>
      <c r="W207" s="164"/>
      <c r="X207" s="164"/>
      <c r="Y207" s="164"/>
      <c r="Z207" s="164"/>
      <c r="AA207" s="164"/>
      <c r="AB207" s="164"/>
      <c r="AC207" s="164"/>
      <c r="AD207" s="164"/>
      <c r="AE207" s="164"/>
      <c r="AF207" s="164"/>
      <c r="AG207" s="164"/>
      <c r="AH207" s="164"/>
      <c r="AI207" s="164"/>
      <c r="AJ207" s="164"/>
      <c r="AK207" s="164"/>
      <c r="AL207" s="164"/>
      <c r="AM207" s="164"/>
      <c r="AN207" s="164"/>
      <c r="AO207" s="164"/>
      <c r="AP207" s="164"/>
      <c r="AQ207" s="164"/>
      <c r="AR207" s="164"/>
      <c r="AS207" s="164"/>
      <c r="AT207" s="164"/>
      <c r="AU207" s="164"/>
      <c r="AV207" s="164"/>
      <c r="AW207" s="164"/>
      <c r="AX207" s="164"/>
      <c r="AY207" s="164"/>
      <c r="AZ207" s="164"/>
      <c r="BA207" s="164"/>
      <c r="BB207" s="164"/>
      <c r="BC207" s="164"/>
      <c r="BD207" s="164"/>
      <c r="BE207" s="164"/>
      <c r="BF207" s="164"/>
      <c r="BG207" s="164"/>
      <c r="BH207" s="36"/>
      <c r="BI207" s="150" cm="1">
        <f t="array" ref="BI207">IF(A207="","",IFERROR(MATCH(1,INDEX((pjNo=A207)*(pjType="Project"),0),0),""))</f>
        <v>149</v>
      </c>
      <c r="BJ207" s="150" t="str">
        <f>IF(D207="","",IFERROR(INDEX(tblStaff[Staff Level],MATCH(D207,tblStaff[Initials],0)),"?"))</f>
        <v/>
      </c>
      <c r="BK207" s="151" cm="1">
        <f t="array" ref="BK207">IF(BI207="","",INDEX(pjStart,BI207))</f>
        <v>46300</v>
      </c>
      <c r="BL207" s="151" cm="1">
        <f t="array" ref="BL207">IF(BI207="","",INDEX(pjEnd,BI207))</f>
        <v>46691</v>
      </c>
      <c r="BM207" s="150">
        <f>IF(BI207="",0,IF(C207="Active",1,IF(C207="Prospective",IF(Assumptions!$B$6="Active only",0,Assumptions!$B$7),0)))</f>
        <v>1</v>
      </c>
      <c r="BN207" s="150">
        <v>8</v>
      </c>
      <c r="BO207" s="36"/>
      <c r="BP207" s="36"/>
    </row>
    <row r="208" spans="1:68" x14ac:dyDescent="0.25">
      <c r="A208" s="171"/>
      <c r="B208" s="173" t="str">
        <f>IF(A209="","",A209&amp;" · "&amp;B209)</f>
        <v>2626 · Northgate Courtyard</v>
      </c>
      <c r="C208" s="171" t="str">
        <f>IF(A209="","",C209)</f>
        <v>Active</v>
      </c>
      <c r="D208" s="171"/>
      <c r="E208" s="172">
        <f>SUM(E209:E216)</f>
        <v>0</v>
      </c>
      <c r="F208" s="172">
        <f>SUM(F209:F216)</f>
        <v>0</v>
      </c>
      <c r="G208" s="172" t="str">
        <f>IF(E208=0,"",E208-F208)</f>
        <v/>
      </c>
      <c r="H208" s="174">
        <f t="shared" ref="H208:AM208" si="88">SUM(H209:H216)</f>
        <v>0</v>
      </c>
      <c r="I208" s="174">
        <f t="shared" si="88"/>
        <v>0</v>
      </c>
      <c r="J208" s="174">
        <f t="shared" si="88"/>
        <v>0</v>
      </c>
      <c r="K208" s="174">
        <f t="shared" si="88"/>
        <v>0</v>
      </c>
      <c r="L208" s="174">
        <f t="shared" si="88"/>
        <v>0</v>
      </c>
      <c r="M208" s="174">
        <f t="shared" si="88"/>
        <v>0</v>
      </c>
      <c r="N208" s="174">
        <f t="shared" si="88"/>
        <v>0</v>
      </c>
      <c r="O208" s="174">
        <f t="shared" si="88"/>
        <v>0</v>
      </c>
      <c r="P208" s="174">
        <f t="shared" si="88"/>
        <v>0</v>
      </c>
      <c r="Q208" s="174">
        <f t="shared" si="88"/>
        <v>0</v>
      </c>
      <c r="R208" s="174">
        <f t="shared" si="88"/>
        <v>0</v>
      </c>
      <c r="S208" s="174">
        <f t="shared" si="88"/>
        <v>0</v>
      </c>
      <c r="T208" s="174">
        <f t="shared" si="88"/>
        <v>0</v>
      </c>
      <c r="U208" s="174">
        <f t="shared" si="88"/>
        <v>0</v>
      </c>
      <c r="V208" s="174">
        <f t="shared" si="88"/>
        <v>0</v>
      </c>
      <c r="W208" s="174">
        <f t="shared" si="88"/>
        <v>0</v>
      </c>
      <c r="X208" s="174">
        <f t="shared" si="88"/>
        <v>0</v>
      </c>
      <c r="Y208" s="174">
        <f t="shared" si="88"/>
        <v>0</v>
      </c>
      <c r="Z208" s="174">
        <f t="shared" si="88"/>
        <v>0</v>
      </c>
      <c r="AA208" s="174">
        <f t="shared" si="88"/>
        <v>0</v>
      </c>
      <c r="AB208" s="174">
        <f t="shared" si="88"/>
        <v>0</v>
      </c>
      <c r="AC208" s="174">
        <f t="shared" si="88"/>
        <v>0</v>
      </c>
      <c r="AD208" s="174">
        <f t="shared" si="88"/>
        <v>0</v>
      </c>
      <c r="AE208" s="174">
        <f t="shared" si="88"/>
        <v>0</v>
      </c>
      <c r="AF208" s="174">
        <f t="shared" si="88"/>
        <v>0</v>
      </c>
      <c r="AG208" s="174">
        <f t="shared" si="88"/>
        <v>0</v>
      </c>
      <c r="AH208" s="174">
        <f t="shared" si="88"/>
        <v>0</v>
      </c>
      <c r="AI208" s="174">
        <f t="shared" si="88"/>
        <v>0</v>
      </c>
      <c r="AJ208" s="174">
        <f t="shared" si="88"/>
        <v>0</v>
      </c>
      <c r="AK208" s="174">
        <f t="shared" si="88"/>
        <v>0</v>
      </c>
      <c r="AL208" s="174">
        <f t="shared" si="88"/>
        <v>0</v>
      </c>
      <c r="AM208" s="174">
        <f t="shared" si="88"/>
        <v>0</v>
      </c>
      <c r="AN208" s="174">
        <f t="shared" ref="AN208:BG208" si="89">SUM(AN209:AN216)</f>
        <v>0</v>
      </c>
      <c r="AO208" s="174">
        <f t="shared" si="89"/>
        <v>0</v>
      </c>
      <c r="AP208" s="174">
        <f t="shared" si="89"/>
        <v>0</v>
      </c>
      <c r="AQ208" s="174">
        <f t="shared" si="89"/>
        <v>0</v>
      </c>
      <c r="AR208" s="174">
        <f t="shared" si="89"/>
        <v>0</v>
      </c>
      <c r="AS208" s="174">
        <f t="shared" si="89"/>
        <v>0</v>
      </c>
      <c r="AT208" s="174">
        <f t="shared" si="89"/>
        <v>0</v>
      </c>
      <c r="AU208" s="174">
        <f t="shared" si="89"/>
        <v>0</v>
      </c>
      <c r="AV208" s="174">
        <f t="shared" si="89"/>
        <v>0</v>
      </c>
      <c r="AW208" s="174">
        <f t="shared" si="89"/>
        <v>0</v>
      </c>
      <c r="AX208" s="174">
        <f t="shared" si="89"/>
        <v>0</v>
      </c>
      <c r="AY208" s="174">
        <f t="shared" si="89"/>
        <v>0</v>
      </c>
      <c r="AZ208" s="174">
        <f t="shared" si="89"/>
        <v>0</v>
      </c>
      <c r="BA208" s="174">
        <f t="shared" si="89"/>
        <v>0</v>
      </c>
      <c r="BB208" s="174">
        <f t="shared" si="89"/>
        <v>0</v>
      </c>
      <c r="BC208" s="174">
        <f t="shared" si="89"/>
        <v>0</v>
      </c>
      <c r="BD208" s="174">
        <f t="shared" si="89"/>
        <v>0</v>
      </c>
      <c r="BE208" s="174">
        <f t="shared" si="89"/>
        <v>0</v>
      </c>
      <c r="BF208" s="174">
        <f t="shared" si="89"/>
        <v>0</v>
      </c>
      <c r="BG208" s="174">
        <f t="shared" si="89"/>
        <v>0</v>
      </c>
      <c r="BH208" s="36"/>
      <c r="BI208" s="150"/>
      <c r="BJ208" s="150"/>
      <c r="BK208" s="151"/>
      <c r="BL208" s="151"/>
      <c r="BM208" s="150"/>
      <c r="BN208" s="150"/>
      <c r="BO208" s="36"/>
      <c r="BP208" s="36"/>
    </row>
    <row r="209" spans="1:68" hidden="1" outlineLevel="1" x14ac:dyDescent="0.25">
      <c r="A209" s="167">
        <v>2626</v>
      </c>
      <c r="B209" s="168" t="str" cm="1">
        <f t="array" ref="B209">IF(BI209="","",INDEX(pjName,BI209))</f>
        <v>Northgate Courtyard</v>
      </c>
      <c r="C209" s="167" t="str" cm="1">
        <f t="array" ref="C209">IF(BI209="","",IF(INDEX(pjStatus,BI209)="","",INDEX(pjStatus,BI209)))</f>
        <v>Active</v>
      </c>
      <c r="D209" s="167" t="str" cm="1">
        <f t="array" ref="D209">IFERROR(INDEX(tblStaff[Initials],BN209),"")</f>
        <v>PK</v>
      </c>
      <c r="E209" s="169" cm="1">
        <f t="array" ref="E209">IF(OR(BI209="",D209=""),"",IFERROR(SUMPRODUCT((pjNo=A209)*(pjType="Phase")*INDEX(Projects!$I$5:$O$1188,0,MATCH(D209,Projects!$I$4:$O$4,0))*pjWk),0))</f>
        <v>0</v>
      </c>
      <c r="F209" s="169">
        <f t="shared" ref="F209:F216" si="90">IF(BI209="","",SUM(H209:BG209))</f>
        <v>0</v>
      </c>
      <c r="G209" s="169">
        <f t="shared" ref="G209:G216" si="91">IF(OR(E209="",F209=""),"",E209-F209)</f>
        <v>0</v>
      </c>
      <c r="H209" s="170"/>
      <c r="I209" s="170"/>
      <c r="J209" s="170"/>
      <c r="K209" s="170"/>
      <c r="L209" s="170"/>
      <c r="M209" s="170"/>
      <c r="N209" s="170"/>
      <c r="O209" s="170"/>
      <c r="P209" s="170"/>
      <c r="Q209" s="170"/>
      <c r="R209" s="170"/>
      <c r="S209" s="170"/>
      <c r="T209" s="170"/>
      <c r="U209" s="170"/>
      <c r="V209" s="170"/>
      <c r="W209" s="170"/>
      <c r="X209" s="170"/>
      <c r="Y209" s="170"/>
      <c r="Z209" s="170"/>
      <c r="AA209" s="170"/>
      <c r="AB209" s="170"/>
      <c r="AC209" s="170"/>
      <c r="AD209" s="170"/>
      <c r="AE209" s="170"/>
      <c r="AF209" s="170"/>
      <c r="AG209" s="170"/>
      <c r="AH209" s="170"/>
      <c r="AI209" s="170"/>
      <c r="AJ209" s="170"/>
      <c r="AK209" s="170"/>
      <c r="AL209" s="170"/>
      <c r="AM209" s="170"/>
      <c r="AN209" s="170"/>
      <c r="AO209" s="170"/>
      <c r="AP209" s="170"/>
      <c r="AQ209" s="170"/>
      <c r="AR209" s="170"/>
      <c r="AS209" s="170"/>
      <c r="AT209" s="170"/>
      <c r="AU209" s="170"/>
      <c r="AV209" s="170"/>
      <c r="AW209" s="170"/>
      <c r="AX209" s="170"/>
      <c r="AY209" s="170"/>
      <c r="AZ209" s="170"/>
      <c r="BA209" s="170"/>
      <c r="BB209" s="170"/>
      <c r="BC209" s="170"/>
      <c r="BD209" s="170"/>
      <c r="BE209" s="170"/>
      <c r="BF209" s="170"/>
      <c r="BG209" s="170"/>
      <c r="BH209" s="36"/>
      <c r="BI209" s="150" cm="1">
        <f t="array" ref="BI209">IF(A209="","",IFERROR(MATCH(1,INDEX((pjNo=A209)*(pjType="Project"),0),0),""))</f>
        <v>153</v>
      </c>
      <c r="BJ209" s="150" t="str">
        <f>IF(D209="","",IFERROR(INDEX(tblStaff[Staff Level],MATCH(D209,tblStaff[Initials],0)),"?"))</f>
        <v>Principal</v>
      </c>
      <c r="BK209" s="151" t="str" cm="1">
        <f t="array" ref="BK209">IF(BI209="","",INDEX(pjStart,BI209))</f>
        <v/>
      </c>
      <c r="BL209" s="151" t="str" cm="1">
        <f t="array" ref="BL209">IF(BI209="","",INDEX(pjEnd,BI209))</f>
        <v/>
      </c>
      <c r="BM209" s="150">
        <f>IF(BI209="",0,IF(C209="Active",1,IF(C209="Prospective",IF(Assumptions!$B$6="Active only",0,Assumptions!$B$7),0)))</f>
        <v>1</v>
      </c>
      <c r="BN209" s="150">
        <v>1</v>
      </c>
      <c r="BO209" s="36"/>
      <c r="BP209" s="36"/>
    </row>
    <row r="210" spans="1:68" hidden="1" outlineLevel="1" x14ac:dyDescent="0.25">
      <c r="A210" s="167">
        <v>2626</v>
      </c>
      <c r="B210" s="168" t="str" cm="1">
        <f t="array" ref="B210">IF(BI210="","",INDEX(pjName,BI210))</f>
        <v>Northgate Courtyard</v>
      </c>
      <c r="C210" s="167" t="str" cm="1">
        <f t="array" ref="C210">IF(BI210="","",IF(INDEX(pjStatus,BI210)="","",INDEX(pjStatus,BI210)))</f>
        <v>Active</v>
      </c>
      <c r="D210" s="167" t="str" cm="1">
        <f t="array" ref="D210">IFERROR(INDEX(tblStaff[Initials],BN210),"")</f>
        <v>DF</v>
      </c>
      <c r="E210" s="169" cm="1">
        <f t="array" ref="E210">IF(OR(BI210="",D210=""),"",IFERROR(SUMPRODUCT((pjNo=A210)*(pjType="Phase")*INDEX(Projects!$I$5:$O$1188,0,MATCH(D210,Projects!$I$4:$O$4,0))*pjWk),0))</f>
        <v>0</v>
      </c>
      <c r="F210" s="169">
        <f t="shared" si="90"/>
        <v>0</v>
      </c>
      <c r="G210" s="169">
        <f t="shared" si="91"/>
        <v>0</v>
      </c>
      <c r="H210" s="170"/>
      <c r="I210" s="170"/>
      <c r="J210" s="170"/>
      <c r="K210" s="170"/>
      <c r="L210" s="170"/>
      <c r="M210" s="170"/>
      <c r="N210" s="170"/>
      <c r="O210" s="170"/>
      <c r="P210" s="170"/>
      <c r="Q210" s="170"/>
      <c r="R210" s="170"/>
      <c r="S210" s="170"/>
      <c r="T210" s="170"/>
      <c r="U210" s="170"/>
      <c r="V210" s="170"/>
      <c r="W210" s="170"/>
      <c r="X210" s="170"/>
      <c r="Y210" s="170"/>
      <c r="Z210" s="170"/>
      <c r="AA210" s="170"/>
      <c r="AB210" s="170"/>
      <c r="AC210" s="170"/>
      <c r="AD210" s="170"/>
      <c r="AE210" s="170"/>
      <c r="AF210" s="170"/>
      <c r="AG210" s="170"/>
      <c r="AH210" s="170"/>
      <c r="AI210" s="170"/>
      <c r="AJ210" s="170"/>
      <c r="AK210" s="170"/>
      <c r="AL210" s="170"/>
      <c r="AM210" s="170"/>
      <c r="AN210" s="170"/>
      <c r="AO210" s="170"/>
      <c r="AP210" s="170"/>
      <c r="AQ210" s="170"/>
      <c r="AR210" s="170"/>
      <c r="AS210" s="170"/>
      <c r="AT210" s="170"/>
      <c r="AU210" s="170"/>
      <c r="AV210" s="170"/>
      <c r="AW210" s="170"/>
      <c r="AX210" s="170"/>
      <c r="AY210" s="170"/>
      <c r="AZ210" s="170"/>
      <c r="BA210" s="170"/>
      <c r="BB210" s="170"/>
      <c r="BC210" s="170"/>
      <c r="BD210" s="170"/>
      <c r="BE210" s="170"/>
      <c r="BF210" s="170"/>
      <c r="BG210" s="170"/>
      <c r="BH210" s="36"/>
      <c r="BI210" s="150" cm="1">
        <f t="array" ref="BI210">IF(A210="","",IFERROR(MATCH(1,INDEX((pjNo=A210)*(pjType="Project"),0),0),""))</f>
        <v>153</v>
      </c>
      <c r="BJ210" s="150" t="str">
        <f>IF(D210="","",IFERROR(INDEX(tblStaff[Staff Level],MATCH(D210,tblStaff[Initials],0)),"?"))</f>
        <v>Principal</v>
      </c>
      <c r="BK210" s="151" t="str" cm="1">
        <f t="array" ref="BK210">IF(BI210="","",INDEX(pjStart,BI210))</f>
        <v/>
      </c>
      <c r="BL210" s="151" t="str" cm="1">
        <f t="array" ref="BL210">IF(BI210="","",INDEX(pjEnd,BI210))</f>
        <v/>
      </c>
      <c r="BM210" s="150">
        <f>IF(BI210="",0,IF(C210="Active",1,IF(C210="Prospective",IF(Assumptions!$B$6="Active only",0,Assumptions!$B$7),0)))</f>
        <v>1</v>
      </c>
      <c r="BN210" s="150">
        <v>2</v>
      </c>
      <c r="BO210" s="36"/>
      <c r="BP210" s="36"/>
    </row>
    <row r="211" spans="1:68" hidden="1" outlineLevel="1" x14ac:dyDescent="0.25">
      <c r="A211" s="158">
        <v>2626</v>
      </c>
      <c r="B211" s="157" t="str" cm="1">
        <f t="array" ref="B211">IF(BI211="","",INDEX(pjName,BI211))</f>
        <v>Northgate Courtyard</v>
      </c>
      <c r="C211" s="158" t="str" cm="1">
        <f t="array" ref="C211">IF(BI211="","",IF(INDEX(pjStatus,BI211)="","",INDEX(pjStatus,BI211)))</f>
        <v>Active</v>
      </c>
      <c r="D211" s="158" t="str" cm="1">
        <f t="array" ref="D211">IFERROR(INDEX(tblStaff[Initials],BN211),"")</f>
        <v>KJ</v>
      </c>
      <c r="E211" s="159" cm="1">
        <f t="array" ref="E211">IF(OR(BI211="",D211=""),"",IFERROR(SUMPRODUCT((pjNo=A211)*(pjType="Phase")*INDEX(Projects!$I$5:$O$1188,0,MATCH(D211,Projects!$I$4:$O$4,0))*pjWk),0))</f>
        <v>0</v>
      </c>
      <c r="F211" s="159">
        <f t="shared" si="90"/>
        <v>0</v>
      </c>
      <c r="G211" s="159">
        <f t="shared" si="91"/>
        <v>0</v>
      </c>
      <c r="H211" s="160"/>
      <c r="I211" s="160"/>
      <c r="J211" s="160"/>
      <c r="K211" s="160"/>
      <c r="L211" s="160"/>
      <c r="M211" s="160"/>
      <c r="N211" s="160"/>
      <c r="O211" s="160"/>
      <c r="P211" s="160"/>
      <c r="Q211" s="160"/>
      <c r="R211" s="160"/>
      <c r="S211" s="160"/>
      <c r="T211" s="160"/>
      <c r="U211" s="160"/>
      <c r="V211" s="160"/>
      <c r="W211" s="160"/>
      <c r="X211" s="160"/>
      <c r="Y211" s="160"/>
      <c r="Z211" s="160"/>
      <c r="AA211" s="160"/>
      <c r="AB211" s="160"/>
      <c r="AC211" s="160"/>
      <c r="AD211" s="160"/>
      <c r="AE211" s="160"/>
      <c r="AF211" s="160"/>
      <c r="AG211" s="160"/>
      <c r="AH211" s="160"/>
      <c r="AI211" s="160"/>
      <c r="AJ211" s="160"/>
      <c r="AK211" s="160"/>
      <c r="AL211" s="160"/>
      <c r="AM211" s="160"/>
      <c r="AN211" s="160"/>
      <c r="AO211" s="160"/>
      <c r="AP211" s="160"/>
      <c r="AQ211" s="160"/>
      <c r="AR211" s="160"/>
      <c r="AS211" s="160"/>
      <c r="AT211" s="160"/>
      <c r="AU211" s="160"/>
      <c r="AV211" s="160"/>
      <c r="AW211" s="160"/>
      <c r="AX211" s="160"/>
      <c r="AY211" s="160"/>
      <c r="AZ211" s="160"/>
      <c r="BA211" s="160"/>
      <c r="BB211" s="160"/>
      <c r="BC211" s="160"/>
      <c r="BD211" s="160"/>
      <c r="BE211" s="160"/>
      <c r="BF211" s="160"/>
      <c r="BG211" s="160"/>
      <c r="BH211" s="36"/>
      <c r="BI211" s="150" cm="1">
        <f t="array" ref="BI211">IF(A211="","",IFERROR(MATCH(1,INDEX((pjNo=A211)*(pjType="Project"),0),0),""))</f>
        <v>153</v>
      </c>
      <c r="BJ211" s="150" t="str">
        <f>IF(D211="","",IFERROR(INDEX(tblStaff[Staff Level],MATCH(D211,tblStaff[Initials],0)),"?"))</f>
        <v>Director</v>
      </c>
      <c r="BK211" s="151" t="str" cm="1">
        <f t="array" ref="BK211">IF(BI211="","",INDEX(pjStart,BI211))</f>
        <v/>
      </c>
      <c r="BL211" s="151" t="str" cm="1">
        <f t="array" ref="BL211">IF(BI211="","",INDEX(pjEnd,BI211))</f>
        <v/>
      </c>
      <c r="BM211" s="150">
        <f>IF(BI211="",0,IF(C211="Active",1,IF(C211="Prospective",IF(Assumptions!$B$6="Active only",0,Assumptions!$B$7),0)))</f>
        <v>1</v>
      </c>
      <c r="BN211" s="150">
        <v>3</v>
      </c>
      <c r="BO211" s="36"/>
      <c r="BP211" s="36"/>
    </row>
    <row r="212" spans="1:68" hidden="1" outlineLevel="1" x14ac:dyDescent="0.25">
      <c r="A212" s="158">
        <v>2626</v>
      </c>
      <c r="B212" s="157" t="str" cm="1">
        <f t="array" ref="B212">IF(BI212="","",INDEX(pjName,BI212))</f>
        <v>Northgate Courtyard</v>
      </c>
      <c r="C212" s="158" t="str" cm="1">
        <f t="array" ref="C212">IF(BI212="","",IF(INDEX(pjStatus,BI212)="","",INDEX(pjStatus,BI212)))</f>
        <v>Active</v>
      </c>
      <c r="D212" s="158" t="str" cm="1">
        <f t="array" ref="D212">IFERROR(INDEX(tblStaff[Initials],BN212),"")</f>
        <v>HL</v>
      </c>
      <c r="E212" s="159" cm="1">
        <f t="array" ref="E212">IF(OR(BI212="",D212=""),"",IFERROR(SUMPRODUCT((pjNo=A212)*(pjType="Phase")*INDEX(Projects!$I$5:$O$1188,0,MATCH(D212,Projects!$I$4:$O$4,0))*pjWk),0))</f>
        <v>0</v>
      </c>
      <c r="F212" s="159">
        <f t="shared" si="90"/>
        <v>0</v>
      </c>
      <c r="G212" s="159">
        <f t="shared" si="91"/>
        <v>0</v>
      </c>
      <c r="H212" s="160"/>
      <c r="I212" s="160"/>
      <c r="J212" s="160"/>
      <c r="K212" s="160"/>
      <c r="L212" s="160"/>
      <c r="M212" s="160"/>
      <c r="N212" s="160"/>
      <c r="O212" s="160"/>
      <c r="P212" s="160"/>
      <c r="Q212" s="160"/>
      <c r="R212" s="160"/>
      <c r="S212" s="160"/>
      <c r="T212" s="160"/>
      <c r="U212" s="160"/>
      <c r="V212" s="160"/>
      <c r="W212" s="160"/>
      <c r="X212" s="160"/>
      <c r="Y212" s="160"/>
      <c r="Z212" s="160"/>
      <c r="AA212" s="160"/>
      <c r="AB212" s="160"/>
      <c r="AC212" s="160"/>
      <c r="AD212" s="160"/>
      <c r="AE212" s="160"/>
      <c r="AF212" s="160"/>
      <c r="AG212" s="160"/>
      <c r="AH212" s="160"/>
      <c r="AI212" s="160"/>
      <c r="AJ212" s="160"/>
      <c r="AK212" s="160"/>
      <c r="AL212" s="160"/>
      <c r="AM212" s="160"/>
      <c r="AN212" s="160"/>
      <c r="AO212" s="160"/>
      <c r="AP212" s="160"/>
      <c r="AQ212" s="160"/>
      <c r="AR212" s="160"/>
      <c r="AS212" s="160"/>
      <c r="AT212" s="160"/>
      <c r="AU212" s="160"/>
      <c r="AV212" s="160"/>
      <c r="AW212" s="160"/>
      <c r="AX212" s="160"/>
      <c r="AY212" s="160"/>
      <c r="AZ212" s="160"/>
      <c r="BA212" s="160"/>
      <c r="BB212" s="160"/>
      <c r="BC212" s="160"/>
      <c r="BD212" s="160"/>
      <c r="BE212" s="160"/>
      <c r="BF212" s="160"/>
      <c r="BG212" s="160"/>
      <c r="BH212" s="36"/>
      <c r="BI212" s="150" cm="1">
        <f t="array" ref="BI212">IF(A212="","",IFERROR(MATCH(1,INDEX((pjNo=A212)*(pjType="Project"),0),0),""))</f>
        <v>153</v>
      </c>
      <c r="BJ212" s="150" t="str">
        <f>IF(D212="","",IFERROR(INDEX(tblStaff[Staff Level],MATCH(D212,tblStaff[Initials],0)),"?"))</f>
        <v>Senior Designer</v>
      </c>
      <c r="BK212" s="151" t="str" cm="1">
        <f t="array" ref="BK212">IF(BI212="","",INDEX(pjStart,BI212))</f>
        <v/>
      </c>
      <c r="BL212" s="151" t="str" cm="1">
        <f t="array" ref="BL212">IF(BI212="","",INDEX(pjEnd,BI212))</f>
        <v/>
      </c>
      <c r="BM212" s="150">
        <f>IF(BI212="",0,IF(C212="Active",1,IF(C212="Prospective",IF(Assumptions!$B$6="Active only",0,Assumptions!$B$7),0)))</f>
        <v>1</v>
      </c>
      <c r="BN212" s="150">
        <v>4</v>
      </c>
      <c r="BO212" s="36"/>
      <c r="BP212" s="36"/>
    </row>
    <row r="213" spans="1:68" hidden="1" outlineLevel="1" x14ac:dyDescent="0.25">
      <c r="A213" s="158">
        <v>2626</v>
      </c>
      <c r="B213" s="157" t="str" cm="1">
        <f t="array" ref="B213">IF(BI213="","",INDEX(pjName,BI213))</f>
        <v>Northgate Courtyard</v>
      </c>
      <c r="C213" s="158" t="str" cm="1">
        <f t="array" ref="C213">IF(BI213="","",IF(INDEX(pjStatus,BI213)="","",INDEX(pjStatus,BI213)))</f>
        <v>Active</v>
      </c>
      <c r="D213" s="158" t="str" cm="1">
        <f t="array" ref="D213">IFERROR(INDEX(tblStaff[Initials],BN213),"")</f>
        <v>EHH</v>
      </c>
      <c r="E213" s="159" cm="1">
        <f t="array" ref="E213">IF(OR(BI213="",D213=""),"",IFERROR(SUMPRODUCT((pjNo=A213)*(pjType="Phase")*INDEX(Projects!$I$5:$O$1188,0,MATCH(D213,Projects!$I$4:$O$4,0))*pjWk),0))</f>
        <v>0</v>
      </c>
      <c r="F213" s="159">
        <f t="shared" si="90"/>
        <v>0</v>
      </c>
      <c r="G213" s="159">
        <f t="shared" si="91"/>
        <v>0</v>
      </c>
      <c r="H213" s="160"/>
      <c r="I213" s="160"/>
      <c r="J213" s="160"/>
      <c r="K213" s="160"/>
      <c r="L213" s="160"/>
      <c r="M213" s="160"/>
      <c r="N213" s="160"/>
      <c r="O213" s="160"/>
      <c r="P213" s="160"/>
      <c r="Q213" s="160"/>
      <c r="R213" s="160"/>
      <c r="S213" s="160"/>
      <c r="T213" s="160"/>
      <c r="U213" s="160"/>
      <c r="V213" s="160"/>
      <c r="W213" s="160"/>
      <c r="X213" s="160"/>
      <c r="Y213" s="160"/>
      <c r="Z213" s="160"/>
      <c r="AA213" s="160"/>
      <c r="AB213" s="160"/>
      <c r="AC213" s="160"/>
      <c r="AD213" s="160"/>
      <c r="AE213" s="160"/>
      <c r="AF213" s="160"/>
      <c r="AG213" s="160"/>
      <c r="AH213" s="160"/>
      <c r="AI213" s="160"/>
      <c r="AJ213" s="160"/>
      <c r="AK213" s="160"/>
      <c r="AL213" s="160"/>
      <c r="AM213" s="160"/>
      <c r="AN213" s="160"/>
      <c r="AO213" s="160"/>
      <c r="AP213" s="160"/>
      <c r="AQ213" s="160"/>
      <c r="AR213" s="160"/>
      <c r="AS213" s="160"/>
      <c r="AT213" s="160"/>
      <c r="AU213" s="160"/>
      <c r="AV213" s="160"/>
      <c r="AW213" s="160"/>
      <c r="AX213" s="160"/>
      <c r="AY213" s="160"/>
      <c r="AZ213" s="160"/>
      <c r="BA213" s="160"/>
      <c r="BB213" s="160"/>
      <c r="BC213" s="160"/>
      <c r="BD213" s="160"/>
      <c r="BE213" s="160"/>
      <c r="BF213" s="160"/>
      <c r="BG213" s="160"/>
      <c r="BH213" s="36"/>
      <c r="BI213" s="150" cm="1">
        <f t="array" ref="BI213">IF(A213="","",IFERROR(MATCH(1,INDEX((pjNo=A213)*(pjType="Project"),0),0),""))</f>
        <v>153</v>
      </c>
      <c r="BJ213" s="150" t="str">
        <f>IF(D213="","",IFERROR(INDEX(tblStaff[Staff Level],MATCH(D213,tblStaff[Initials],0)),"?"))</f>
        <v>Mid Level Designer</v>
      </c>
      <c r="BK213" s="151" t="str" cm="1">
        <f t="array" ref="BK213">IF(BI213="","",INDEX(pjStart,BI213))</f>
        <v/>
      </c>
      <c r="BL213" s="151" t="str" cm="1">
        <f t="array" ref="BL213">IF(BI213="","",INDEX(pjEnd,BI213))</f>
        <v/>
      </c>
      <c r="BM213" s="150">
        <f>IF(BI213="",0,IF(C213="Active",1,IF(C213="Prospective",IF(Assumptions!$B$6="Active only",0,Assumptions!$B$7),0)))</f>
        <v>1</v>
      </c>
      <c r="BN213" s="150">
        <v>5</v>
      </c>
      <c r="BO213" s="36"/>
      <c r="BP213" s="36"/>
    </row>
    <row r="214" spans="1:68" hidden="1" outlineLevel="1" x14ac:dyDescent="0.25">
      <c r="A214" s="158">
        <v>2626</v>
      </c>
      <c r="B214" s="157" t="str" cm="1">
        <f t="array" ref="B214">IF(BI214="","",INDEX(pjName,BI214))</f>
        <v>Northgate Courtyard</v>
      </c>
      <c r="C214" s="158" t="str" cm="1">
        <f t="array" ref="C214">IF(BI214="","",IF(INDEX(pjStatus,BI214)="","",INDEX(pjStatus,BI214)))</f>
        <v>Active</v>
      </c>
      <c r="D214" s="158" t="str" cm="1">
        <f t="array" ref="D214">IFERROR(INDEX(tblStaff[Initials],BN214),"")</f>
        <v>KD</v>
      </c>
      <c r="E214" s="159" cm="1">
        <f t="array" ref="E214">IF(OR(BI214="",D214=""),"",IFERROR(SUMPRODUCT((pjNo=A214)*(pjType="Phase")*INDEX(Projects!$I$5:$O$1188,0,MATCH(D214,Projects!$I$4:$O$4,0))*pjWk),0))</f>
        <v>0</v>
      </c>
      <c r="F214" s="159">
        <f t="shared" si="90"/>
        <v>0</v>
      </c>
      <c r="G214" s="159">
        <f t="shared" si="91"/>
        <v>0</v>
      </c>
      <c r="H214" s="160"/>
      <c r="I214" s="160"/>
      <c r="J214" s="160"/>
      <c r="K214" s="160"/>
      <c r="L214" s="160"/>
      <c r="M214" s="160"/>
      <c r="N214" s="160"/>
      <c r="O214" s="160"/>
      <c r="P214" s="160"/>
      <c r="Q214" s="160"/>
      <c r="R214" s="160"/>
      <c r="S214" s="160"/>
      <c r="T214" s="160"/>
      <c r="U214" s="160"/>
      <c r="V214" s="160"/>
      <c r="W214" s="160"/>
      <c r="X214" s="160"/>
      <c r="Y214" s="160"/>
      <c r="Z214" s="160"/>
      <c r="AA214" s="160"/>
      <c r="AB214" s="160"/>
      <c r="AC214" s="160"/>
      <c r="AD214" s="160"/>
      <c r="AE214" s="160"/>
      <c r="AF214" s="160"/>
      <c r="AG214" s="160"/>
      <c r="AH214" s="160"/>
      <c r="AI214" s="160"/>
      <c r="AJ214" s="160"/>
      <c r="AK214" s="160"/>
      <c r="AL214" s="160"/>
      <c r="AM214" s="160"/>
      <c r="AN214" s="160"/>
      <c r="AO214" s="160"/>
      <c r="AP214" s="160"/>
      <c r="AQ214" s="160"/>
      <c r="AR214" s="160"/>
      <c r="AS214" s="160"/>
      <c r="AT214" s="160"/>
      <c r="AU214" s="160"/>
      <c r="AV214" s="160"/>
      <c r="AW214" s="160"/>
      <c r="AX214" s="160"/>
      <c r="AY214" s="160"/>
      <c r="AZ214" s="160"/>
      <c r="BA214" s="160"/>
      <c r="BB214" s="160"/>
      <c r="BC214" s="160"/>
      <c r="BD214" s="160"/>
      <c r="BE214" s="160"/>
      <c r="BF214" s="160"/>
      <c r="BG214" s="160"/>
      <c r="BH214" s="36"/>
      <c r="BI214" s="150" cm="1">
        <f t="array" ref="BI214">IF(A214="","",IFERROR(MATCH(1,INDEX((pjNo=A214)*(pjType="Project"),0),0),""))</f>
        <v>153</v>
      </c>
      <c r="BJ214" s="150" t="str">
        <f>IF(D214="","",IFERROR(INDEX(tblStaff[Staff Level],MATCH(D214,tblStaff[Initials],0)),"?"))</f>
        <v>Mid Level Designer</v>
      </c>
      <c r="BK214" s="151" t="str" cm="1">
        <f t="array" ref="BK214">IF(BI214="","",INDEX(pjStart,BI214))</f>
        <v/>
      </c>
      <c r="BL214" s="151" t="str" cm="1">
        <f t="array" ref="BL214">IF(BI214="","",INDEX(pjEnd,BI214))</f>
        <v/>
      </c>
      <c r="BM214" s="150">
        <f>IF(BI214="",0,IF(C214="Active",1,IF(C214="Prospective",IF(Assumptions!$B$6="Active only",0,Assumptions!$B$7),0)))</f>
        <v>1</v>
      </c>
      <c r="BN214" s="150">
        <v>6</v>
      </c>
      <c r="BO214" s="36"/>
      <c r="BP214" s="36"/>
    </row>
    <row r="215" spans="1:68" hidden="1" outlineLevel="1" x14ac:dyDescent="0.25">
      <c r="A215" s="158">
        <v>2626</v>
      </c>
      <c r="B215" s="157" t="str" cm="1">
        <f t="array" ref="B215">IF(BI215="","",INDEX(pjName,BI215))</f>
        <v>Northgate Courtyard</v>
      </c>
      <c r="C215" s="158" t="str" cm="1">
        <f t="array" ref="C215">IF(BI215="","",IF(INDEX(pjStatus,BI215)="","",INDEX(pjStatus,BI215)))</f>
        <v>Active</v>
      </c>
      <c r="D215" s="158" t="str" cm="1">
        <f t="array" ref="D215">IFERROR(INDEX(tblStaff[Initials],BN215),"")</f>
        <v>XX</v>
      </c>
      <c r="E215" s="159" cm="1">
        <f t="array" ref="E215">IF(OR(BI215="",D215=""),"",IFERROR(SUMPRODUCT((pjNo=A215)*(pjType="Phase")*INDEX(Projects!$I$5:$O$1188,0,MATCH(D215,Projects!$I$4:$O$4,0))*pjWk),0))</f>
        <v>0</v>
      </c>
      <c r="F215" s="159">
        <f t="shared" si="90"/>
        <v>0</v>
      </c>
      <c r="G215" s="159">
        <f t="shared" si="91"/>
        <v>0</v>
      </c>
      <c r="H215" s="160"/>
      <c r="I215" s="160"/>
      <c r="J215" s="160"/>
      <c r="K215" s="160"/>
      <c r="L215" s="160"/>
      <c r="M215" s="160"/>
      <c r="N215" s="160"/>
      <c r="O215" s="160"/>
      <c r="P215" s="160"/>
      <c r="Q215" s="160"/>
      <c r="R215" s="160"/>
      <c r="S215" s="160"/>
      <c r="T215" s="160"/>
      <c r="U215" s="160"/>
      <c r="V215" s="160"/>
      <c r="W215" s="160"/>
      <c r="X215" s="160"/>
      <c r="Y215" s="160"/>
      <c r="Z215" s="160"/>
      <c r="AA215" s="160"/>
      <c r="AB215" s="160"/>
      <c r="AC215" s="160"/>
      <c r="AD215" s="160"/>
      <c r="AE215" s="160"/>
      <c r="AF215" s="160"/>
      <c r="AG215" s="160"/>
      <c r="AH215" s="160"/>
      <c r="AI215" s="160"/>
      <c r="AJ215" s="160"/>
      <c r="AK215" s="160"/>
      <c r="AL215" s="160"/>
      <c r="AM215" s="160"/>
      <c r="AN215" s="160"/>
      <c r="AO215" s="160"/>
      <c r="AP215" s="160"/>
      <c r="AQ215" s="160"/>
      <c r="AR215" s="160"/>
      <c r="AS215" s="160"/>
      <c r="AT215" s="160"/>
      <c r="AU215" s="160"/>
      <c r="AV215" s="160"/>
      <c r="AW215" s="160"/>
      <c r="AX215" s="160"/>
      <c r="AY215" s="160"/>
      <c r="AZ215" s="160"/>
      <c r="BA215" s="160"/>
      <c r="BB215" s="160"/>
      <c r="BC215" s="160"/>
      <c r="BD215" s="160"/>
      <c r="BE215" s="160"/>
      <c r="BF215" s="160"/>
      <c r="BG215" s="160"/>
      <c r="BH215" s="36"/>
      <c r="BI215" s="150" cm="1">
        <f t="array" ref="BI215">IF(A215="","",IFERROR(MATCH(1,INDEX((pjNo=A215)*(pjType="Project"),0),0),""))</f>
        <v>153</v>
      </c>
      <c r="BJ215" s="150" t="str">
        <f>IF(D215="","",IFERROR(INDEX(tblStaff[Staff Level],MATCH(D215,tblStaff[Initials],0)),"?"))</f>
        <v>Project Designer</v>
      </c>
      <c r="BK215" s="151" t="str" cm="1">
        <f t="array" ref="BK215">IF(BI215="","",INDEX(pjStart,BI215))</f>
        <v/>
      </c>
      <c r="BL215" s="151" t="str" cm="1">
        <f t="array" ref="BL215">IF(BI215="","",INDEX(pjEnd,BI215))</f>
        <v/>
      </c>
      <c r="BM215" s="150">
        <f>IF(BI215="",0,IF(C215="Active",1,IF(C215="Prospective",IF(Assumptions!$B$6="Active only",0,Assumptions!$B$7),0)))</f>
        <v>1</v>
      </c>
      <c r="BN215" s="150">
        <v>7</v>
      </c>
      <c r="BO215" s="36"/>
      <c r="BP215" s="36"/>
    </row>
    <row r="216" spans="1:68" hidden="1" outlineLevel="1" x14ac:dyDescent="0.25">
      <c r="A216" s="162">
        <v>2626</v>
      </c>
      <c r="B216" s="161" t="str" cm="1">
        <f t="array" ref="B216">IF(BI216="","",INDEX(pjName,BI216))</f>
        <v>Northgate Courtyard</v>
      </c>
      <c r="C216" s="162" t="str" cm="1">
        <f t="array" ref="C216">IF(BI216="","",IF(INDEX(pjStatus,BI216)="","",INDEX(pjStatus,BI216)))</f>
        <v>Active</v>
      </c>
      <c r="D216" s="162" t="str" cm="1">
        <f t="array" ref="D216">IFERROR(INDEX(tblStaff[Initials],BN216),"")</f>
        <v/>
      </c>
      <c r="E216" s="163" t="str" cm="1">
        <f t="array" ref="E216">IF(OR(BI216="",D216=""),"",IFERROR(SUMPRODUCT((pjNo=A216)*(pjType="Phase")*INDEX(Projects!$I$5:$O$1188,0,MATCH(D216,Projects!$I$4:$O$4,0))*pjWk),0))</f>
        <v/>
      </c>
      <c r="F216" s="163">
        <f t="shared" si="90"/>
        <v>0</v>
      </c>
      <c r="G216" s="163" t="str">
        <f t="shared" si="91"/>
        <v/>
      </c>
      <c r="H216" s="164"/>
      <c r="I216" s="164"/>
      <c r="J216" s="164"/>
      <c r="K216" s="164"/>
      <c r="L216" s="164"/>
      <c r="M216" s="164"/>
      <c r="N216" s="164"/>
      <c r="O216" s="164"/>
      <c r="P216" s="164"/>
      <c r="Q216" s="164"/>
      <c r="R216" s="164"/>
      <c r="S216" s="164"/>
      <c r="T216" s="164"/>
      <c r="U216" s="164"/>
      <c r="V216" s="164"/>
      <c r="W216" s="164"/>
      <c r="X216" s="164"/>
      <c r="Y216" s="164"/>
      <c r="Z216" s="164"/>
      <c r="AA216" s="164"/>
      <c r="AB216" s="164"/>
      <c r="AC216" s="164"/>
      <c r="AD216" s="164"/>
      <c r="AE216" s="164"/>
      <c r="AF216" s="164"/>
      <c r="AG216" s="164"/>
      <c r="AH216" s="164"/>
      <c r="AI216" s="164"/>
      <c r="AJ216" s="164"/>
      <c r="AK216" s="164"/>
      <c r="AL216" s="164"/>
      <c r="AM216" s="164"/>
      <c r="AN216" s="164"/>
      <c r="AO216" s="164"/>
      <c r="AP216" s="164"/>
      <c r="AQ216" s="164"/>
      <c r="AR216" s="164"/>
      <c r="AS216" s="164"/>
      <c r="AT216" s="164"/>
      <c r="AU216" s="164"/>
      <c r="AV216" s="164"/>
      <c r="AW216" s="164"/>
      <c r="AX216" s="164"/>
      <c r="AY216" s="164"/>
      <c r="AZ216" s="164"/>
      <c r="BA216" s="164"/>
      <c r="BB216" s="164"/>
      <c r="BC216" s="164"/>
      <c r="BD216" s="164"/>
      <c r="BE216" s="164"/>
      <c r="BF216" s="164"/>
      <c r="BG216" s="164"/>
      <c r="BH216" s="36"/>
      <c r="BI216" s="150" cm="1">
        <f t="array" ref="BI216">IF(A216="","",IFERROR(MATCH(1,INDEX((pjNo=A216)*(pjType="Project"),0),0),""))</f>
        <v>153</v>
      </c>
      <c r="BJ216" s="150" t="str">
        <f>IF(D216="","",IFERROR(INDEX(tblStaff[Staff Level],MATCH(D216,tblStaff[Initials],0)),"?"))</f>
        <v/>
      </c>
      <c r="BK216" s="151" t="str" cm="1">
        <f t="array" ref="BK216">IF(BI216="","",INDEX(pjStart,BI216))</f>
        <v/>
      </c>
      <c r="BL216" s="151" t="str" cm="1">
        <f t="array" ref="BL216">IF(BI216="","",INDEX(pjEnd,BI216))</f>
        <v/>
      </c>
      <c r="BM216" s="150">
        <f>IF(BI216="",0,IF(C216="Active",1,IF(C216="Prospective",IF(Assumptions!$B$6="Active only",0,Assumptions!$B$7),0)))</f>
        <v>1</v>
      </c>
      <c r="BN216" s="150">
        <v>8</v>
      </c>
      <c r="BO216" s="36"/>
      <c r="BP216" s="36"/>
    </row>
    <row r="217" spans="1:68" collapsed="1" x14ac:dyDescent="0.25">
      <c r="A217" s="171"/>
      <c r="B217" s="173" t="str">
        <f>IF(A218="","",A218&amp;" · "&amp;B218)</f>
        <v>2627 · Ridgeview Lofts</v>
      </c>
      <c r="C217" s="171" t="str">
        <f>IF(A218="","",C218)</f>
        <v>Active</v>
      </c>
      <c r="D217" s="171"/>
      <c r="E217" s="172">
        <f>SUM(E218:E225)</f>
        <v>127.5</v>
      </c>
      <c r="F217" s="172">
        <f>SUM(F218:F225)</f>
        <v>118</v>
      </c>
      <c r="G217" s="172">
        <f>IF(E217=0,"",E217-F217)</f>
        <v>9.5</v>
      </c>
      <c r="H217" s="174">
        <f t="shared" ref="H217:AM217" si="92">SUM(H218:H225)</f>
        <v>12</v>
      </c>
      <c r="I217" s="174">
        <f t="shared" si="92"/>
        <v>12</v>
      </c>
      <c r="J217" s="174">
        <f t="shared" si="92"/>
        <v>13</v>
      </c>
      <c r="K217" s="174">
        <f t="shared" si="92"/>
        <v>13</v>
      </c>
      <c r="L217" s="174">
        <f t="shared" si="92"/>
        <v>5</v>
      </c>
      <c r="M217" s="174">
        <f t="shared" si="92"/>
        <v>5</v>
      </c>
      <c r="N217" s="174">
        <f t="shared" si="92"/>
        <v>5</v>
      </c>
      <c r="O217" s="174">
        <f t="shared" si="92"/>
        <v>13</v>
      </c>
      <c r="P217" s="174">
        <f t="shared" si="92"/>
        <v>12</v>
      </c>
      <c r="Q217" s="174">
        <f t="shared" si="92"/>
        <v>4</v>
      </c>
      <c r="R217" s="174">
        <f t="shared" si="92"/>
        <v>4</v>
      </c>
      <c r="S217" s="174">
        <f t="shared" si="92"/>
        <v>8</v>
      </c>
      <c r="T217" s="174">
        <f t="shared" si="92"/>
        <v>4</v>
      </c>
      <c r="U217" s="174">
        <f t="shared" si="92"/>
        <v>4</v>
      </c>
      <c r="V217" s="174">
        <f t="shared" si="92"/>
        <v>4</v>
      </c>
      <c r="W217" s="174">
        <f t="shared" si="92"/>
        <v>0</v>
      </c>
      <c r="X217" s="174">
        <f t="shared" si="92"/>
        <v>0</v>
      </c>
      <c r="Y217" s="174">
        <f t="shared" si="92"/>
        <v>0</v>
      </c>
      <c r="Z217" s="174">
        <f t="shared" si="92"/>
        <v>0</v>
      </c>
      <c r="AA217" s="174">
        <f t="shared" si="92"/>
        <v>0</v>
      </c>
      <c r="AB217" s="174">
        <f t="shared" si="92"/>
        <v>0</v>
      </c>
      <c r="AC217" s="174">
        <f t="shared" si="92"/>
        <v>0</v>
      </c>
      <c r="AD217" s="174">
        <f t="shared" si="92"/>
        <v>0</v>
      </c>
      <c r="AE217" s="174">
        <f t="shared" si="92"/>
        <v>0</v>
      </c>
      <c r="AF217" s="174">
        <f t="shared" si="92"/>
        <v>0</v>
      </c>
      <c r="AG217" s="174">
        <f t="shared" si="92"/>
        <v>0</v>
      </c>
      <c r="AH217" s="174">
        <f t="shared" si="92"/>
        <v>0</v>
      </c>
      <c r="AI217" s="174">
        <f t="shared" si="92"/>
        <v>0</v>
      </c>
      <c r="AJ217" s="174">
        <f t="shared" si="92"/>
        <v>0</v>
      </c>
      <c r="AK217" s="174">
        <f t="shared" si="92"/>
        <v>0</v>
      </c>
      <c r="AL217" s="174">
        <f t="shared" si="92"/>
        <v>0</v>
      </c>
      <c r="AM217" s="174">
        <f t="shared" si="92"/>
        <v>0</v>
      </c>
      <c r="AN217" s="174">
        <f t="shared" ref="AN217:BG217" si="93">SUM(AN218:AN225)</f>
        <v>0</v>
      </c>
      <c r="AO217" s="174">
        <f t="shared" si="93"/>
        <v>0</v>
      </c>
      <c r="AP217" s="174">
        <f t="shared" si="93"/>
        <v>0</v>
      </c>
      <c r="AQ217" s="174">
        <f t="shared" si="93"/>
        <v>0</v>
      </c>
      <c r="AR217" s="174">
        <f t="shared" si="93"/>
        <v>0</v>
      </c>
      <c r="AS217" s="174">
        <f t="shared" si="93"/>
        <v>0</v>
      </c>
      <c r="AT217" s="174">
        <f t="shared" si="93"/>
        <v>0</v>
      </c>
      <c r="AU217" s="174">
        <f t="shared" si="93"/>
        <v>0</v>
      </c>
      <c r="AV217" s="174">
        <f t="shared" si="93"/>
        <v>0</v>
      </c>
      <c r="AW217" s="174">
        <f t="shared" si="93"/>
        <v>0</v>
      </c>
      <c r="AX217" s="174">
        <f t="shared" si="93"/>
        <v>0</v>
      </c>
      <c r="AY217" s="174">
        <f t="shared" si="93"/>
        <v>0</v>
      </c>
      <c r="AZ217" s="174">
        <f t="shared" si="93"/>
        <v>0</v>
      </c>
      <c r="BA217" s="174">
        <f t="shared" si="93"/>
        <v>0</v>
      </c>
      <c r="BB217" s="174">
        <f t="shared" si="93"/>
        <v>0</v>
      </c>
      <c r="BC217" s="174">
        <f t="shared" si="93"/>
        <v>0</v>
      </c>
      <c r="BD217" s="174">
        <f t="shared" si="93"/>
        <v>0</v>
      </c>
      <c r="BE217" s="174">
        <f t="shared" si="93"/>
        <v>0</v>
      </c>
      <c r="BF217" s="174">
        <f t="shared" si="93"/>
        <v>0</v>
      </c>
      <c r="BG217" s="174">
        <f t="shared" si="93"/>
        <v>0</v>
      </c>
      <c r="BH217" s="36"/>
      <c r="BI217" s="150"/>
      <c r="BJ217" s="150"/>
      <c r="BK217" s="151"/>
      <c r="BL217" s="151"/>
      <c r="BM217" s="150"/>
      <c r="BN217" s="150"/>
      <c r="BO217" s="36"/>
      <c r="BP217" s="36"/>
    </row>
    <row r="218" spans="1:68" outlineLevel="1" x14ac:dyDescent="0.25">
      <c r="A218" s="167">
        <v>2627</v>
      </c>
      <c r="B218" s="168" t="str" cm="1">
        <f t="array" ref="B218">IF(BI218="","",INDEX(pjName,BI218))</f>
        <v>Ridgeview Lofts</v>
      </c>
      <c r="C218" s="167" t="str" cm="1">
        <f t="array" ref="C218">IF(BI218="","",IF(INDEX(pjStatus,BI218)="","",INDEX(pjStatus,BI218)))</f>
        <v>Active</v>
      </c>
      <c r="D218" s="167" t="str" cm="1">
        <f t="array" ref="D218">IFERROR(INDEX(tblStaff[Initials],BN218),"")</f>
        <v>PK</v>
      </c>
      <c r="E218" s="169" cm="1">
        <f t="array" ref="E218">IF(OR(BI218="",D218=""),"",IFERROR(SUMPRODUCT((pjNo=A218)*(pjType="Phase")*INDEX(Projects!$I$5:$O$1188,0,MATCH(D218,Projects!$I$4:$O$4,0))*pjWk),0))</f>
        <v>22.5</v>
      </c>
      <c r="F218" s="169">
        <f t="shared" ref="F218:F225" si="94">IF(BI218="","",SUM(H218:BG218))</f>
        <v>22</v>
      </c>
      <c r="G218" s="169">
        <f t="shared" ref="G218:G225" si="95">IF(OR(E218="",F218=""),"",E218-F218)</f>
        <v>0.5</v>
      </c>
      <c r="H218" s="170">
        <v>8</v>
      </c>
      <c r="I218" s="170">
        <v>8</v>
      </c>
      <c r="J218" s="170">
        <v>1</v>
      </c>
      <c r="K218" s="170">
        <v>1</v>
      </c>
      <c r="L218" s="170">
        <v>1</v>
      </c>
      <c r="M218" s="170">
        <v>1</v>
      </c>
      <c r="N218" s="170">
        <v>1</v>
      </c>
      <c r="O218" s="170">
        <v>1</v>
      </c>
      <c r="P218" s="170"/>
      <c r="Q218" s="170"/>
      <c r="R218" s="170"/>
      <c r="S218" s="170"/>
      <c r="T218" s="170"/>
      <c r="U218" s="170"/>
      <c r="V218" s="170"/>
      <c r="W218" s="170"/>
      <c r="X218" s="170"/>
      <c r="Y218" s="170"/>
      <c r="Z218" s="170"/>
      <c r="AA218" s="170"/>
      <c r="AB218" s="170"/>
      <c r="AC218" s="170"/>
      <c r="AD218" s="170"/>
      <c r="AE218" s="170"/>
      <c r="AF218" s="170"/>
      <c r="AG218" s="170"/>
      <c r="AH218" s="170"/>
      <c r="AI218" s="170"/>
      <c r="AJ218" s="170"/>
      <c r="AK218" s="170"/>
      <c r="AL218" s="170"/>
      <c r="AM218" s="170"/>
      <c r="AN218" s="170"/>
      <c r="AO218" s="170"/>
      <c r="AP218" s="170"/>
      <c r="AQ218" s="170"/>
      <c r="AR218" s="170"/>
      <c r="AS218" s="170"/>
      <c r="AT218" s="170"/>
      <c r="AU218" s="170"/>
      <c r="AV218" s="170"/>
      <c r="AW218" s="170"/>
      <c r="AX218" s="170"/>
      <c r="AY218" s="170"/>
      <c r="AZ218" s="170"/>
      <c r="BA218" s="170"/>
      <c r="BB218" s="170"/>
      <c r="BC218" s="170"/>
      <c r="BD218" s="170"/>
      <c r="BE218" s="170"/>
      <c r="BF218" s="170"/>
      <c r="BG218" s="170"/>
      <c r="BH218" s="36"/>
      <c r="BI218" s="150" cm="1">
        <f t="array" ref="BI218">IF(A218="","",IFERROR(MATCH(1,INDEX((pjNo=A218)*(pjType="Project"),0),0),""))</f>
        <v>162</v>
      </c>
      <c r="BJ218" s="150" t="str">
        <f>IF(D218="","",IFERROR(INDEX(tblStaff[Staff Level],MATCH(D218,tblStaff[Initials],0)),"?"))</f>
        <v>Principal</v>
      </c>
      <c r="BK218" s="151" cm="1">
        <f t="array" ref="BK218">IF(BI218="","",INDEX(pjStart,BI218))</f>
        <v>46300</v>
      </c>
      <c r="BL218" s="151" cm="1">
        <f t="array" ref="BL218">IF(BI218="","",INDEX(pjEnd,BI218))</f>
        <v>46401</v>
      </c>
      <c r="BM218" s="150">
        <f>IF(BI218="",0,IF(C218="Active",1,IF(C218="Prospective",IF(Assumptions!$B$6="Active only",0,Assumptions!$B$7),0)))</f>
        <v>1</v>
      </c>
      <c r="BN218" s="150">
        <v>1</v>
      </c>
      <c r="BO218" s="36"/>
      <c r="BP218" s="36"/>
    </row>
    <row r="219" spans="1:68" outlineLevel="1" x14ac:dyDescent="0.25">
      <c r="A219" s="167">
        <v>2627</v>
      </c>
      <c r="B219" s="168" t="str" cm="1">
        <f t="array" ref="B219">IF(BI219="","",INDEX(pjName,BI219))</f>
        <v>Ridgeview Lofts</v>
      </c>
      <c r="C219" s="167" t="str" cm="1">
        <f t="array" ref="C219">IF(BI219="","",IF(INDEX(pjStatus,BI219)="","",INDEX(pjStatus,BI219)))</f>
        <v>Active</v>
      </c>
      <c r="D219" s="167" t="str" cm="1">
        <f t="array" ref="D219">IFERROR(INDEX(tblStaff[Initials],BN219),"")</f>
        <v>DF</v>
      </c>
      <c r="E219" s="169" cm="1">
        <f t="array" ref="E219">IF(OR(BI219="",D219=""),"",IFERROR(SUMPRODUCT((pjNo=A219)*(pjType="Phase")*INDEX(Projects!$I$5:$O$1188,0,MATCH(D219,Projects!$I$4:$O$4,0))*pjWk),0))</f>
        <v>30</v>
      </c>
      <c r="F219" s="169">
        <f t="shared" si="94"/>
        <v>30</v>
      </c>
      <c r="G219" s="169">
        <f t="shared" si="95"/>
        <v>0</v>
      </c>
      <c r="H219" s="170">
        <v>2</v>
      </c>
      <c r="I219" s="170">
        <v>2</v>
      </c>
      <c r="J219" s="170">
        <v>2</v>
      </c>
      <c r="K219" s="170">
        <v>2</v>
      </c>
      <c r="L219" s="170">
        <v>2</v>
      </c>
      <c r="M219" s="170">
        <v>2</v>
      </c>
      <c r="N219" s="170">
        <v>2</v>
      </c>
      <c r="O219" s="170">
        <v>2</v>
      </c>
      <c r="P219" s="170">
        <v>2</v>
      </c>
      <c r="Q219" s="170">
        <v>2</v>
      </c>
      <c r="R219" s="170">
        <v>2</v>
      </c>
      <c r="S219" s="170">
        <v>2</v>
      </c>
      <c r="T219" s="170">
        <v>2</v>
      </c>
      <c r="U219" s="170">
        <v>2</v>
      </c>
      <c r="V219" s="170">
        <v>2</v>
      </c>
      <c r="W219" s="170"/>
      <c r="X219" s="170"/>
      <c r="Y219" s="170"/>
      <c r="Z219" s="170"/>
      <c r="AA219" s="170"/>
      <c r="AB219" s="170"/>
      <c r="AC219" s="170"/>
      <c r="AD219" s="170"/>
      <c r="AE219" s="170"/>
      <c r="AF219" s="170"/>
      <c r="AG219" s="170"/>
      <c r="AH219" s="170"/>
      <c r="AI219" s="170"/>
      <c r="AJ219" s="170"/>
      <c r="AK219" s="170"/>
      <c r="AL219" s="170"/>
      <c r="AM219" s="170"/>
      <c r="AN219" s="170"/>
      <c r="AO219" s="170"/>
      <c r="AP219" s="170"/>
      <c r="AQ219" s="170"/>
      <c r="AR219" s="170"/>
      <c r="AS219" s="170"/>
      <c r="AT219" s="170"/>
      <c r="AU219" s="170"/>
      <c r="AV219" s="170"/>
      <c r="AW219" s="170"/>
      <c r="AX219" s="170"/>
      <c r="AY219" s="170"/>
      <c r="AZ219" s="170"/>
      <c r="BA219" s="170"/>
      <c r="BB219" s="170"/>
      <c r="BC219" s="170"/>
      <c r="BD219" s="170"/>
      <c r="BE219" s="170"/>
      <c r="BF219" s="170"/>
      <c r="BG219" s="170"/>
      <c r="BH219" s="36"/>
      <c r="BI219" s="150" cm="1">
        <f t="array" ref="BI219">IF(A219="","",IFERROR(MATCH(1,INDEX((pjNo=A219)*(pjType="Project"),0),0),""))</f>
        <v>162</v>
      </c>
      <c r="BJ219" s="150" t="str">
        <f>IF(D219="","",IFERROR(INDEX(tblStaff[Staff Level],MATCH(D219,tblStaff[Initials],0)),"?"))</f>
        <v>Principal</v>
      </c>
      <c r="BK219" s="151" cm="1">
        <f t="array" ref="BK219">IF(BI219="","",INDEX(pjStart,BI219))</f>
        <v>46300</v>
      </c>
      <c r="BL219" s="151" cm="1">
        <f t="array" ref="BL219">IF(BI219="","",INDEX(pjEnd,BI219))</f>
        <v>46401</v>
      </c>
      <c r="BM219" s="150">
        <f>IF(BI219="",0,IF(C219="Active",1,IF(C219="Prospective",IF(Assumptions!$B$6="Active only",0,Assumptions!$B$7),0)))</f>
        <v>1</v>
      </c>
      <c r="BN219" s="150">
        <v>2</v>
      </c>
      <c r="BO219" s="36"/>
      <c r="BP219" s="36"/>
    </row>
    <row r="220" spans="1:68" outlineLevel="1" x14ac:dyDescent="0.25">
      <c r="A220" s="158">
        <v>2627</v>
      </c>
      <c r="B220" s="157" t="str" cm="1">
        <f t="array" ref="B220">IF(BI220="","",INDEX(pjName,BI220))</f>
        <v>Ridgeview Lofts</v>
      </c>
      <c r="C220" s="158" t="str" cm="1">
        <f t="array" ref="C220">IF(BI220="","",IF(INDEX(pjStatus,BI220)="","",INDEX(pjStatus,BI220)))</f>
        <v>Active</v>
      </c>
      <c r="D220" s="158" t="str" cm="1">
        <f t="array" ref="D220">IFERROR(INDEX(tblStaff[Initials],BN220),"")</f>
        <v>KJ</v>
      </c>
      <c r="E220" s="159" cm="1">
        <f t="array" ref="E220">IF(OR(BI220="",D220=""),"",IFERROR(SUMPRODUCT((pjNo=A220)*(pjType="Phase")*INDEX(Projects!$I$5:$O$1188,0,MATCH(D220,Projects!$I$4:$O$4,0))*pjWk),0))</f>
        <v>30</v>
      </c>
      <c r="F220" s="159">
        <f t="shared" si="94"/>
        <v>30</v>
      </c>
      <c r="G220" s="159">
        <f t="shared" si="95"/>
        <v>0</v>
      </c>
      <c r="H220" s="160">
        <v>2</v>
      </c>
      <c r="I220" s="160">
        <v>2</v>
      </c>
      <c r="J220" s="160">
        <v>2</v>
      </c>
      <c r="K220" s="160">
        <v>2</v>
      </c>
      <c r="L220" s="160">
        <v>2</v>
      </c>
      <c r="M220" s="160">
        <v>2</v>
      </c>
      <c r="N220" s="160">
        <v>2</v>
      </c>
      <c r="O220" s="160">
        <v>2</v>
      </c>
      <c r="P220" s="160">
        <v>2</v>
      </c>
      <c r="Q220" s="160">
        <v>2</v>
      </c>
      <c r="R220" s="160">
        <v>2</v>
      </c>
      <c r="S220" s="160">
        <v>2</v>
      </c>
      <c r="T220" s="160">
        <v>2</v>
      </c>
      <c r="U220" s="160">
        <v>2</v>
      </c>
      <c r="V220" s="160">
        <v>2</v>
      </c>
      <c r="W220" s="160"/>
      <c r="X220" s="160"/>
      <c r="Y220" s="160"/>
      <c r="Z220" s="160"/>
      <c r="AA220" s="160"/>
      <c r="AB220" s="160"/>
      <c r="AC220" s="160"/>
      <c r="AD220" s="160"/>
      <c r="AE220" s="160"/>
      <c r="AF220" s="160"/>
      <c r="AG220" s="160"/>
      <c r="AH220" s="160"/>
      <c r="AI220" s="160"/>
      <c r="AJ220" s="160"/>
      <c r="AK220" s="160"/>
      <c r="AL220" s="160"/>
      <c r="AM220" s="160"/>
      <c r="AN220" s="160"/>
      <c r="AO220" s="160"/>
      <c r="AP220" s="160"/>
      <c r="AQ220" s="160"/>
      <c r="AR220" s="160"/>
      <c r="AS220" s="160"/>
      <c r="AT220" s="160"/>
      <c r="AU220" s="160"/>
      <c r="AV220" s="160"/>
      <c r="AW220" s="160"/>
      <c r="AX220" s="160"/>
      <c r="AY220" s="160"/>
      <c r="AZ220" s="160"/>
      <c r="BA220" s="160"/>
      <c r="BB220" s="160"/>
      <c r="BC220" s="160"/>
      <c r="BD220" s="160"/>
      <c r="BE220" s="160"/>
      <c r="BF220" s="160"/>
      <c r="BG220" s="160"/>
      <c r="BH220" s="36"/>
      <c r="BI220" s="150" cm="1">
        <f t="array" ref="BI220">IF(A220="","",IFERROR(MATCH(1,INDEX((pjNo=A220)*(pjType="Project"),0),0),""))</f>
        <v>162</v>
      </c>
      <c r="BJ220" s="150" t="str">
        <f>IF(D220="","",IFERROR(INDEX(tblStaff[Staff Level],MATCH(D220,tblStaff[Initials],0)),"?"))</f>
        <v>Director</v>
      </c>
      <c r="BK220" s="151" cm="1">
        <f t="array" ref="BK220">IF(BI220="","",INDEX(pjStart,BI220))</f>
        <v>46300</v>
      </c>
      <c r="BL220" s="151" cm="1">
        <f t="array" ref="BL220">IF(BI220="","",INDEX(pjEnd,BI220))</f>
        <v>46401</v>
      </c>
      <c r="BM220" s="150">
        <f>IF(BI220="",0,IF(C220="Active",1,IF(C220="Prospective",IF(Assumptions!$B$6="Active only",0,Assumptions!$B$7),0)))</f>
        <v>1</v>
      </c>
      <c r="BN220" s="150">
        <v>3</v>
      </c>
      <c r="BO220" s="36"/>
      <c r="BP220" s="36"/>
    </row>
    <row r="221" spans="1:68" outlineLevel="1" x14ac:dyDescent="0.25">
      <c r="A221" s="158">
        <v>2627</v>
      </c>
      <c r="B221" s="157" t="str" cm="1">
        <f t="array" ref="B221">IF(BI221="","",INDEX(pjName,BI221))</f>
        <v>Ridgeview Lofts</v>
      </c>
      <c r="C221" s="158" t="str" cm="1">
        <f t="array" ref="C221">IF(BI221="","",IF(INDEX(pjStatus,BI221)="","",INDEX(pjStatus,BI221)))</f>
        <v>Active</v>
      </c>
      <c r="D221" s="158" t="str" cm="1">
        <f t="array" ref="D221">IFERROR(INDEX(tblStaff[Initials],BN221),"")</f>
        <v>HL</v>
      </c>
      <c r="E221" s="159" cm="1">
        <f t="array" ref="E221">IF(OR(BI221="",D221=""),"",IFERROR(SUMPRODUCT((pjNo=A221)*(pjType="Phase")*INDEX(Projects!$I$5:$O$1188,0,MATCH(D221,Projects!$I$4:$O$4,0))*pjWk),0))</f>
        <v>0</v>
      </c>
      <c r="F221" s="159">
        <f t="shared" si="94"/>
        <v>0</v>
      </c>
      <c r="G221" s="159">
        <f t="shared" si="95"/>
        <v>0</v>
      </c>
      <c r="H221" s="160"/>
      <c r="I221" s="160"/>
      <c r="J221" s="160"/>
      <c r="K221" s="160"/>
      <c r="L221" s="160"/>
      <c r="M221" s="160"/>
      <c r="N221" s="160"/>
      <c r="O221" s="160"/>
      <c r="P221" s="160"/>
      <c r="Q221" s="160"/>
      <c r="R221" s="160"/>
      <c r="S221" s="160"/>
      <c r="T221" s="160"/>
      <c r="U221" s="160"/>
      <c r="V221" s="160"/>
      <c r="W221" s="160"/>
      <c r="X221" s="160"/>
      <c r="Y221" s="160"/>
      <c r="Z221" s="160"/>
      <c r="AA221" s="160"/>
      <c r="AB221" s="160"/>
      <c r="AC221" s="160"/>
      <c r="AD221" s="160"/>
      <c r="AE221" s="160"/>
      <c r="AF221" s="160"/>
      <c r="AG221" s="160"/>
      <c r="AH221" s="160"/>
      <c r="AI221" s="160"/>
      <c r="AJ221" s="160"/>
      <c r="AK221" s="160"/>
      <c r="AL221" s="160"/>
      <c r="AM221" s="160"/>
      <c r="AN221" s="160"/>
      <c r="AO221" s="160"/>
      <c r="AP221" s="160"/>
      <c r="AQ221" s="160"/>
      <c r="AR221" s="160"/>
      <c r="AS221" s="160"/>
      <c r="AT221" s="160"/>
      <c r="AU221" s="160"/>
      <c r="AV221" s="160"/>
      <c r="AW221" s="160"/>
      <c r="AX221" s="160"/>
      <c r="AY221" s="160"/>
      <c r="AZ221" s="160"/>
      <c r="BA221" s="160"/>
      <c r="BB221" s="160"/>
      <c r="BC221" s="160"/>
      <c r="BD221" s="160"/>
      <c r="BE221" s="160"/>
      <c r="BF221" s="160"/>
      <c r="BG221" s="160"/>
      <c r="BH221" s="36"/>
      <c r="BI221" s="150" cm="1">
        <f t="array" ref="BI221">IF(A221="","",IFERROR(MATCH(1,INDEX((pjNo=A221)*(pjType="Project"),0),0),""))</f>
        <v>162</v>
      </c>
      <c r="BJ221" s="150" t="str">
        <f>IF(D221="","",IFERROR(INDEX(tblStaff[Staff Level],MATCH(D221,tblStaff[Initials],0)),"?"))</f>
        <v>Senior Designer</v>
      </c>
      <c r="BK221" s="151" cm="1">
        <f t="array" ref="BK221">IF(BI221="","",INDEX(pjStart,BI221))</f>
        <v>46300</v>
      </c>
      <c r="BL221" s="151" cm="1">
        <f t="array" ref="BL221">IF(BI221="","",INDEX(pjEnd,BI221))</f>
        <v>46401</v>
      </c>
      <c r="BM221" s="150">
        <f>IF(BI221="",0,IF(C221="Active",1,IF(C221="Prospective",IF(Assumptions!$B$6="Active only",0,Assumptions!$B$7),0)))</f>
        <v>1</v>
      </c>
      <c r="BN221" s="150">
        <v>4</v>
      </c>
      <c r="BO221" s="36"/>
      <c r="BP221" s="36"/>
    </row>
    <row r="222" spans="1:68" outlineLevel="1" x14ac:dyDescent="0.25">
      <c r="A222" s="158">
        <v>2627</v>
      </c>
      <c r="B222" s="157" t="str" cm="1">
        <f t="array" ref="B222">IF(BI222="","",INDEX(pjName,BI222))</f>
        <v>Ridgeview Lofts</v>
      </c>
      <c r="C222" s="158" t="str" cm="1">
        <f t="array" ref="C222">IF(BI222="","",IF(INDEX(pjStatus,BI222)="","",INDEX(pjStatus,BI222)))</f>
        <v>Active</v>
      </c>
      <c r="D222" s="158" t="str" cm="1">
        <f t="array" ref="D222">IFERROR(INDEX(tblStaff[Initials],BN222),"")</f>
        <v>EHH</v>
      </c>
      <c r="E222" s="159" cm="1">
        <f t="array" ref="E222">IF(OR(BI222="",D222=""),"",IFERROR(SUMPRODUCT((pjNo=A222)*(pjType="Phase")*INDEX(Projects!$I$5:$O$1188,0,MATCH(D222,Projects!$I$4:$O$4,0))*pjWk),0))</f>
        <v>0</v>
      </c>
      <c r="F222" s="159">
        <f t="shared" si="94"/>
        <v>0</v>
      </c>
      <c r="G222" s="159">
        <f t="shared" si="95"/>
        <v>0</v>
      </c>
      <c r="H222" s="160"/>
      <c r="I222" s="160"/>
      <c r="J222" s="160"/>
      <c r="K222" s="160"/>
      <c r="L222" s="160"/>
      <c r="M222" s="160"/>
      <c r="N222" s="160"/>
      <c r="O222" s="160"/>
      <c r="P222" s="160"/>
      <c r="Q222" s="160"/>
      <c r="R222" s="160"/>
      <c r="S222" s="160"/>
      <c r="T222" s="160"/>
      <c r="U222" s="160"/>
      <c r="V222" s="160"/>
      <c r="W222" s="160"/>
      <c r="X222" s="160"/>
      <c r="Y222" s="160"/>
      <c r="Z222" s="160"/>
      <c r="AA222" s="160"/>
      <c r="AB222" s="160"/>
      <c r="AC222" s="160"/>
      <c r="AD222" s="160"/>
      <c r="AE222" s="160"/>
      <c r="AF222" s="160"/>
      <c r="AG222" s="160"/>
      <c r="AH222" s="160"/>
      <c r="AI222" s="160"/>
      <c r="AJ222" s="160"/>
      <c r="AK222" s="160"/>
      <c r="AL222" s="160"/>
      <c r="AM222" s="160"/>
      <c r="AN222" s="160"/>
      <c r="AO222" s="160"/>
      <c r="AP222" s="160"/>
      <c r="AQ222" s="160"/>
      <c r="AR222" s="160"/>
      <c r="AS222" s="160"/>
      <c r="AT222" s="160"/>
      <c r="AU222" s="160"/>
      <c r="AV222" s="160"/>
      <c r="AW222" s="160"/>
      <c r="AX222" s="160"/>
      <c r="AY222" s="160"/>
      <c r="AZ222" s="160"/>
      <c r="BA222" s="160"/>
      <c r="BB222" s="160"/>
      <c r="BC222" s="160"/>
      <c r="BD222" s="160"/>
      <c r="BE222" s="160"/>
      <c r="BF222" s="160"/>
      <c r="BG222" s="160"/>
      <c r="BH222" s="36"/>
      <c r="BI222" s="150" cm="1">
        <f t="array" ref="BI222">IF(A222="","",IFERROR(MATCH(1,INDEX((pjNo=A222)*(pjType="Project"),0),0),""))</f>
        <v>162</v>
      </c>
      <c r="BJ222" s="150" t="str">
        <f>IF(D222="","",IFERROR(INDEX(tblStaff[Staff Level],MATCH(D222,tblStaff[Initials],0)),"?"))</f>
        <v>Mid Level Designer</v>
      </c>
      <c r="BK222" s="151" cm="1">
        <f t="array" ref="BK222">IF(BI222="","",INDEX(pjStart,BI222))</f>
        <v>46300</v>
      </c>
      <c r="BL222" s="151" cm="1">
        <f t="array" ref="BL222">IF(BI222="","",INDEX(pjEnd,BI222))</f>
        <v>46401</v>
      </c>
      <c r="BM222" s="150">
        <f>IF(BI222="",0,IF(C222="Active",1,IF(C222="Prospective",IF(Assumptions!$B$6="Active only",0,Assumptions!$B$7),0)))</f>
        <v>1</v>
      </c>
      <c r="BN222" s="150">
        <v>5</v>
      </c>
      <c r="BO222" s="36"/>
      <c r="BP222" s="36"/>
    </row>
    <row r="223" spans="1:68" outlineLevel="1" x14ac:dyDescent="0.25">
      <c r="A223" s="158">
        <v>2627</v>
      </c>
      <c r="B223" s="157" t="str" cm="1">
        <f t="array" ref="B223">IF(BI223="","",INDEX(pjName,BI223))</f>
        <v>Ridgeview Lofts</v>
      </c>
      <c r="C223" s="158" t="str" cm="1">
        <f t="array" ref="C223">IF(BI223="","",IF(INDEX(pjStatus,BI223)="","",INDEX(pjStatus,BI223)))</f>
        <v>Active</v>
      </c>
      <c r="D223" s="158" t="str" cm="1">
        <f t="array" ref="D223">IFERROR(INDEX(tblStaff[Initials],BN223),"")</f>
        <v>KD</v>
      </c>
      <c r="E223" s="159" cm="1">
        <f t="array" ref="E223">IF(OR(BI223="",D223=""),"",IFERROR(SUMPRODUCT((pjNo=A223)*(pjType="Phase")*INDEX(Projects!$I$5:$O$1188,0,MATCH(D223,Projects!$I$4:$O$4,0))*pjWk),0))</f>
        <v>0</v>
      </c>
      <c r="F223" s="159">
        <f t="shared" si="94"/>
        <v>0</v>
      </c>
      <c r="G223" s="159">
        <f t="shared" si="95"/>
        <v>0</v>
      </c>
      <c r="H223" s="160"/>
      <c r="I223" s="160"/>
      <c r="J223" s="160"/>
      <c r="K223" s="160"/>
      <c r="L223" s="160"/>
      <c r="M223" s="160"/>
      <c r="N223" s="160"/>
      <c r="O223" s="160"/>
      <c r="P223" s="160"/>
      <c r="Q223" s="160"/>
      <c r="R223" s="160"/>
      <c r="S223" s="160"/>
      <c r="T223" s="160"/>
      <c r="U223" s="160"/>
      <c r="V223" s="160"/>
      <c r="W223" s="160"/>
      <c r="X223" s="160"/>
      <c r="Y223" s="160"/>
      <c r="Z223" s="160"/>
      <c r="AA223" s="160"/>
      <c r="AB223" s="160"/>
      <c r="AC223" s="160"/>
      <c r="AD223" s="160"/>
      <c r="AE223" s="160"/>
      <c r="AF223" s="160"/>
      <c r="AG223" s="160"/>
      <c r="AH223" s="160"/>
      <c r="AI223" s="160"/>
      <c r="AJ223" s="160"/>
      <c r="AK223" s="160"/>
      <c r="AL223" s="160"/>
      <c r="AM223" s="160"/>
      <c r="AN223" s="160"/>
      <c r="AO223" s="160"/>
      <c r="AP223" s="160"/>
      <c r="AQ223" s="160"/>
      <c r="AR223" s="160"/>
      <c r="AS223" s="160"/>
      <c r="AT223" s="160"/>
      <c r="AU223" s="160"/>
      <c r="AV223" s="160"/>
      <c r="AW223" s="160"/>
      <c r="AX223" s="160"/>
      <c r="AY223" s="160"/>
      <c r="AZ223" s="160"/>
      <c r="BA223" s="160"/>
      <c r="BB223" s="160"/>
      <c r="BC223" s="160"/>
      <c r="BD223" s="160"/>
      <c r="BE223" s="160"/>
      <c r="BF223" s="160"/>
      <c r="BG223" s="160"/>
      <c r="BH223" s="36"/>
      <c r="BI223" s="150" cm="1">
        <f t="array" ref="BI223">IF(A223="","",IFERROR(MATCH(1,INDEX((pjNo=A223)*(pjType="Project"),0),0),""))</f>
        <v>162</v>
      </c>
      <c r="BJ223" s="150" t="str">
        <f>IF(D223="","",IFERROR(INDEX(tblStaff[Staff Level],MATCH(D223,tblStaff[Initials],0)),"?"))</f>
        <v>Mid Level Designer</v>
      </c>
      <c r="BK223" s="151" cm="1">
        <f t="array" ref="BK223">IF(BI223="","",INDEX(pjStart,BI223))</f>
        <v>46300</v>
      </c>
      <c r="BL223" s="151" cm="1">
        <f t="array" ref="BL223">IF(BI223="","",INDEX(pjEnd,BI223))</f>
        <v>46401</v>
      </c>
      <c r="BM223" s="150">
        <f>IF(BI223="",0,IF(C223="Active",1,IF(C223="Prospective",IF(Assumptions!$B$6="Active only",0,Assumptions!$B$7),0)))</f>
        <v>1</v>
      </c>
      <c r="BN223" s="150">
        <v>6</v>
      </c>
      <c r="BO223" s="36"/>
      <c r="BP223" s="36"/>
    </row>
    <row r="224" spans="1:68" outlineLevel="1" x14ac:dyDescent="0.25">
      <c r="A224" s="158">
        <v>2627</v>
      </c>
      <c r="B224" s="157" t="str" cm="1">
        <f t="array" ref="B224">IF(BI224="","",INDEX(pjName,BI224))</f>
        <v>Ridgeview Lofts</v>
      </c>
      <c r="C224" s="158" t="str" cm="1">
        <f t="array" ref="C224">IF(BI224="","",IF(INDEX(pjStatus,BI224)="","",INDEX(pjStatus,BI224)))</f>
        <v>Active</v>
      </c>
      <c r="D224" s="158" t="str" cm="1">
        <f t="array" ref="D224">IFERROR(INDEX(tblStaff[Initials],BN224),"")</f>
        <v>XX</v>
      </c>
      <c r="E224" s="159" cm="1">
        <f t="array" ref="E224">IF(OR(BI224="",D224=""),"",IFERROR(SUMPRODUCT((pjNo=A224)*(pjType="Phase")*INDEX(Projects!$I$5:$O$1188,0,MATCH(D224,Projects!$I$4:$O$4,0))*pjWk),0))</f>
        <v>45</v>
      </c>
      <c r="F224" s="159">
        <f t="shared" si="94"/>
        <v>36</v>
      </c>
      <c r="G224" s="159">
        <f t="shared" si="95"/>
        <v>9</v>
      </c>
      <c r="H224" s="160"/>
      <c r="I224" s="160"/>
      <c r="J224" s="160">
        <v>8</v>
      </c>
      <c r="K224" s="160">
        <v>8</v>
      </c>
      <c r="L224" s="160"/>
      <c r="M224" s="160"/>
      <c r="N224" s="160"/>
      <c r="O224" s="160">
        <v>8</v>
      </c>
      <c r="P224" s="160">
        <v>8</v>
      </c>
      <c r="Q224" s="160"/>
      <c r="R224" s="160"/>
      <c r="S224" s="160">
        <v>4</v>
      </c>
      <c r="T224" s="160"/>
      <c r="U224" s="160"/>
      <c r="V224" s="160"/>
      <c r="W224" s="160"/>
      <c r="X224" s="160"/>
      <c r="Y224" s="160"/>
      <c r="Z224" s="160"/>
      <c r="AA224" s="160"/>
      <c r="AB224" s="160"/>
      <c r="AC224" s="160"/>
      <c r="AD224" s="160"/>
      <c r="AE224" s="160"/>
      <c r="AF224" s="160"/>
      <c r="AG224" s="160"/>
      <c r="AH224" s="160"/>
      <c r="AI224" s="160"/>
      <c r="AJ224" s="160"/>
      <c r="AK224" s="160"/>
      <c r="AL224" s="160"/>
      <c r="AM224" s="160"/>
      <c r="AN224" s="160"/>
      <c r="AO224" s="160"/>
      <c r="AP224" s="160"/>
      <c r="AQ224" s="160"/>
      <c r="AR224" s="160"/>
      <c r="AS224" s="160"/>
      <c r="AT224" s="160"/>
      <c r="AU224" s="160"/>
      <c r="AV224" s="160"/>
      <c r="AW224" s="160"/>
      <c r="AX224" s="160"/>
      <c r="AY224" s="160"/>
      <c r="AZ224" s="160"/>
      <c r="BA224" s="160"/>
      <c r="BB224" s="160"/>
      <c r="BC224" s="160"/>
      <c r="BD224" s="160"/>
      <c r="BE224" s="160"/>
      <c r="BF224" s="160"/>
      <c r="BG224" s="160"/>
      <c r="BH224" s="36"/>
      <c r="BI224" s="150" cm="1">
        <f t="array" ref="BI224">IF(A224="","",IFERROR(MATCH(1,INDEX((pjNo=A224)*(pjType="Project"),0),0),""))</f>
        <v>162</v>
      </c>
      <c r="BJ224" s="150" t="str">
        <f>IF(D224="","",IFERROR(INDEX(tblStaff[Staff Level],MATCH(D224,tblStaff[Initials],0)),"?"))</f>
        <v>Project Designer</v>
      </c>
      <c r="BK224" s="151" cm="1">
        <f t="array" ref="BK224">IF(BI224="","",INDEX(pjStart,BI224))</f>
        <v>46300</v>
      </c>
      <c r="BL224" s="151" cm="1">
        <f t="array" ref="BL224">IF(BI224="","",INDEX(pjEnd,BI224))</f>
        <v>46401</v>
      </c>
      <c r="BM224" s="150">
        <f>IF(BI224="",0,IF(C224="Active",1,IF(C224="Prospective",IF(Assumptions!$B$6="Active only",0,Assumptions!$B$7),0)))</f>
        <v>1</v>
      </c>
      <c r="BN224" s="150">
        <v>7</v>
      </c>
      <c r="BO224" s="36"/>
      <c r="BP224" s="36"/>
    </row>
    <row r="225" spans="1:68" outlineLevel="1" x14ac:dyDescent="0.25">
      <c r="A225" s="162">
        <v>2627</v>
      </c>
      <c r="B225" s="161" t="str" cm="1">
        <f t="array" ref="B225">IF(BI225="","",INDEX(pjName,BI225))</f>
        <v>Ridgeview Lofts</v>
      </c>
      <c r="C225" s="162" t="str" cm="1">
        <f t="array" ref="C225">IF(BI225="","",IF(INDEX(pjStatus,BI225)="","",INDEX(pjStatus,BI225)))</f>
        <v>Active</v>
      </c>
      <c r="D225" s="162" t="str" cm="1">
        <f t="array" ref="D225">IFERROR(INDEX(tblStaff[Initials],BN225),"")</f>
        <v/>
      </c>
      <c r="E225" s="163" t="str" cm="1">
        <f t="array" ref="E225">IF(OR(BI225="",D225=""),"",IFERROR(SUMPRODUCT((pjNo=A225)*(pjType="Phase")*INDEX(Projects!$I$5:$O$1188,0,MATCH(D225,Projects!$I$4:$O$4,0))*pjWk),0))</f>
        <v/>
      </c>
      <c r="F225" s="163">
        <f t="shared" si="94"/>
        <v>0</v>
      </c>
      <c r="G225" s="163" t="str">
        <f t="shared" si="95"/>
        <v/>
      </c>
      <c r="H225" s="164"/>
      <c r="I225" s="164"/>
      <c r="J225" s="164"/>
      <c r="K225" s="164"/>
      <c r="L225" s="164"/>
      <c r="M225" s="164"/>
      <c r="N225" s="164"/>
      <c r="O225" s="164"/>
      <c r="P225" s="164"/>
      <c r="Q225" s="164"/>
      <c r="R225" s="164"/>
      <c r="S225" s="164"/>
      <c r="T225" s="164"/>
      <c r="U225" s="164"/>
      <c r="V225" s="164"/>
      <c r="W225" s="164"/>
      <c r="X225" s="164"/>
      <c r="Y225" s="164"/>
      <c r="Z225" s="164"/>
      <c r="AA225" s="164"/>
      <c r="AB225" s="164"/>
      <c r="AC225" s="164"/>
      <c r="AD225" s="164"/>
      <c r="AE225" s="164"/>
      <c r="AF225" s="164"/>
      <c r="AG225" s="164"/>
      <c r="AH225" s="164"/>
      <c r="AI225" s="164"/>
      <c r="AJ225" s="164"/>
      <c r="AK225" s="164"/>
      <c r="AL225" s="164"/>
      <c r="AM225" s="164"/>
      <c r="AN225" s="164"/>
      <c r="AO225" s="164"/>
      <c r="AP225" s="164"/>
      <c r="AQ225" s="164"/>
      <c r="AR225" s="164"/>
      <c r="AS225" s="164"/>
      <c r="AT225" s="164"/>
      <c r="AU225" s="164"/>
      <c r="AV225" s="164"/>
      <c r="AW225" s="164"/>
      <c r="AX225" s="164"/>
      <c r="AY225" s="164"/>
      <c r="AZ225" s="164"/>
      <c r="BA225" s="164"/>
      <c r="BB225" s="164"/>
      <c r="BC225" s="164"/>
      <c r="BD225" s="164"/>
      <c r="BE225" s="164"/>
      <c r="BF225" s="164"/>
      <c r="BG225" s="164"/>
      <c r="BH225" s="36"/>
      <c r="BI225" s="150" cm="1">
        <f t="array" ref="BI225">IF(A225="","",IFERROR(MATCH(1,INDEX((pjNo=A225)*(pjType="Project"),0),0),""))</f>
        <v>162</v>
      </c>
      <c r="BJ225" s="150" t="str">
        <f>IF(D225="","",IFERROR(INDEX(tblStaff[Staff Level],MATCH(D225,tblStaff[Initials],0)),"?"))</f>
        <v/>
      </c>
      <c r="BK225" s="151" cm="1">
        <f t="array" ref="BK225">IF(BI225="","",INDEX(pjStart,BI225))</f>
        <v>46300</v>
      </c>
      <c r="BL225" s="151" cm="1">
        <f t="array" ref="BL225">IF(BI225="","",INDEX(pjEnd,BI225))</f>
        <v>46401</v>
      </c>
      <c r="BM225" s="150">
        <f>IF(BI225="",0,IF(C225="Active",1,IF(C225="Prospective",IF(Assumptions!$B$6="Active only",0,Assumptions!$B$7),0)))</f>
        <v>1</v>
      </c>
      <c r="BN225" s="150">
        <v>8</v>
      </c>
      <c r="BO225" s="36"/>
      <c r="BP225" s="36"/>
    </row>
    <row r="226" spans="1:68" x14ac:dyDescent="0.25">
      <c r="A226" s="171"/>
      <c r="B226" s="173" t="str">
        <f>IF(A227="","",A227&amp;" · "&amp;B227)</f>
        <v>2630 · Birch Roof Deck</v>
      </c>
      <c r="C226" s="171" t="str">
        <f>IF(A227="","",C227)</f>
        <v>Inactive</v>
      </c>
      <c r="D226" s="171"/>
      <c r="E226" s="172">
        <f>SUM(E227:E234)</f>
        <v>0</v>
      </c>
      <c r="F226" s="172">
        <f>SUM(F227:F234)</f>
        <v>0</v>
      </c>
      <c r="G226" s="172" t="str">
        <f>IF(E226=0,"",E226-F226)</f>
        <v/>
      </c>
      <c r="H226" s="174">
        <f t="shared" ref="H226:AM226" si="96">SUM(H227:H234)</f>
        <v>0</v>
      </c>
      <c r="I226" s="174">
        <f t="shared" si="96"/>
        <v>0</v>
      </c>
      <c r="J226" s="174">
        <f t="shared" si="96"/>
        <v>0</v>
      </c>
      <c r="K226" s="174">
        <f t="shared" si="96"/>
        <v>0</v>
      </c>
      <c r="L226" s="174">
        <f t="shared" si="96"/>
        <v>0</v>
      </c>
      <c r="M226" s="174">
        <f t="shared" si="96"/>
        <v>0</v>
      </c>
      <c r="N226" s="174">
        <f t="shared" si="96"/>
        <v>0</v>
      </c>
      <c r="O226" s="174">
        <f t="shared" si="96"/>
        <v>0</v>
      </c>
      <c r="P226" s="174">
        <f t="shared" si="96"/>
        <v>0</v>
      </c>
      <c r="Q226" s="174">
        <f t="shared" si="96"/>
        <v>0</v>
      </c>
      <c r="R226" s="174">
        <f t="shared" si="96"/>
        <v>0</v>
      </c>
      <c r="S226" s="174">
        <f t="shared" si="96"/>
        <v>0</v>
      </c>
      <c r="T226" s="174">
        <f t="shared" si="96"/>
        <v>0</v>
      </c>
      <c r="U226" s="174">
        <f t="shared" si="96"/>
        <v>0</v>
      </c>
      <c r="V226" s="174">
        <f t="shared" si="96"/>
        <v>0</v>
      </c>
      <c r="W226" s="174">
        <f t="shared" si="96"/>
        <v>0</v>
      </c>
      <c r="X226" s="174">
        <f t="shared" si="96"/>
        <v>0</v>
      </c>
      <c r="Y226" s="174">
        <f t="shared" si="96"/>
        <v>0</v>
      </c>
      <c r="Z226" s="174">
        <f t="shared" si="96"/>
        <v>0</v>
      </c>
      <c r="AA226" s="174">
        <f t="shared" si="96"/>
        <v>0</v>
      </c>
      <c r="AB226" s="174">
        <f t="shared" si="96"/>
        <v>0</v>
      </c>
      <c r="AC226" s="174">
        <f t="shared" si="96"/>
        <v>0</v>
      </c>
      <c r="AD226" s="174">
        <f t="shared" si="96"/>
        <v>0</v>
      </c>
      <c r="AE226" s="174">
        <f t="shared" si="96"/>
        <v>0</v>
      </c>
      <c r="AF226" s="174">
        <f t="shared" si="96"/>
        <v>0</v>
      </c>
      <c r="AG226" s="174">
        <f t="shared" si="96"/>
        <v>0</v>
      </c>
      <c r="AH226" s="174">
        <f t="shared" si="96"/>
        <v>0</v>
      </c>
      <c r="AI226" s="174">
        <f t="shared" si="96"/>
        <v>0</v>
      </c>
      <c r="AJ226" s="174">
        <f t="shared" si="96"/>
        <v>0</v>
      </c>
      <c r="AK226" s="174">
        <f t="shared" si="96"/>
        <v>0</v>
      </c>
      <c r="AL226" s="174">
        <f t="shared" si="96"/>
        <v>0</v>
      </c>
      <c r="AM226" s="174">
        <f t="shared" si="96"/>
        <v>0</v>
      </c>
      <c r="AN226" s="174">
        <f t="shared" ref="AN226:BG226" si="97">SUM(AN227:AN234)</f>
        <v>0</v>
      </c>
      <c r="AO226" s="174">
        <f t="shared" si="97"/>
        <v>0</v>
      </c>
      <c r="AP226" s="174">
        <f t="shared" si="97"/>
        <v>0</v>
      </c>
      <c r="AQ226" s="174">
        <f t="shared" si="97"/>
        <v>0</v>
      </c>
      <c r="AR226" s="174">
        <f t="shared" si="97"/>
        <v>0</v>
      </c>
      <c r="AS226" s="174">
        <f t="shared" si="97"/>
        <v>0</v>
      </c>
      <c r="AT226" s="174">
        <f t="shared" si="97"/>
        <v>0</v>
      </c>
      <c r="AU226" s="174">
        <f t="shared" si="97"/>
        <v>0</v>
      </c>
      <c r="AV226" s="174">
        <f t="shared" si="97"/>
        <v>0</v>
      </c>
      <c r="AW226" s="174">
        <f t="shared" si="97"/>
        <v>0</v>
      </c>
      <c r="AX226" s="174">
        <f t="shared" si="97"/>
        <v>0</v>
      </c>
      <c r="AY226" s="174">
        <f t="shared" si="97"/>
        <v>0</v>
      </c>
      <c r="AZ226" s="174">
        <f t="shared" si="97"/>
        <v>0</v>
      </c>
      <c r="BA226" s="174">
        <f t="shared" si="97"/>
        <v>0</v>
      </c>
      <c r="BB226" s="174">
        <f t="shared" si="97"/>
        <v>0</v>
      </c>
      <c r="BC226" s="174">
        <f t="shared" si="97"/>
        <v>0</v>
      </c>
      <c r="BD226" s="174">
        <f t="shared" si="97"/>
        <v>0</v>
      </c>
      <c r="BE226" s="174">
        <f t="shared" si="97"/>
        <v>0</v>
      </c>
      <c r="BF226" s="174">
        <f t="shared" si="97"/>
        <v>0</v>
      </c>
      <c r="BG226" s="174">
        <f t="shared" si="97"/>
        <v>0</v>
      </c>
      <c r="BH226" s="36"/>
      <c r="BI226" s="150"/>
      <c r="BJ226" s="150"/>
      <c r="BK226" s="151"/>
      <c r="BL226" s="151"/>
      <c r="BM226" s="150"/>
      <c r="BN226" s="150"/>
      <c r="BO226" s="36"/>
      <c r="BP226" s="36"/>
    </row>
    <row r="227" spans="1:68" hidden="1" outlineLevel="1" x14ac:dyDescent="0.25">
      <c r="A227" s="167">
        <v>2630</v>
      </c>
      <c r="B227" s="168" t="str" cm="1">
        <f t="array" ref="B227">IF(BI227="","",INDEX(pjName,BI227))</f>
        <v>Birch Roof Deck</v>
      </c>
      <c r="C227" s="167" t="str" cm="1">
        <f t="array" ref="C227">IF(BI227="","",IF(INDEX(pjStatus,BI227)="","",INDEX(pjStatus,BI227)))</f>
        <v>Inactive</v>
      </c>
      <c r="D227" s="167" t="str" cm="1">
        <f t="array" ref="D227">IFERROR(INDEX(tblStaff[Initials],BN227),"")</f>
        <v>PK</v>
      </c>
      <c r="E227" s="169" cm="1">
        <f t="array" ref="E227">IF(OR(BI227="",D227=""),"",IFERROR(SUMPRODUCT((pjNo=A227)*(pjType="Phase")*INDEX(Projects!$I$5:$O$1188,0,MATCH(D227,Projects!$I$4:$O$4,0))*pjWk),0))</f>
        <v>0</v>
      </c>
      <c r="F227" s="169">
        <f t="shared" ref="F227:F234" si="98">IF(BI227="","",SUM(H227:BG227))</f>
        <v>0</v>
      </c>
      <c r="G227" s="169">
        <f t="shared" ref="G227:G234" si="99">IF(OR(E227="",F227=""),"",E227-F227)</f>
        <v>0</v>
      </c>
      <c r="H227" s="170"/>
      <c r="I227" s="170"/>
      <c r="J227" s="170"/>
      <c r="K227" s="170"/>
      <c r="L227" s="170"/>
      <c r="M227" s="170"/>
      <c r="N227" s="170"/>
      <c r="O227" s="170"/>
      <c r="P227" s="170"/>
      <c r="Q227" s="170"/>
      <c r="R227" s="170"/>
      <c r="S227" s="170"/>
      <c r="T227" s="170"/>
      <c r="U227" s="170"/>
      <c r="V227" s="170"/>
      <c r="W227" s="170"/>
      <c r="X227" s="170"/>
      <c r="Y227" s="170"/>
      <c r="Z227" s="170"/>
      <c r="AA227" s="170"/>
      <c r="AB227" s="170"/>
      <c r="AC227" s="170"/>
      <c r="AD227" s="170"/>
      <c r="AE227" s="170"/>
      <c r="AF227" s="170"/>
      <c r="AG227" s="170"/>
      <c r="AH227" s="170"/>
      <c r="AI227" s="170"/>
      <c r="AJ227" s="170"/>
      <c r="AK227" s="170"/>
      <c r="AL227" s="170"/>
      <c r="AM227" s="170"/>
      <c r="AN227" s="170"/>
      <c r="AO227" s="170"/>
      <c r="AP227" s="170"/>
      <c r="AQ227" s="170"/>
      <c r="AR227" s="170"/>
      <c r="AS227" s="170"/>
      <c r="AT227" s="170"/>
      <c r="AU227" s="170"/>
      <c r="AV227" s="170"/>
      <c r="AW227" s="170"/>
      <c r="AX227" s="170"/>
      <c r="AY227" s="170"/>
      <c r="AZ227" s="170"/>
      <c r="BA227" s="170"/>
      <c r="BB227" s="170"/>
      <c r="BC227" s="170"/>
      <c r="BD227" s="170"/>
      <c r="BE227" s="170"/>
      <c r="BF227" s="170"/>
      <c r="BG227" s="170"/>
      <c r="BH227" s="36"/>
      <c r="BI227" s="150" cm="1">
        <f t="array" ref="BI227">IF(A227="","",IFERROR(MATCH(1,INDEX((pjNo=A227)*(pjType="Project"),0),0),""))</f>
        <v>167</v>
      </c>
      <c r="BJ227" s="150" t="str">
        <f>IF(D227="","",IFERROR(INDEX(tblStaff[Staff Level],MATCH(D227,tblStaff[Initials],0)),"?"))</f>
        <v>Principal</v>
      </c>
      <c r="BK227" s="151" t="str" cm="1">
        <f t="array" ref="BK227">IF(BI227="","",INDEX(pjStart,BI227))</f>
        <v/>
      </c>
      <c r="BL227" s="151" t="str" cm="1">
        <f t="array" ref="BL227">IF(BI227="","",INDEX(pjEnd,BI227))</f>
        <v/>
      </c>
      <c r="BM227" s="150">
        <f>IF(BI227="",0,IF(C227="Active",1,IF(C227="Prospective",IF(Assumptions!$B$6="Active only",0,Assumptions!$B$7),0)))</f>
        <v>0</v>
      </c>
      <c r="BN227" s="150">
        <v>1</v>
      </c>
      <c r="BO227" s="36"/>
      <c r="BP227" s="36"/>
    </row>
    <row r="228" spans="1:68" hidden="1" outlineLevel="1" x14ac:dyDescent="0.25">
      <c r="A228" s="167">
        <v>2630</v>
      </c>
      <c r="B228" s="168" t="str" cm="1">
        <f t="array" ref="B228">IF(BI228="","",INDEX(pjName,BI228))</f>
        <v>Birch Roof Deck</v>
      </c>
      <c r="C228" s="167" t="str" cm="1">
        <f t="array" ref="C228">IF(BI228="","",IF(INDEX(pjStatus,BI228)="","",INDEX(pjStatus,BI228)))</f>
        <v>Inactive</v>
      </c>
      <c r="D228" s="167" t="str" cm="1">
        <f t="array" ref="D228">IFERROR(INDEX(tblStaff[Initials],BN228),"")</f>
        <v>DF</v>
      </c>
      <c r="E228" s="169" cm="1">
        <f t="array" ref="E228">IF(OR(BI228="",D228=""),"",IFERROR(SUMPRODUCT((pjNo=A228)*(pjType="Phase")*INDEX(Projects!$I$5:$O$1188,0,MATCH(D228,Projects!$I$4:$O$4,0))*pjWk),0))</f>
        <v>0</v>
      </c>
      <c r="F228" s="169">
        <f t="shared" si="98"/>
        <v>0</v>
      </c>
      <c r="G228" s="169">
        <f t="shared" si="99"/>
        <v>0</v>
      </c>
      <c r="H228" s="170"/>
      <c r="I228" s="170"/>
      <c r="J228" s="170"/>
      <c r="K228" s="170"/>
      <c r="L228" s="170"/>
      <c r="M228" s="170"/>
      <c r="N228" s="170"/>
      <c r="O228" s="170"/>
      <c r="P228" s="170"/>
      <c r="Q228" s="170"/>
      <c r="R228" s="170"/>
      <c r="S228" s="170"/>
      <c r="T228" s="170"/>
      <c r="U228" s="170"/>
      <c r="V228" s="170"/>
      <c r="W228" s="170"/>
      <c r="X228" s="170"/>
      <c r="Y228" s="170"/>
      <c r="Z228" s="170"/>
      <c r="AA228" s="170"/>
      <c r="AB228" s="170"/>
      <c r="AC228" s="170"/>
      <c r="AD228" s="170"/>
      <c r="AE228" s="170"/>
      <c r="AF228" s="170"/>
      <c r="AG228" s="170"/>
      <c r="AH228" s="170"/>
      <c r="AI228" s="170"/>
      <c r="AJ228" s="170"/>
      <c r="AK228" s="170"/>
      <c r="AL228" s="170"/>
      <c r="AM228" s="170"/>
      <c r="AN228" s="170"/>
      <c r="AO228" s="170"/>
      <c r="AP228" s="170"/>
      <c r="AQ228" s="170"/>
      <c r="AR228" s="170"/>
      <c r="AS228" s="170"/>
      <c r="AT228" s="170"/>
      <c r="AU228" s="170"/>
      <c r="AV228" s="170"/>
      <c r="AW228" s="170"/>
      <c r="AX228" s="170"/>
      <c r="AY228" s="170"/>
      <c r="AZ228" s="170"/>
      <c r="BA228" s="170"/>
      <c r="BB228" s="170"/>
      <c r="BC228" s="170"/>
      <c r="BD228" s="170"/>
      <c r="BE228" s="170"/>
      <c r="BF228" s="170"/>
      <c r="BG228" s="170"/>
      <c r="BH228" s="36"/>
      <c r="BI228" s="150" cm="1">
        <f t="array" ref="BI228">IF(A228="","",IFERROR(MATCH(1,INDEX((pjNo=A228)*(pjType="Project"),0),0),""))</f>
        <v>167</v>
      </c>
      <c r="BJ228" s="150" t="str">
        <f>IF(D228="","",IFERROR(INDEX(tblStaff[Staff Level],MATCH(D228,tblStaff[Initials],0)),"?"))</f>
        <v>Principal</v>
      </c>
      <c r="BK228" s="151" t="str" cm="1">
        <f t="array" ref="BK228">IF(BI228="","",INDEX(pjStart,BI228))</f>
        <v/>
      </c>
      <c r="BL228" s="151" t="str" cm="1">
        <f t="array" ref="BL228">IF(BI228="","",INDEX(pjEnd,BI228))</f>
        <v/>
      </c>
      <c r="BM228" s="150">
        <f>IF(BI228="",0,IF(C228="Active",1,IF(C228="Prospective",IF(Assumptions!$B$6="Active only",0,Assumptions!$B$7),0)))</f>
        <v>0</v>
      </c>
      <c r="BN228" s="150">
        <v>2</v>
      </c>
      <c r="BO228" s="36"/>
      <c r="BP228" s="36"/>
    </row>
    <row r="229" spans="1:68" hidden="1" outlineLevel="1" x14ac:dyDescent="0.25">
      <c r="A229" s="158">
        <v>2630</v>
      </c>
      <c r="B229" s="157" t="str" cm="1">
        <f t="array" ref="B229">IF(BI229="","",INDEX(pjName,BI229))</f>
        <v>Birch Roof Deck</v>
      </c>
      <c r="C229" s="158" t="str" cm="1">
        <f t="array" ref="C229">IF(BI229="","",IF(INDEX(pjStatus,BI229)="","",INDEX(pjStatus,BI229)))</f>
        <v>Inactive</v>
      </c>
      <c r="D229" s="158" t="str" cm="1">
        <f t="array" ref="D229">IFERROR(INDEX(tblStaff[Initials],BN229),"")</f>
        <v>KJ</v>
      </c>
      <c r="E229" s="159" cm="1">
        <f t="array" ref="E229">IF(OR(BI229="",D229=""),"",IFERROR(SUMPRODUCT((pjNo=A229)*(pjType="Phase")*INDEX(Projects!$I$5:$O$1188,0,MATCH(D229,Projects!$I$4:$O$4,0))*pjWk),0))</f>
        <v>0</v>
      </c>
      <c r="F229" s="159">
        <f t="shared" si="98"/>
        <v>0</v>
      </c>
      <c r="G229" s="159">
        <f t="shared" si="99"/>
        <v>0</v>
      </c>
      <c r="H229" s="160"/>
      <c r="I229" s="160"/>
      <c r="J229" s="160"/>
      <c r="K229" s="160"/>
      <c r="L229" s="160"/>
      <c r="M229" s="160"/>
      <c r="N229" s="160"/>
      <c r="O229" s="160"/>
      <c r="P229" s="160"/>
      <c r="Q229" s="160"/>
      <c r="R229" s="160"/>
      <c r="S229" s="160"/>
      <c r="T229" s="160"/>
      <c r="U229" s="160"/>
      <c r="V229" s="160"/>
      <c r="W229" s="160"/>
      <c r="X229" s="160"/>
      <c r="Y229" s="160"/>
      <c r="Z229" s="160"/>
      <c r="AA229" s="160"/>
      <c r="AB229" s="160"/>
      <c r="AC229" s="160"/>
      <c r="AD229" s="160"/>
      <c r="AE229" s="160"/>
      <c r="AF229" s="160"/>
      <c r="AG229" s="160"/>
      <c r="AH229" s="160"/>
      <c r="AI229" s="160"/>
      <c r="AJ229" s="160"/>
      <c r="AK229" s="160"/>
      <c r="AL229" s="160"/>
      <c r="AM229" s="160"/>
      <c r="AN229" s="160"/>
      <c r="AO229" s="160"/>
      <c r="AP229" s="160"/>
      <c r="AQ229" s="160"/>
      <c r="AR229" s="160"/>
      <c r="AS229" s="160"/>
      <c r="AT229" s="160"/>
      <c r="AU229" s="160"/>
      <c r="AV229" s="160"/>
      <c r="AW229" s="160"/>
      <c r="AX229" s="160"/>
      <c r="AY229" s="160"/>
      <c r="AZ229" s="160"/>
      <c r="BA229" s="160"/>
      <c r="BB229" s="160"/>
      <c r="BC229" s="160"/>
      <c r="BD229" s="160"/>
      <c r="BE229" s="160"/>
      <c r="BF229" s="160"/>
      <c r="BG229" s="160"/>
      <c r="BH229" s="36"/>
      <c r="BI229" s="150" cm="1">
        <f t="array" ref="BI229">IF(A229="","",IFERROR(MATCH(1,INDEX((pjNo=A229)*(pjType="Project"),0),0),""))</f>
        <v>167</v>
      </c>
      <c r="BJ229" s="150" t="str">
        <f>IF(D229="","",IFERROR(INDEX(tblStaff[Staff Level],MATCH(D229,tblStaff[Initials],0)),"?"))</f>
        <v>Director</v>
      </c>
      <c r="BK229" s="151" t="str" cm="1">
        <f t="array" ref="BK229">IF(BI229="","",INDEX(pjStart,BI229))</f>
        <v/>
      </c>
      <c r="BL229" s="151" t="str" cm="1">
        <f t="array" ref="BL229">IF(BI229="","",INDEX(pjEnd,BI229))</f>
        <v/>
      </c>
      <c r="BM229" s="150">
        <f>IF(BI229="",0,IF(C229="Active",1,IF(C229="Prospective",IF(Assumptions!$B$6="Active only",0,Assumptions!$B$7),0)))</f>
        <v>0</v>
      </c>
      <c r="BN229" s="150">
        <v>3</v>
      </c>
      <c r="BO229" s="36"/>
      <c r="BP229" s="36"/>
    </row>
    <row r="230" spans="1:68" hidden="1" outlineLevel="1" x14ac:dyDescent="0.25">
      <c r="A230" s="158">
        <v>2630</v>
      </c>
      <c r="B230" s="157" t="str" cm="1">
        <f t="array" ref="B230">IF(BI230="","",INDEX(pjName,BI230))</f>
        <v>Birch Roof Deck</v>
      </c>
      <c r="C230" s="158" t="str" cm="1">
        <f t="array" ref="C230">IF(BI230="","",IF(INDEX(pjStatus,BI230)="","",INDEX(pjStatus,BI230)))</f>
        <v>Inactive</v>
      </c>
      <c r="D230" s="158" t="str" cm="1">
        <f t="array" ref="D230">IFERROR(INDEX(tblStaff[Initials],BN230),"")</f>
        <v>HL</v>
      </c>
      <c r="E230" s="159" cm="1">
        <f t="array" ref="E230">IF(OR(BI230="",D230=""),"",IFERROR(SUMPRODUCT((pjNo=A230)*(pjType="Phase")*INDEX(Projects!$I$5:$O$1188,0,MATCH(D230,Projects!$I$4:$O$4,0))*pjWk),0))</f>
        <v>0</v>
      </c>
      <c r="F230" s="159">
        <f t="shared" si="98"/>
        <v>0</v>
      </c>
      <c r="G230" s="159">
        <f t="shared" si="99"/>
        <v>0</v>
      </c>
      <c r="H230" s="160"/>
      <c r="I230" s="160"/>
      <c r="J230" s="160"/>
      <c r="K230" s="160"/>
      <c r="L230" s="160"/>
      <c r="M230" s="160"/>
      <c r="N230" s="160"/>
      <c r="O230" s="160"/>
      <c r="P230" s="160"/>
      <c r="Q230" s="160"/>
      <c r="R230" s="160"/>
      <c r="S230" s="160"/>
      <c r="T230" s="160"/>
      <c r="U230" s="160"/>
      <c r="V230" s="160"/>
      <c r="W230" s="160"/>
      <c r="X230" s="160"/>
      <c r="Y230" s="160"/>
      <c r="Z230" s="160"/>
      <c r="AA230" s="160"/>
      <c r="AB230" s="160"/>
      <c r="AC230" s="160"/>
      <c r="AD230" s="160"/>
      <c r="AE230" s="160"/>
      <c r="AF230" s="160"/>
      <c r="AG230" s="160"/>
      <c r="AH230" s="160"/>
      <c r="AI230" s="160"/>
      <c r="AJ230" s="160"/>
      <c r="AK230" s="160"/>
      <c r="AL230" s="160"/>
      <c r="AM230" s="160"/>
      <c r="AN230" s="160"/>
      <c r="AO230" s="160"/>
      <c r="AP230" s="160"/>
      <c r="AQ230" s="160"/>
      <c r="AR230" s="160"/>
      <c r="AS230" s="160"/>
      <c r="AT230" s="160"/>
      <c r="AU230" s="160"/>
      <c r="AV230" s="160"/>
      <c r="AW230" s="160"/>
      <c r="AX230" s="160"/>
      <c r="AY230" s="160"/>
      <c r="AZ230" s="160"/>
      <c r="BA230" s="160"/>
      <c r="BB230" s="160"/>
      <c r="BC230" s="160"/>
      <c r="BD230" s="160"/>
      <c r="BE230" s="160"/>
      <c r="BF230" s="160"/>
      <c r="BG230" s="160"/>
      <c r="BH230" s="36"/>
      <c r="BI230" s="150" cm="1">
        <f t="array" ref="BI230">IF(A230="","",IFERROR(MATCH(1,INDEX((pjNo=A230)*(pjType="Project"),0),0),""))</f>
        <v>167</v>
      </c>
      <c r="BJ230" s="150" t="str">
        <f>IF(D230="","",IFERROR(INDEX(tblStaff[Staff Level],MATCH(D230,tblStaff[Initials],0)),"?"))</f>
        <v>Senior Designer</v>
      </c>
      <c r="BK230" s="151" t="str" cm="1">
        <f t="array" ref="BK230">IF(BI230="","",INDEX(pjStart,BI230))</f>
        <v/>
      </c>
      <c r="BL230" s="151" t="str" cm="1">
        <f t="array" ref="BL230">IF(BI230="","",INDEX(pjEnd,BI230))</f>
        <v/>
      </c>
      <c r="BM230" s="150">
        <f>IF(BI230="",0,IF(C230="Active",1,IF(C230="Prospective",IF(Assumptions!$B$6="Active only",0,Assumptions!$B$7),0)))</f>
        <v>0</v>
      </c>
      <c r="BN230" s="150">
        <v>4</v>
      </c>
      <c r="BO230" s="36"/>
      <c r="BP230" s="36"/>
    </row>
    <row r="231" spans="1:68" hidden="1" outlineLevel="1" x14ac:dyDescent="0.25">
      <c r="A231" s="158">
        <v>2630</v>
      </c>
      <c r="B231" s="157" t="str" cm="1">
        <f t="array" ref="B231">IF(BI231="","",INDEX(pjName,BI231))</f>
        <v>Birch Roof Deck</v>
      </c>
      <c r="C231" s="158" t="str" cm="1">
        <f t="array" ref="C231">IF(BI231="","",IF(INDEX(pjStatus,BI231)="","",INDEX(pjStatus,BI231)))</f>
        <v>Inactive</v>
      </c>
      <c r="D231" s="158" t="str" cm="1">
        <f t="array" ref="D231">IFERROR(INDEX(tblStaff[Initials],BN231),"")</f>
        <v>EHH</v>
      </c>
      <c r="E231" s="159" cm="1">
        <f t="array" ref="E231">IF(OR(BI231="",D231=""),"",IFERROR(SUMPRODUCT((pjNo=A231)*(pjType="Phase")*INDEX(Projects!$I$5:$O$1188,0,MATCH(D231,Projects!$I$4:$O$4,0))*pjWk),0))</f>
        <v>0</v>
      </c>
      <c r="F231" s="159">
        <f t="shared" si="98"/>
        <v>0</v>
      </c>
      <c r="G231" s="159">
        <f t="shared" si="99"/>
        <v>0</v>
      </c>
      <c r="H231" s="160"/>
      <c r="I231" s="160"/>
      <c r="J231" s="160"/>
      <c r="K231" s="160"/>
      <c r="L231" s="160"/>
      <c r="M231" s="160"/>
      <c r="N231" s="160"/>
      <c r="O231" s="160"/>
      <c r="P231" s="160"/>
      <c r="Q231" s="160"/>
      <c r="R231" s="160"/>
      <c r="S231" s="160"/>
      <c r="T231" s="160"/>
      <c r="U231" s="160"/>
      <c r="V231" s="160"/>
      <c r="W231" s="160"/>
      <c r="X231" s="160"/>
      <c r="Y231" s="160"/>
      <c r="Z231" s="160"/>
      <c r="AA231" s="160"/>
      <c r="AB231" s="160"/>
      <c r="AC231" s="160"/>
      <c r="AD231" s="160"/>
      <c r="AE231" s="160"/>
      <c r="AF231" s="160"/>
      <c r="AG231" s="160"/>
      <c r="AH231" s="160"/>
      <c r="AI231" s="160"/>
      <c r="AJ231" s="160"/>
      <c r="AK231" s="160"/>
      <c r="AL231" s="160"/>
      <c r="AM231" s="160"/>
      <c r="AN231" s="160"/>
      <c r="AO231" s="160"/>
      <c r="AP231" s="160"/>
      <c r="AQ231" s="160"/>
      <c r="AR231" s="160"/>
      <c r="AS231" s="160"/>
      <c r="AT231" s="160"/>
      <c r="AU231" s="160"/>
      <c r="AV231" s="160"/>
      <c r="AW231" s="160"/>
      <c r="AX231" s="160"/>
      <c r="AY231" s="160"/>
      <c r="AZ231" s="160"/>
      <c r="BA231" s="160"/>
      <c r="BB231" s="160"/>
      <c r="BC231" s="160"/>
      <c r="BD231" s="160"/>
      <c r="BE231" s="160"/>
      <c r="BF231" s="160"/>
      <c r="BG231" s="160"/>
      <c r="BH231" s="36"/>
      <c r="BI231" s="150" cm="1">
        <f t="array" ref="BI231">IF(A231="","",IFERROR(MATCH(1,INDEX((pjNo=A231)*(pjType="Project"),0),0),""))</f>
        <v>167</v>
      </c>
      <c r="BJ231" s="150" t="str">
        <f>IF(D231="","",IFERROR(INDEX(tblStaff[Staff Level],MATCH(D231,tblStaff[Initials],0)),"?"))</f>
        <v>Mid Level Designer</v>
      </c>
      <c r="BK231" s="151" t="str" cm="1">
        <f t="array" ref="BK231">IF(BI231="","",INDEX(pjStart,BI231))</f>
        <v/>
      </c>
      <c r="BL231" s="151" t="str" cm="1">
        <f t="array" ref="BL231">IF(BI231="","",INDEX(pjEnd,BI231))</f>
        <v/>
      </c>
      <c r="BM231" s="150">
        <f>IF(BI231="",0,IF(C231="Active",1,IF(C231="Prospective",IF(Assumptions!$B$6="Active only",0,Assumptions!$B$7),0)))</f>
        <v>0</v>
      </c>
      <c r="BN231" s="150">
        <v>5</v>
      </c>
      <c r="BO231" s="36"/>
      <c r="BP231" s="36"/>
    </row>
    <row r="232" spans="1:68" hidden="1" outlineLevel="1" x14ac:dyDescent="0.25">
      <c r="A232" s="158">
        <v>2630</v>
      </c>
      <c r="B232" s="157" t="str" cm="1">
        <f t="array" ref="B232">IF(BI232="","",INDEX(pjName,BI232))</f>
        <v>Birch Roof Deck</v>
      </c>
      <c r="C232" s="158" t="str" cm="1">
        <f t="array" ref="C232">IF(BI232="","",IF(INDEX(pjStatus,BI232)="","",INDEX(pjStatus,BI232)))</f>
        <v>Inactive</v>
      </c>
      <c r="D232" s="158" t="str" cm="1">
        <f t="array" ref="D232">IFERROR(INDEX(tblStaff[Initials],BN232),"")</f>
        <v>KD</v>
      </c>
      <c r="E232" s="159" cm="1">
        <f t="array" ref="E232">IF(OR(BI232="",D232=""),"",IFERROR(SUMPRODUCT((pjNo=A232)*(pjType="Phase")*INDEX(Projects!$I$5:$O$1188,0,MATCH(D232,Projects!$I$4:$O$4,0))*pjWk),0))</f>
        <v>0</v>
      </c>
      <c r="F232" s="159">
        <f t="shared" si="98"/>
        <v>0</v>
      </c>
      <c r="G232" s="159">
        <f t="shared" si="99"/>
        <v>0</v>
      </c>
      <c r="H232" s="160"/>
      <c r="I232" s="160"/>
      <c r="J232" s="160"/>
      <c r="K232" s="160"/>
      <c r="L232" s="160"/>
      <c r="M232" s="160"/>
      <c r="N232" s="160"/>
      <c r="O232" s="160"/>
      <c r="P232" s="160"/>
      <c r="Q232" s="160"/>
      <c r="R232" s="160"/>
      <c r="S232" s="160"/>
      <c r="T232" s="160"/>
      <c r="U232" s="160"/>
      <c r="V232" s="160"/>
      <c r="W232" s="160"/>
      <c r="X232" s="160"/>
      <c r="Y232" s="160"/>
      <c r="Z232" s="160"/>
      <c r="AA232" s="160"/>
      <c r="AB232" s="160"/>
      <c r="AC232" s="160"/>
      <c r="AD232" s="160"/>
      <c r="AE232" s="160"/>
      <c r="AF232" s="160"/>
      <c r="AG232" s="160"/>
      <c r="AH232" s="160"/>
      <c r="AI232" s="160"/>
      <c r="AJ232" s="160"/>
      <c r="AK232" s="160"/>
      <c r="AL232" s="160"/>
      <c r="AM232" s="160"/>
      <c r="AN232" s="160"/>
      <c r="AO232" s="160"/>
      <c r="AP232" s="160"/>
      <c r="AQ232" s="160"/>
      <c r="AR232" s="160"/>
      <c r="AS232" s="160"/>
      <c r="AT232" s="160"/>
      <c r="AU232" s="160"/>
      <c r="AV232" s="160"/>
      <c r="AW232" s="160"/>
      <c r="AX232" s="160"/>
      <c r="AY232" s="160"/>
      <c r="AZ232" s="160"/>
      <c r="BA232" s="160"/>
      <c r="BB232" s="160"/>
      <c r="BC232" s="160"/>
      <c r="BD232" s="160"/>
      <c r="BE232" s="160"/>
      <c r="BF232" s="160"/>
      <c r="BG232" s="160"/>
      <c r="BH232" s="36"/>
      <c r="BI232" s="150" cm="1">
        <f t="array" ref="BI232">IF(A232="","",IFERROR(MATCH(1,INDEX((pjNo=A232)*(pjType="Project"),0),0),""))</f>
        <v>167</v>
      </c>
      <c r="BJ232" s="150" t="str">
        <f>IF(D232="","",IFERROR(INDEX(tblStaff[Staff Level],MATCH(D232,tblStaff[Initials],0)),"?"))</f>
        <v>Mid Level Designer</v>
      </c>
      <c r="BK232" s="151" t="str" cm="1">
        <f t="array" ref="BK232">IF(BI232="","",INDEX(pjStart,BI232))</f>
        <v/>
      </c>
      <c r="BL232" s="151" t="str" cm="1">
        <f t="array" ref="BL232">IF(BI232="","",INDEX(pjEnd,BI232))</f>
        <v/>
      </c>
      <c r="BM232" s="150">
        <f>IF(BI232="",0,IF(C232="Active",1,IF(C232="Prospective",IF(Assumptions!$B$6="Active only",0,Assumptions!$B$7),0)))</f>
        <v>0</v>
      </c>
      <c r="BN232" s="150">
        <v>6</v>
      </c>
      <c r="BO232" s="36"/>
      <c r="BP232" s="36"/>
    </row>
    <row r="233" spans="1:68" hidden="1" outlineLevel="1" x14ac:dyDescent="0.25">
      <c r="A233" s="158">
        <v>2630</v>
      </c>
      <c r="B233" s="157" t="str" cm="1">
        <f t="array" ref="B233">IF(BI233="","",INDEX(pjName,BI233))</f>
        <v>Birch Roof Deck</v>
      </c>
      <c r="C233" s="158" t="str" cm="1">
        <f t="array" ref="C233">IF(BI233="","",IF(INDEX(pjStatus,BI233)="","",INDEX(pjStatus,BI233)))</f>
        <v>Inactive</v>
      </c>
      <c r="D233" s="158" t="str" cm="1">
        <f t="array" ref="D233">IFERROR(INDEX(tblStaff[Initials],BN233),"")</f>
        <v>XX</v>
      </c>
      <c r="E233" s="159" cm="1">
        <f t="array" ref="E233">IF(OR(BI233="",D233=""),"",IFERROR(SUMPRODUCT((pjNo=A233)*(pjType="Phase")*INDEX(Projects!$I$5:$O$1188,0,MATCH(D233,Projects!$I$4:$O$4,0))*pjWk),0))</f>
        <v>0</v>
      </c>
      <c r="F233" s="159">
        <f t="shared" si="98"/>
        <v>0</v>
      </c>
      <c r="G233" s="159">
        <f t="shared" si="99"/>
        <v>0</v>
      </c>
      <c r="H233" s="160"/>
      <c r="I233" s="160"/>
      <c r="J233" s="160"/>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60"/>
      <c r="AH233" s="160"/>
      <c r="AI233" s="160"/>
      <c r="AJ233" s="160"/>
      <c r="AK233" s="160"/>
      <c r="AL233" s="160"/>
      <c r="AM233" s="160"/>
      <c r="AN233" s="160"/>
      <c r="AO233" s="160"/>
      <c r="AP233" s="160"/>
      <c r="AQ233" s="160"/>
      <c r="AR233" s="160"/>
      <c r="AS233" s="160"/>
      <c r="AT233" s="160"/>
      <c r="AU233" s="160"/>
      <c r="AV233" s="160"/>
      <c r="AW233" s="160"/>
      <c r="AX233" s="160"/>
      <c r="AY233" s="160"/>
      <c r="AZ233" s="160"/>
      <c r="BA233" s="160"/>
      <c r="BB233" s="160"/>
      <c r="BC233" s="160"/>
      <c r="BD233" s="160"/>
      <c r="BE233" s="160"/>
      <c r="BF233" s="160"/>
      <c r="BG233" s="160"/>
      <c r="BH233" s="36"/>
      <c r="BI233" s="150" cm="1">
        <f t="array" ref="BI233">IF(A233="","",IFERROR(MATCH(1,INDEX((pjNo=A233)*(pjType="Project"),0),0),""))</f>
        <v>167</v>
      </c>
      <c r="BJ233" s="150" t="str">
        <f>IF(D233="","",IFERROR(INDEX(tblStaff[Staff Level],MATCH(D233,tblStaff[Initials],0)),"?"))</f>
        <v>Project Designer</v>
      </c>
      <c r="BK233" s="151" t="str" cm="1">
        <f t="array" ref="BK233">IF(BI233="","",INDEX(pjStart,BI233))</f>
        <v/>
      </c>
      <c r="BL233" s="151" t="str" cm="1">
        <f t="array" ref="BL233">IF(BI233="","",INDEX(pjEnd,BI233))</f>
        <v/>
      </c>
      <c r="BM233" s="150">
        <f>IF(BI233="",0,IF(C233="Active",1,IF(C233="Prospective",IF(Assumptions!$B$6="Active only",0,Assumptions!$B$7),0)))</f>
        <v>0</v>
      </c>
      <c r="BN233" s="150">
        <v>7</v>
      </c>
      <c r="BO233" s="36"/>
      <c r="BP233" s="36"/>
    </row>
    <row r="234" spans="1:68" hidden="1" outlineLevel="1" x14ac:dyDescent="0.25">
      <c r="A234" s="162">
        <v>2630</v>
      </c>
      <c r="B234" s="161" t="str" cm="1">
        <f t="array" ref="B234">IF(BI234="","",INDEX(pjName,BI234))</f>
        <v>Birch Roof Deck</v>
      </c>
      <c r="C234" s="162" t="str" cm="1">
        <f t="array" ref="C234">IF(BI234="","",IF(INDEX(pjStatus,BI234)="","",INDEX(pjStatus,BI234)))</f>
        <v>Inactive</v>
      </c>
      <c r="D234" s="162" t="str" cm="1">
        <f t="array" ref="D234">IFERROR(INDEX(tblStaff[Initials],BN234),"")</f>
        <v/>
      </c>
      <c r="E234" s="163" t="str" cm="1">
        <f t="array" ref="E234">IF(OR(BI234="",D234=""),"",IFERROR(SUMPRODUCT((pjNo=A234)*(pjType="Phase")*INDEX(Projects!$I$5:$O$1188,0,MATCH(D234,Projects!$I$4:$O$4,0))*pjWk),0))</f>
        <v/>
      </c>
      <c r="F234" s="163">
        <f t="shared" si="98"/>
        <v>0</v>
      </c>
      <c r="G234" s="163" t="str">
        <f t="shared" si="99"/>
        <v/>
      </c>
      <c r="H234" s="164"/>
      <c r="I234" s="164"/>
      <c r="J234" s="164"/>
      <c r="K234" s="164"/>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164"/>
      <c r="AH234" s="164"/>
      <c r="AI234" s="164"/>
      <c r="AJ234" s="164"/>
      <c r="AK234" s="164"/>
      <c r="AL234" s="164"/>
      <c r="AM234" s="164"/>
      <c r="AN234" s="164"/>
      <c r="AO234" s="164"/>
      <c r="AP234" s="164"/>
      <c r="AQ234" s="164"/>
      <c r="AR234" s="164"/>
      <c r="AS234" s="164"/>
      <c r="AT234" s="164"/>
      <c r="AU234" s="164"/>
      <c r="AV234" s="164"/>
      <c r="AW234" s="164"/>
      <c r="AX234" s="164"/>
      <c r="AY234" s="164"/>
      <c r="AZ234" s="164"/>
      <c r="BA234" s="164"/>
      <c r="BB234" s="164"/>
      <c r="BC234" s="164"/>
      <c r="BD234" s="164"/>
      <c r="BE234" s="164"/>
      <c r="BF234" s="164"/>
      <c r="BG234" s="164"/>
      <c r="BH234" s="36"/>
      <c r="BI234" s="150" cm="1">
        <f t="array" ref="BI234">IF(A234="","",IFERROR(MATCH(1,INDEX((pjNo=A234)*(pjType="Project"),0),0),""))</f>
        <v>167</v>
      </c>
      <c r="BJ234" s="150" t="str">
        <f>IF(D234="","",IFERROR(INDEX(tblStaff[Staff Level],MATCH(D234,tblStaff[Initials],0)),"?"))</f>
        <v/>
      </c>
      <c r="BK234" s="151" t="str" cm="1">
        <f t="array" ref="BK234">IF(BI234="","",INDEX(pjStart,BI234))</f>
        <v/>
      </c>
      <c r="BL234" s="151" t="str" cm="1">
        <f t="array" ref="BL234">IF(BI234="","",INDEX(pjEnd,BI234))</f>
        <v/>
      </c>
      <c r="BM234" s="150">
        <f>IF(BI234="",0,IF(C234="Active",1,IF(C234="Prospective",IF(Assumptions!$B$6="Active only",0,Assumptions!$B$7),0)))</f>
        <v>0</v>
      </c>
      <c r="BN234" s="150">
        <v>8</v>
      </c>
      <c r="BO234" s="36"/>
      <c r="BP234" s="36"/>
    </row>
    <row r="235" spans="1:68" collapsed="1" x14ac:dyDescent="0.25">
      <c r="A235" s="171"/>
      <c r="B235" s="173" t="str">
        <f>IF(A236="","",A236&amp;" · "&amp;B236)</f>
        <v>2636 · Stonebridge Streetscape</v>
      </c>
      <c r="C235" s="171" t="str">
        <f>IF(A236="","",C236)</f>
        <v>Active</v>
      </c>
      <c r="D235" s="171"/>
      <c r="E235" s="172">
        <f>SUM(E236:E243)</f>
        <v>317</v>
      </c>
      <c r="F235" s="172">
        <f>SUM(F236:F243)</f>
        <v>32</v>
      </c>
      <c r="G235" s="172">
        <f>IF(E235=0,"",E235-F235)</f>
        <v>285</v>
      </c>
      <c r="H235" s="174">
        <f t="shared" ref="H235:AM235" si="100">SUM(H236:H243)</f>
        <v>8</v>
      </c>
      <c r="I235" s="174">
        <f t="shared" si="100"/>
        <v>8</v>
      </c>
      <c r="J235" s="174">
        <f t="shared" si="100"/>
        <v>8</v>
      </c>
      <c r="K235" s="174">
        <f t="shared" si="100"/>
        <v>8</v>
      </c>
      <c r="L235" s="174">
        <f t="shared" si="100"/>
        <v>0</v>
      </c>
      <c r="M235" s="174">
        <f t="shared" si="100"/>
        <v>0</v>
      </c>
      <c r="N235" s="174">
        <f t="shared" si="100"/>
        <v>0</v>
      </c>
      <c r="O235" s="174">
        <f t="shared" si="100"/>
        <v>0</v>
      </c>
      <c r="P235" s="174">
        <f t="shared" si="100"/>
        <v>0</v>
      </c>
      <c r="Q235" s="174">
        <f t="shared" si="100"/>
        <v>0</v>
      </c>
      <c r="R235" s="174">
        <f t="shared" si="100"/>
        <v>0</v>
      </c>
      <c r="S235" s="174">
        <f t="shared" si="100"/>
        <v>0</v>
      </c>
      <c r="T235" s="174">
        <f t="shared" si="100"/>
        <v>0</v>
      </c>
      <c r="U235" s="174">
        <f t="shared" si="100"/>
        <v>0</v>
      </c>
      <c r="V235" s="174">
        <f t="shared" si="100"/>
        <v>0</v>
      </c>
      <c r="W235" s="174">
        <f t="shared" si="100"/>
        <v>0</v>
      </c>
      <c r="X235" s="174">
        <f t="shared" si="100"/>
        <v>0</v>
      </c>
      <c r="Y235" s="174">
        <f t="shared" si="100"/>
        <v>0</v>
      </c>
      <c r="Z235" s="174">
        <f t="shared" si="100"/>
        <v>0</v>
      </c>
      <c r="AA235" s="174">
        <f t="shared" si="100"/>
        <v>0</v>
      </c>
      <c r="AB235" s="174">
        <f t="shared" si="100"/>
        <v>0</v>
      </c>
      <c r="AC235" s="174">
        <f t="shared" si="100"/>
        <v>0</v>
      </c>
      <c r="AD235" s="174">
        <f t="shared" si="100"/>
        <v>0</v>
      </c>
      <c r="AE235" s="174">
        <f t="shared" si="100"/>
        <v>0</v>
      </c>
      <c r="AF235" s="174">
        <f t="shared" si="100"/>
        <v>0</v>
      </c>
      <c r="AG235" s="174">
        <f t="shared" si="100"/>
        <v>0</v>
      </c>
      <c r="AH235" s="174">
        <f t="shared" si="100"/>
        <v>0</v>
      </c>
      <c r="AI235" s="174">
        <f t="shared" si="100"/>
        <v>0</v>
      </c>
      <c r="AJ235" s="174">
        <f t="shared" si="100"/>
        <v>0</v>
      </c>
      <c r="AK235" s="174">
        <f t="shared" si="100"/>
        <v>0</v>
      </c>
      <c r="AL235" s="174">
        <f t="shared" si="100"/>
        <v>0</v>
      </c>
      <c r="AM235" s="174">
        <f t="shared" si="100"/>
        <v>0</v>
      </c>
      <c r="AN235" s="174">
        <f t="shared" ref="AN235:BG235" si="101">SUM(AN236:AN243)</f>
        <v>0</v>
      </c>
      <c r="AO235" s="174">
        <f t="shared" si="101"/>
        <v>0</v>
      </c>
      <c r="AP235" s="174">
        <f t="shared" si="101"/>
        <v>0</v>
      </c>
      <c r="AQ235" s="174">
        <f t="shared" si="101"/>
        <v>0</v>
      </c>
      <c r="AR235" s="174">
        <f t="shared" si="101"/>
        <v>0</v>
      </c>
      <c r="AS235" s="174">
        <f t="shared" si="101"/>
        <v>0</v>
      </c>
      <c r="AT235" s="174">
        <f t="shared" si="101"/>
        <v>0</v>
      </c>
      <c r="AU235" s="174">
        <f t="shared" si="101"/>
        <v>0</v>
      </c>
      <c r="AV235" s="174">
        <f t="shared" si="101"/>
        <v>0</v>
      </c>
      <c r="AW235" s="174">
        <f t="shared" si="101"/>
        <v>0</v>
      </c>
      <c r="AX235" s="174">
        <f t="shared" si="101"/>
        <v>0</v>
      </c>
      <c r="AY235" s="174">
        <f t="shared" si="101"/>
        <v>0</v>
      </c>
      <c r="AZ235" s="174">
        <f t="shared" si="101"/>
        <v>0</v>
      </c>
      <c r="BA235" s="174">
        <f t="shared" si="101"/>
        <v>0</v>
      </c>
      <c r="BB235" s="174">
        <f t="shared" si="101"/>
        <v>0</v>
      </c>
      <c r="BC235" s="174">
        <f t="shared" si="101"/>
        <v>0</v>
      </c>
      <c r="BD235" s="174">
        <f t="shared" si="101"/>
        <v>0</v>
      </c>
      <c r="BE235" s="174">
        <f t="shared" si="101"/>
        <v>0</v>
      </c>
      <c r="BF235" s="174">
        <f t="shared" si="101"/>
        <v>0</v>
      </c>
      <c r="BG235" s="174">
        <f t="shared" si="101"/>
        <v>0</v>
      </c>
      <c r="BH235" s="36"/>
      <c r="BI235" s="150"/>
      <c r="BJ235" s="150"/>
      <c r="BK235" s="151"/>
      <c r="BL235" s="151"/>
      <c r="BM235" s="150"/>
      <c r="BN235" s="150"/>
      <c r="BO235" s="36"/>
      <c r="BP235" s="36"/>
    </row>
    <row r="236" spans="1:68" outlineLevel="1" x14ac:dyDescent="0.25">
      <c r="A236" s="167">
        <v>2636</v>
      </c>
      <c r="B236" s="168" t="str" cm="1">
        <f t="array" ref="B236">IF(BI236="","",INDEX(pjName,BI236))</f>
        <v>Stonebridge Streetscape</v>
      </c>
      <c r="C236" s="167" t="str" cm="1">
        <f t="array" ref="C236">IF(BI236="","",IF(INDEX(pjStatus,BI236)="","",INDEX(pjStatus,BI236)))</f>
        <v>Active</v>
      </c>
      <c r="D236" s="167" t="str" cm="1">
        <f t="array" ref="D236">IFERROR(INDEX(tblStaff[Initials],BN236),"")</f>
        <v>PK</v>
      </c>
      <c r="E236" s="169" cm="1">
        <f t="array" ref="E236">IF(OR(BI236="",D236=""),"",IFERROR(SUMPRODUCT((pjNo=A236)*(pjType="Phase")*INDEX(Projects!$I$5:$O$1188,0,MATCH(D236,Projects!$I$4:$O$4,0))*pjWk),0))</f>
        <v>52</v>
      </c>
      <c r="F236" s="169">
        <f t="shared" ref="F236:F243" si="102">IF(BI236="","",SUM(H236:BG236))</f>
        <v>32</v>
      </c>
      <c r="G236" s="169">
        <f t="shared" ref="G236:G243" si="103">IF(OR(E236="",F236=""),"",E236-F236)</f>
        <v>20</v>
      </c>
      <c r="H236" s="170">
        <v>8</v>
      </c>
      <c r="I236" s="170">
        <v>8</v>
      </c>
      <c r="J236" s="170">
        <v>8</v>
      </c>
      <c r="K236" s="170">
        <v>8</v>
      </c>
      <c r="L236" s="170"/>
      <c r="M236" s="170"/>
      <c r="N236" s="170"/>
      <c r="O236" s="170"/>
      <c r="P236" s="170"/>
      <c r="Q236" s="170"/>
      <c r="R236" s="170"/>
      <c r="S236" s="170"/>
      <c r="T236" s="170"/>
      <c r="U236" s="170"/>
      <c r="V236" s="170"/>
      <c r="W236" s="170"/>
      <c r="X236" s="170"/>
      <c r="Y236" s="170"/>
      <c r="Z236" s="170"/>
      <c r="AA236" s="170"/>
      <c r="AB236" s="170"/>
      <c r="AC236" s="170"/>
      <c r="AD236" s="170"/>
      <c r="AE236" s="170"/>
      <c r="AF236" s="170"/>
      <c r="AG236" s="170"/>
      <c r="AH236" s="170"/>
      <c r="AI236" s="170"/>
      <c r="AJ236" s="170"/>
      <c r="AK236" s="170"/>
      <c r="AL236" s="170"/>
      <c r="AM236" s="170"/>
      <c r="AN236" s="170"/>
      <c r="AO236" s="170"/>
      <c r="AP236" s="170"/>
      <c r="AQ236" s="170"/>
      <c r="AR236" s="170"/>
      <c r="AS236" s="170"/>
      <c r="AT236" s="170"/>
      <c r="AU236" s="170"/>
      <c r="AV236" s="170"/>
      <c r="AW236" s="170"/>
      <c r="AX236" s="170"/>
      <c r="AY236" s="170"/>
      <c r="AZ236" s="170"/>
      <c r="BA236" s="170"/>
      <c r="BB236" s="170"/>
      <c r="BC236" s="170"/>
      <c r="BD236" s="170"/>
      <c r="BE236" s="170"/>
      <c r="BF236" s="170"/>
      <c r="BG236" s="170"/>
      <c r="BH236" s="36"/>
      <c r="BI236" s="150" cm="1">
        <f t="array" ref="BI236">IF(A236="","",IFERROR(MATCH(1,INDEX((pjNo=A236)*(pjType="Project"),0),0),""))</f>
        <v>173</v>
      </c>
      <c r="BJ236" s="150" t="str">
        <f>IF(D236="","",IFERROR(INDEX(tblStaff[Staff Level],MATCH(D236,tblStaff[Initials],0)),"?"))</f>
        <v>Principal</v>
      </c>
      <c r="BK236" s="151" cm="1">
        <f t="array" ref="BK236">IF(BI236="","",INDEX(pjStart,BI236))</f>
        <v>46300</v>
      </c>
      <c r="BL236" s="151" cm="1">
        <f t="array" ref="BL236">IF(BI236="","",INDEX(pjEnd,BI236))</f>
        <v>46349</v>
      </c>
      <c r="BM236" s="150">
        <f>IF(BI236="",0,IF(C236="Active",1,IF(C236="Prospective",IF(Assumptions!$B$6="Active only",0,Assumptions!$B$7),0)))</f>
        <v>1</v>
      </c>
      <c r="BN236" s="150">
        <v>1</v>
      </c>
      <c r="BO236" s="36"/>
      <c r="BP236" s="36"/>
    </row>
    <row r="237" spans="1:68" outlineLevel="1" x14ac:dyDescent="0.25">
      <c r="A237" s="167">
        <v>2636</v>
      </c>
      <c r="B237" s="168" t="str" cm="1">
        <f t="array" ref="B237">IF(BI237="","",INDEX(pjName,BI237))</f>
        <v>Stonebridge Streetscape</v>
      </c>
      <c r="C237" s="167" t="str" cm="1">
        <f t="array" ref="C237">IF(BI237="","",IF(INDEX(pjStatus,BI237)="","",INDEX(pjStatus,BI237)))</f>
        <v>Active</v>
      </c>
      <c r="D237" s="167" t="str" cm="1">
        <f t="array" ref="D237">IFERROR(INDEX(tblStaff[Initials],BN237),"")</f>
        <v>DF</v>
      </c>
      <c r="E237" s="169" cm="1">
        <f t="array" ref="E237">IF(OR(BI237="",D237=""),"",IFERROR(SUMPRODUCT((pjNo=A237)*(pjType="Phase")*INDEX(Projects!$I$5:$O$1188,0,MATCH(D237,Projects!$I$4:$O$4,0))*pjWk),0))</f>
        <v>0</v>
      </c>
      <c r="F237" s="169">
        <f t="shared" si="102"/>
        <v>0</v>
      </c>
      <c r="G237" s="169">
        <f t="shared" si="103"/>
        <v>0</v>
      </c>
      <c r="H237" s="170"/>
      <c r="I237" s="170"/>
      <c r="J237" s="170"/>
      <c r="K237" s="170"/>
      <c r="L237" s="170"/>
      <c r="M237" s="170"/>
      <c r="N237" s="170"/>
      <c r="O237" s="170"/>
      <c r="P237" s="170"/>
      <c r="Q237" s="170"/>
      <c r="R237" s="170"/>
      <c r="S237" s="170"/>
      <c r="T237" s="170"/>
      <c r="U237" s="170"/>
      <c r="V237" s="170"/>
      <c r="W237" s="170"/>
      <c r="X237" s="170"/>
      <c r="Y237" s="170"/>
      <c r="Z237" s="170"/>
      <c r="AA237" s="170"/>
      <c r="AB237" s="170"/>
      <c r="AC237" s="170"/>
      <c r="AD237" s="170"/>
      <c r="AE237" s="170"/>
      <c r="AF237" s="170"/>
      <c r="AG237" s="170"/>
      <c r="AH237" s="170"/>
      <c r="AI237" s="170"/>
      <c r="AJ237" s="170"/>
      <c r="AK237" s="170"/>
      <c r="AL237" s="170"/>
      <c r="AM237" s="170"/>
      <c r="AN237" s="170"/>
      <c r="AO237" s="170"/>
      <c r="AP237" s="170"/>
      <c r="AQ237" s="170"/>
      <c r="AR237" s="170"/>
      <c r="AS237" s="170"/>
      <c r="AT237" s="170"/>
      <c r="AU237" s="170"/>
      <c r="AV237" s="170"/>
      <c r="AW237" s="170"/>
      <c r="AX237" s="170"/>
      <c r="AY237" s="170"/>
      <c r="AZ237" s="170"/>
      <c r="BA237" s="170"/>
      <c r="BB237" s="170"/>
      <c r="BC237" s="170"/>
      <c r="BD237" s="170"/>
      <c r="BE237" s="170"/>
      <c r="BF237" s="170"/>
      <c r="BG237" s="170"/>
      <c r="BH237" s="36"/>
      <c r="BI237" s="150" cm="1">
        <f t="array" ref="BI237">IF(A237="","",IFERROR(MATCH(1,INDEX((pjNo=A237)*(pjType="Project"),0),0),""))</f>
        <v>173</v>
      </c>
      <c r="BJ237" s="150" t="str">
        <f>IF(D237="","",IFERROR(INDEX(tblStaff[Staff Level],MATCH(D237,tblStaff[Initials],0)),"?"))</f>
        <v>Principal</v>
      </c>
      <c r="BK237" s="151" cm="1">
        <f t="array" ref="BK237">IF(BI237="","",INDEX(pjStart,BI237))</f>
        <v>46300</v>
      </c>
      <c r="BL237" s="151" cm="1">
        <f t="array" ref="BL237">IF(BI237="","",INDEX(pjEnd,BI237))</f>
        <v>46349</v>
      </c>
      <c r="BM237" s="150">
        <f>IF(BI237="",0,IF(C237="Active",1,IF(C237="Prospective",IF(Assumptions!$B$6="Active only",0,Assumptions!$B$7),0)))</f>
        <v>1</v>
      </c>
      <c r="BN237" s="150">
        <v>2</v>
      </c>
      <c r="BO237" s="36"/>
      <c r="BP237" s="36"/>
    </row>
    <row r="238" spans="1:68" outlineLevel="1" x14ac:dyDescent="0.25">
      <c r="A238" s="158">
        <v>2636</v>
      </c>
      <c r="B238" s="157" t="str" cm="1">
        <f t="array" ref="B238">IF(BI238="","",INDEX(pjName,BI238))</f>
        <v>Stonebridge Streetscape</v>
      </c>
      <c r="C238" s="158" t="str" cm="1">
        <f t="array" ref="C238">IF(BI238="","",IF(INDEX(pjStatus,BI238)="","",INDEX(pjStatus,BI238)))</f>
        <v>Active</v>
      </c>
      <c r="D238" s="158" t="str" cm="1">
        <f t="array" ref="D238">IFERROR(INDEX(tblStaff[Initials],BN238),"")</f>
        <v>KJ</v>
      </c>
      <c r="E238" s="159" cm="1">
        <f t="array" ref="E238">IF(OR(BI238="",D238=""),"",IFERROR(SUMPRODUCT((pjNo=A238)*(pjType="Phase")*INDEX(Projects!$I$5:$O$1188,0,MATCH(D238,Projects!$I$4:$O$4,0))*pjWk),0))</f>
        <v>36</v>
      </c>
      <c r="F238" s="159">
        <f t="shared" si="102"/>
        <v>0</v>
      </c>
      <c r="G238" s="159">
        <f t="shared" si="103"/>
        <v>36</v>
      </c>
      <c r="H238" s="160"/>
      <c r="I238" s="160"/>
      <c r="J238" s="160"/>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60"/>
      <c r="AH238" s="160"/>
      <c r="AI238" s="160"/>
      <c r="AJ238" s="160"/>
      <c r="AK238" s="160"/>
      <c r="AL238" s="160"/>
      <c r="AM238" s="160"/>
      <c r="AN238" s="160"/>
      <c r="AO238" s="160"/>
      <c r="AP238" s="160"/>
      <c r="AQ238" s="160"/>
      <c r="AR238" s="160"/>
      <c r="AS238" s="160"/>
      <c r="AT238" s="160"/>
      <c r="AU238" s="160"/>
      <c r="AV238" s="160"/>
      <c r="AW238" s="160"/>
      <c r="AX238" s="160"/>
      <c r="AY238" s="160"/>
      <c r="AZ238" s="160"/>
      <c r="BA238" s="160"/>
      <c r="BB238" s="160"/>
      <c r="BC238" s="160"/>
      <c r="BD238" s="160"/>
      <c r="BE238" s="160"/>
      <c r="BF238" s="160"/>
      <c r="BG238" s="160"/>
      <c r="BH238" s="36"/>
      <c r="BI238" s="150" cm="1">
        <f t="array" ref="BI238">IF(A238="","",IFERROR(MATCH(1,INDEX((pjNo=A238)*(pjType="Project"),0),0),""))</f>
        <v>173</v>
      </c>
      <c r="BJ238" s="150" t="str">
        <f>IF(D238="","",IFERROR(INDEX(tblStaff[Staff Level],MATCH(D238,tblStaff[Initials],0)),"?"))</f>
        <v>Director</v>
      </c>
      <c r="BK238" s="151" cm="1">
        <f t="array" ref="BK238">IF(BI238="","",INDEX(pjStart,BI238))</f>
        <v>46300</v>
      </c>
      <c r="BL238" s="151" cm="1">
        <f t="array" ref="BL238">IF(BI238="","",INDEX(pjEnd,BI238))</f>
        <v>46349</v>
      </c>
      <c r="BM238" s="150">
        <f>IF(BI238="",0,IF(C238="Active",1,IF(C238="Prospective",IF(Assumptions!$B$6="Active only",0,Assumptions!$B$7),0)))</f>
        <v>1</v>
      </c>
      <c r="BN238" s="150">
        <v>3</v>
      </c>
      <c r="BO238" s="36"/>
      <c r="BP238" s="36"/>
    </row>
    <row r="239" spans="1:68" outlineLevel="1" x14ac:dyDescent="0.25">
      <c r="A239" s="158">
        <v>2636</v>
      </c>
      <c r="B239" s="157" t="str" cm="1">
        <f t="array" ref="B239">IF(BI239="","",INDEX(pjName,BI239))</f>
        <v>Stonebridge Streetscape</v>
      </c>
      <c r="C239" s="158" t="str" cm="1">
        <f t="array" ref="C239">IF(BI239="","",IF(INDEX(pjStatus,BI239)="","",INDEX(pjStatus,BI239)))</f>
        <v>Active</v>
      </c>
      <c r="D239" s="158" t="str" cm="1">
        <f t="array" ref="D239">IFERROR(INDEX(tblStaff[Initials],BN239),"")</f>
        <v>HL</v>
      </c>
      <c r="E239" s="159" cm="1">
        <f t="array" ref="E239">IF(OR(BI239="",D239=""),"",IFERROR(SUMPRODUCT((pjNo=A239)*(pjType="Phase")*INDEX(Projects!$I$5:$O$1188,0,MATCH(D239,Projects!$I$4:$O$4,0))*pjWk),0))</f>
        <v>36</v>
      </c>
      <c r="F239" s="159">
        <f t="shared" si="102"/>
        <v>0</v>
      </c>
      <c r="G239" s="159">
        <f t="shared" si="103"/>
        <v>36</v>
      </c>
      <c r="H239" s="160"/>
      <c r="I239" s="160"/>
      <c r="J239" s="160"/>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60"/>
      <c r="AH239" s="160"/>
      <c r="AI239" s="160"/>
      <c r="AJ239" s="160"/>
      <c r="AK239" s="160"/>
      <c r="AL239" s="160"/>
      <c r="AM239" s="160"/>
      <c r="AN239" s="160"/>
      <c r="AO239" s="160"/>
      <c r="AP239" s="160"/>
      <c r="AQ239" s="160"/>
      <c r="AR239" s="160"/>
      <c r="AS239" s="160"/>
      <c r="AT239" s="160"/>
      <c r="AU239" s="160"/>
      <c r="AV239" s="160"/>
      <c r="AW239" s="160"/>
      <c r="AX239" s="160"/>
      <c r="AY239" s="160"/>
      <c r="AZ239" s="160"/>
      <c r="BA239" s="160"/>
      <c r="BB239" s="160"/>
      <c r="BC239" s="160"/>
      <c r="BD239" s="160"/>
      <c r="BE239" s="160"/>
      <c r="BF239" s="160"/>
      <c r="BG239" s="160"/>
      <c r="BH239" s="36"/>
      <c r="BI239" s="150" cm="1">
        <f t="array" ref="BI239">IF(A239="","",IFERROR(MATCH(1,INDEX((pjNo=A239)*(pjType="Project"),0),0),""))</f>
        <v>173</v>
      </c>
      <c r="BJ239" s="150" t="str">
        <f>IF(D239="","",IFERROR(INDEX(tblStaff[Staff Level],MATCH(D239,tblStaff[Initials],0)),"?"))</f>
        <v>Senior Designer</v>
      </c>
      <c r="BK239" s="151" cm="1">
        <f t="array" ref="BK239">IF(BI239="","",INDEX(pjStart,BI239))</f>
        <v>46300</v>
      </c>
      <c r="BL239" s="151" cm="1">
        <f t="array" ref="BL239">IF(BI239="","",INDEX(pjEnd,BI239))</f>
        <v>46349</v>
      </c>
      <c r="BM239" s="150">
        <f>IF(BI239="",0,IF(C239="Active",1,IF(C239="Prospective",IF(Assumptions!$B$6="Active only",0,Assumptions!$B$7),0)))</f>
        <v>1</v>
      </c>
      <c r="BN239" s="150">
        <v>4</v>
      </c>
      <c r="BO239" s="36"/>
      <c r="BP239" s="36"/>
    </row>
    <row r="240" spans="1:68" outlineLevel="1" x14ac:dyDescent="0.25">
      <c r="A240" s="158">
        <v>2636</v>
      </c>
      <c r="B240" s="157" t="str" cm="1">
        <f t="array" ref="B240">IF(BI240="","",INDEX(pjName,BI240))</f>
        <v>Stonebridge Streetscape</v>
      </c>
      <c r="C240" s="158" t="str" cm="1">
        <f t="array" ref="C240">IF(BI240="","",IF(INDEX(pjStatus,BI240)="","",INDEX(pjStatus,BI240)))</f>
        <v>Active</v>
      </c>
      <c r="D240" s="158" t="str" cm="1">
        <f t="array" ref="D240">IFERROR(INDEX(tblStaff[Initials],BN240),"")</f>
        <v>EHH</v>
      </c>
      <c r="E240" s="159" cm="1">
        <f t="array" ref="E240">IF(OR(BI240="",D240=""),"",IFERROR(SUMPRODUCT((pjNo=A240)*(pjType="Phase")*INDEX(Projects!$I$5:$O$1188,0,MATCH(D240,Projects!$I$4:$O$4,0))*pjWk),0))</f>
        <v>9</v>
      </c>
      <c r="F240" s="159">
        <f t="shared" si="102"/>
        <v>0</v>
      </c>
      <c r="G240" s="159">
        <f t="shared" si="103"/>
        <v>9</v>
      </c>
      <c r="H240" s="160"/>
      <c r="I240" s="160"/>
      <c r="J240" s="160"/>
      <c r="K240" s="160"/>
      <c r="L240" s="160"/>
      <c r="M240" s="160"/>
      <c r="N240" s="160"/>
      <c r="O240" s="160"/>
      <c r="P240" s="160"/>
      <c r="Q240" s="160"/>
      <c r="R240" s="160"/>
      <c r="S240" s="160"/>
      <c r="T240" s="160"/>
      <c r="U240" s="160"/>
      <c r="V240" s="160"/>
      <c r="W240" s="160"/>
      <c r="X240" s="160"/>
      <c r="Y240" s="160"/>
      <c r="Z240" s="160"/>
      <c r="AA240" s="160"/>
      <c r="AB240" s="160"/>
      <c r="AC240" s="160"/>
      <c r="AD240" s="160"/>
      <c r="AE240" s="160"/>
      <c r="AF240" s="160"/>
      <c r="AG240" s="160"/>
      <c r="AH240" s="160"/>
      <c r="AI240" s="160"/>
      <c r="AJ240" s="160"/>
      <c r="AK240" s="160"/>
      <c r="AL240" s="160"/>
      <c r="AM240" s="160"/>
      <c r="AN240" s="160"/>
      <c r="AO240" s="160"/>
      <c r="AP240" s="160"/>
      <c r="AQ240" s="160"/>
      <c r="AR240" s="160"/>
      <c r="AS240" s="160"/>
      <c r="AT240" s="160"/>
      <c r="AU240" s="160"/>
      <c r="AV240" s="160"/>
      <c r="AW240" s="160"/>
      <c r="AX240" s="160"/>
      <c r="AY240" s="160"/>
      <c r="AZ240" s="160"/>
      <c r="BA240" s="160"/>
      <c r="BB240" s="160"/>
      <c r="BC240" s="160"/>
      <c r="BD240" s="160"/>
      <c r="BE240" s="160"/>
      <c r="BF240" s="160"/>
      <c r="BG240" s="160"/>
      <c r="BH240" s="36"/>
      <c r="BI240" s="150" cm="1">
        <f t="array" ref="BI240">IF(A240="","",IFERROR(MATCH(1,INDEX((pjNo=A240)*(pjType="Project"),0),0),""))</f>
        <v>173</v>
      </c>
      <c r="BJ240" s="150" t="str">
        <f>IF(D240="","",IFERROR(INDEX(tblStaff[Staff Level],MATCH(D240,tblStaff[Initials],0)),"?"))</f>
        <v>Mid Level Designer</v>
      </c>
      <c r="BK240" s="151" cm="1">
        <f t="array" ref="BK240">IF(BI240="","",INDEX(pjStart,BI240))</f>
        <v>46300</v>
      </c>
      <c r="BL240" s="151" cm="1">
        <f t="array" ref="BL240">IF(BI240="","",INDEX(pjEnd,BI240))</f>
        <v>46349</v>
      </c>
      <c r="BM240" s="150">
        <f>IF(BI240="",0,IF(C240="Active",1,IF(C240="Prospective",IF(Assumptions!$B$6="Active only",0,Assumptions!$B$7),0)))</f>
        <v>1</v>
      </c>
      <c r="BN240" s="150">
        <v>5</v>
      </c>
      <c r="BO240" s="36"/>
      <c r="BP240" s="36"/>
    </row>
    <row r="241" spans="1:68" outlineLevel="1" x14ac:dyDescent="0.25">
      <c r="A241" s="158">
        <v>2636</v>
      </c>
      <c r="B241" s="157" t="str" cm="1">
        <f t="array" ref="B241">IF(BI241="","",INDEX(pjName,BI241))</f>
        <v>Stonebridge Streetscape</v>
      </c>
      <c r="C241" s="158" t="str" cm="1">
        <f t="array" ref="C241">IF(BI241="","",IF(INDEX(pjStatus,BI241)="","",INDEX(pjStatus,BI241)))</f>
        <v>Active</v>
      </c>
      <c r="D241" s="158" t="str" cm="1">
        <f t="array" ref="D241">IFERROR(INDEX(tblStaff[Initials],BN241),"")</f>
        <v>KD</v>
      </c>
      <c r="E241" s="159" cm="1">
        <f t="array" ref="E241">IF(OR(BI241="",D241=""),"",IFERROR(SUMPRODUCT((pjNo=A241)*(pjType="Phase")*INDEX(Projects!$I$5:$O$1188,0,MATCH(D241,Projects!$I$4:$O$4,0))*pjWk),0))</f>
        <v>184</v>
      </c>
      <c r="F241" s="159">
        <f t="shared" si="102"/>
        <v>0</v>
      </c>
      <c r="G241" s="159">
        <f t="shared" si="103"/>
        <v>184</v>
      </c>
      <c r="H241" s="160"/>
      <c r="I241" s="160"/>
      <c r="J241" s="160"/>
      <c r="K241" s="160"/>
      <c r="L241" s="160"/>
      <c r="M241" s="160"/>
      <c r="N241" s="160"/>
      <c r="O241" s="160"/>
      <c r="P241" s="160"/>
      <c r="Q241" s="160"/>
      <c r="R241" s="160"/>
      <c r="S241" s="160"/>
      <c r="T241" s="160"/>
      <c r="U241" s="160"/>
      <c r="V241" s="160"/>
      <c r="W241" s="160"/>
      <c r="X241" s="160"/>
      <c r="Y241" s="160"/>
      <c r="Z241" s="160"/>
      <c r="AA241" s="160"/>
      <c r="AB241" s="160"/>
      <c r="AC241" s="160"/>
      <c r="AD241" s="160"/>
      <c r="AE241" s="160"/>
      <c r="AF241" s="160"/>
      <c r="AG241" s="160"/>
      <c r="AH241" s="160"/>
      <c r="AI241" s="160"/>
      <c r="AJ241" s="160"/>
      <c r="AK241" s="160"/>
      <c r="AL241" s="160"/>
      <c r="AM241" s="160"/>
      <c r="AN241" s="160"/>
      <c r="AO241" s="160"/>
      <c r="AP241" s="160"/>
      <c r="AQ241" s="160"/>
      <c r="AR241" s="160"/>
      <c r="AS241" s="160"/>
      <c r="AT241" s="160"/>
      <c r="AU241" s="160"/>
      <c r="AV241" s="160"/>
      <c r="AW241" s="160"/>
      <c r="AX241" s="160"/>
      <c r="AY241" s="160"/>
      <c r="AZ241" s="160"/>
      <c r="BA241" s="160"/>
      <c r="BB241" s="160"/>
      <c r="BC241" s="160"/>
      <c r="BD241" s="160"/>
      <c r="BE241" s="160"/>
      <c r="BF241" s="160"/>
      <c r="BG241" s="160"/>
      <c r="BH241" s="36"/>
      <c r="BI241" s="150" cm="1">
        <f t="array" ref="BI241">IF(A241="","",IFERROR(MATCH(1,INDEX((pjNo=A241)*(pjType="Project"),0),0),""))</f>
        <v>173</v>
      </c>
      <c r="BJ241" s="150" t="str">
        <f>IF(D241="","",IFERROR(INDEX(tblStaff[Staff Level],MATCH(D241,tblStaff[Initials],0)),"?"))</f>
        <v>Mid Level Designer</v>
      </c>
      <c r="BK241" s="151" cm="1">
        <f t="array" ref="BK241">IF(BI241="","",INDEX(pjStart,BI241))</f>
        <v>46300</v>
      </c>
      <c r="BL241" s="151" cm="1">
        <f t="array" ref="BL241">IF(BI241="","",INDEX(pjEnd,BI241))</f>
        <v>46349</v>
      </c>
      <c r="BM241" s="150">
        <f>IF(BI241="",0,IF(C241="Active",1,IF(C241="Prospective",IF(Assumptions!$B$6="Active only",0,Assumptions!$B$7),0)))</f>
        <v>1</v>
      </c>
      <c r="BN241" s="150">
        <v>6</v>
      </c>
      <c r="BO241" s="36"/>
      <c r="BP241" s="36"/>
    </row>
    <row r="242" spans="1:68" outlineLevel="1" x14ac:dyDescent="0.25">
      <c r="A242" s="158">
        <v>2636</v>
      </c>
      <c r="B242" s="157" t="str" cm="1">
        <f t="array" ref="B242">IF(BI242="","",INDEX(pjName,BI242))</f>
        <v>Stonebridge Streetscape</v>
      </c>
      <c r="C242" s="158" t="str" cm="1">
        <f t="array" ref="C242">IF(BI242="","",IF(INDEX(pjStatus,BI242)="","",INDEX(pjStatus,BI242)))</f>
        <v>Active</v>
      </c>
      <c r="D242" s="158" t="str" cm="1">
        <f t="array" ref="D242">IFERROR(INDEX(tblStaff[Initials],BN242),"")</f>
        <v>XX</v>
      </c>
      <c r="E242" s="159" cm="1">
        <f t="array" ref="E242">IF(OR(BI242="",D242=""),"",IFERROR(SUMPRODUCT((pjNo=A242)*(pjType="Phase")*INDEX(Projects!$I$5:$O$1188,0,MATCH(D242,Projects!$I$4:$O$4,0))*pjWk),0))</f>
        <v>0</v>
      </c>
      <c r="F242" s="159">
        <f t="shared" si="102"/>
        <v>0</v>
      </c>
      <c r="G242" s="159">
        <f t="shared" si="103"/>
        <v>0</v>
      </c>
      <c r="H242" s="160"/>
      <c r="I242" s="160"/>
      <c r="J242" s="160"/>
      <c r="K242" s="160"/>
      <c r="L242" s="160"/>
      <c r="M242" s="160"/>
      <c r="N242" s="160"/>
      <c r="O242" s="160"/>
      <c r="P242" s="160"/>
      <c r="Q242" s="160"/>
      <c r="R242" s="160"/>
      <c r="S242" s="160"/>
      <c r="T242" s="160"/>
      <c r="U242" s="160"/>
      <c r="V242" s="160"/>
      <c r="W242" s="160"/>
      <c r="X242" s="160"/>
      <c r="Y242" s="160"/>
      <c r="Z242" s="160"/>
      <c r="AA242" s="160"/>
      <c r="AB242" s="160"/>
      <c r="AC242" s="160"/>
      <c r="AD242" s="160"/>
      <c r="AE242" s="160"/>
      <c r="AF242" s="160"/>
      <c r="AG242" s="160"/>
      <c r="AH242" s="160"/>
      <c r="AI242" s="160"/>
      <c r="AJ242" s="160"/>
      <c r="AK242" s="160"/>
      <c r="AL242" s="160"/>
      <c r="AM242" s="160"/>
      <c r="AN242" s="160"/>
      <c r="AO242" s="160"/>
      <c r="AP242" s="160"/>
      <c r="AQ242" s="160"/>
      <c r="AR242" s="160"/>
      <c r="AS242" s="160"/>
      <c r="AT242" s="160"/>
      <c r="AU242" s="160"/>
      <c r="AV242" s="160"/>
      <c r="AW242" s="160"/>
      <c r="AX242" s="160"/>
      <c r="AY242" s="160"/>
      <c r="AZ242" s="160"/>
      <c r="BA242" s="160"/>
      <c r="BB242" s="160"/>
      <c r="BC242" s="160"/>
      <c r="BD242" s="160"/>
      <c r="BE242" s="160"/>
      <c r="BF242" s="160"/>
      <c r="BG242" s="160"/>
      <c r="BH242" s="36"/>
      <c r="BI242" s="150" cm="1">
        <f t="array" ref="BI242">IF(A242="","",IFERROR(MATCH(1,INDEX((pjNo=A242)*(pjType="Project"),0),0),""))</f>
        <v>173</v>
      </c>
      <c r="BJ242" s="150" t="str">
        <f>IF(D242="","",IFERROR(INDEX(tblStaff[Staff Level],MATCH(D242,tblStaff[Initials],0)),"?"))</f>
        <v>Project Designer</v>
      </c>
      <c r="BK242" s="151" cm="1">
        <f t="array" ref="BK242">IF(BI242="","",INDEX(pjStart,BI242))</f>
        <v>46300</v>
      </c>
      <c r="BL242" s="151" cm="1">
        <f t="array" ref="BL242">IF(BI242="","",INDEX(pjEnd,BI242))</f>
        <v>46349</v>
      </c>
      <c r="BM242" s="150">
        <f>IF(BI242="",0,IF(C242="Active",1,IF(C242="Prospective",IF(Assumptions!$B$6="Active only",0,Assumptions!$B$7),0)))</f>
        <v>1</v>
      </c>
      <c r="BN242" s="150">
        <v>7</v>
      </c>
      <c r="BO242" s="36"/>
      <c r="BP242" s="36"/>
    </row>
    <row r="243" spans="1:68" outlineLevel="1" x14ac:dyDescent="0.25">
      <c r="A243" s="162">
        <v>2636</v>
      </c>
      <c r="B243" s="161" t="str" cm="1">
        <f t="array" ref="B243">IF(BI243="","",INDEX(pjName,BI243))</f>
        <v>Stonebridge Streetscape</v>
      </c>
      <c r="C243" s="162" t="str" cm="1">
        <f t="array" ref="C243">IF(BI243="","",IF(INDEX(pjStatus,BI243)="","",INDEX(pjStatus,BI243)))</f>
        <v>Active</v>
      </c>
      <c r="D243" s="162" t="str" cm="1">
        <f t="array" ref="D243">IFERROR(INDEX(tblStaff[Initials],BN243),"")</f>
        <v/>
      </c>
      <c r="E243" s="163" t="str" cm="1">
        <f t="array" ref="E243">IF(OR(BI243="",D243=""),"",IFERROR(SUMPRODUCT((pjNo=A243)*(pjType="Phase")*INDEX(Projects!$I$5:$O$1188,0,MATCH(D243,Projects!$I$4:$O$4,0))*pjWk),0))</f>
        <v/>
      </c>
      <c r="F243" s="163">
        <f t="shared" si="102"/>
        <v>0</v>
      </c>
      <c r="G243" s="163" t="str">
        <f t="shared" si="103"/>
        <v/>
      </c>
      <c r="H243" s="164"/>
      <c r="I243" s="164"/>
      <c r="J243" s="164"/>
      <c r="K243" s="164"/>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c r="AH243" s="164"/>
      <c r="AI243" s="164"/>
      <c r="AJ243" s="164"/>
      <c r="AK243" s="164"/>
      <c r="AL243" s="164"/>
      <c r="AM243" s="164"/>
      <c r="AN243" s="164"/>
      <c r="AO243" s="164"/>
      <c r="AP243" s="164"/>
      <c r="AQ243" s="164"/>
      <c r="AR243" s="164"/>
      <c r="AS243" s="164"/>
      <c r="AT243" s="164"/>
      <c r="AU243" s="164"/>
      <c r="AV243" s="164"/>
      <c r="AW243" s="164"/>
      <c r="AX243" s="164"/>
      <c r="AY243" s="164"/>
      <c r="AZ243" s="164"/>
      <c r="BA243" s="164"/>
      <c r="BB243" s="164"/>
      <c r="BC243" s="164"/>
      <c r="BD243" s="164"/>
      <c r="BE243" s="164"/>
      <c r="BF243" s="164"/>
      <c r="BG243" s="164"/>
      <c r="BH243" s="36"/>
      <c r="BI243" s="150" cm="1">
        <f t="array" ref="BI243">IF(A243="","",IFERROR(MATCH(1,INDEX((pjNo=A243)*(pjType="Project"),0),0),""))</f>
        <v>173</v>
      </c>
      <c r="BJ243" s="150" t="str">
        <f>IF(D243="","",IFERROR(INDEX(tblStaff[Staff Level],MATCH(D243,tblStaff[Initials],0)),"?"))</f>
        <v/>
      </c>
      <c r="BK243" s="151" cm="1">
        <f t="array" ref="BK243">IF(BI243="","",INDEX(pjStart,BI243))</f>
        <v>46300</v>
      </c>
      <c r="BL243" s="151" cm="1">
        <f t="array" ref="BL243">IF(BI243="","",INDEX(pjEnd,BI243))</f>
        <v>46349</v>
      </c>
      <c r="BM243" s="150">
        <f>IF(BI243="",0,IF(C243="Active",1,IF(C243="Prospective",IF(Assumptions!$B$6="Active only",0,Assumptions!$B$7),0)))</f>
        <v>1</v>
      </c>
      <c r="BN243" s="150">
        <v>8</v>
      </c>
      <c r="BO243" s="36"/>
      <c r="BP243" s="36"/>
    </row>
    <row r="244" spans="1:68" x14ac:dyDescent="0.25">
      <c r="A244" s="171"/>
      <c r="B244" s="173" t="str">
        <f>IF(A245="","",A245&amp;" · "&amp;B245)</f>
        <v>2642 · Saltmarsh Terrace</v>
      </c>
      <c r="C244" s="171" t="str">
        <f>IF(A245="","",C245)</f>
        <v>Active</v>
      </c>
      <c r="D244" s="171"/>
      <c r="E244" s="172">
        <f>SUM(E245:E252)</f>
        <v>0</v>
      </c>
      <c r="F244" s="172">
        <f>SUM(F245:F252)</f>
        <v>0</v>
      </c>
      <c r="G244" s="172" t="str">
        <f>IF(E244=0,"",E244-F244)</f>
        <v/>
      </c>
      <c r="H244" s="174">
        <f t="shared" ref="H244:AM244" si="104">SUM(H245:H252)</f>
        <v>0</v>
      </c>
      <c r="I244" s="174">
        <f t="shared" si="104"/>
        <v>0</v>
      </c>
      <c r="J244" s="174">
        <f t="shared" si="104"/>
        <v>0</v>
      </c>
      <c r="K244" s="174">
        <f t="shared" si="104"/>
        <v>0</v>
      </c>
      <c r="L244" s="174">
        <f t="shared" si="104"/>
        <v>0</v>
      </c>
      <c r="M244" s="174">
        <f t="shared" si="104"/>
        <v>0</v>
      </c>
      <c r="N244" s="174">
        <f t="shared" si="104"/>
        <v>0</v>
      </c>
      <c r="O244" s="174">
        <f t="shared" si="104"/>
        <v>0</v>
      </c>
      <c r="P244" s="174">
        <f t="shared" si="104"/>
        <v>0</v>
      </c>
      <c r="Q244" s="174">
        <f t="shared" si="104"/>
        <v>0</v>
      </c>
      <c r="R244" s="174">
        <f t="shared" si="104"/>
        <v>0</v>
      </c>
      <c r="S244" s="174">
        <f t="shared" si="104"/>
        <v>0</v>
      </c>
      <c r="T244" s="174">
        <f t="shared" si="104"/>
        <v>0</v>
      </c>
      <c r="U244" s="174">
        <f t="shared" si="104"/>
        <v>0</v>
      </c>
      <c r="V244" s="174">
        <f t="shared" si="104"/>
        <v>0</v>
      </c>
      <c r="W244" s="174">
        <f t="shared" si="104"/>
        <v>0</v>
      </c>
      <c r="X244" s="174">
        <f t="shared" si="104"/>
        <v>0</v>
      </c>
      <c r="Y244" s="174">
        <f t="shared" si="104"/>
        <v>0</v>
      </c>
      <c r="Z244" s="174">
        <f t="shared" si="104"/>
        <v>0</v>
      </c>
      <c r="AA244" s="174">
        <f t="shared" si="104"/>
        <v>0</v>
      </c>
      <c r="AB244" s="174">
        <f t="shared" si="104"/>
        <v>0</v>
      </c>
      <c r="AC244" s="174">
        <f t="shared" si="104"/>
        <v>0</v>
      </c>
      <c r="AD244" s="174">
        <f t="shared" si="104"/>
        <v>0</v>
      </c>
      <c r="AE244" s="174">
        <f t="shared" si="104"/>
        <v>0</v>
      </c>
      <c r="AF244" s="174">
        <f t="shared" si="104"/>
        <v>0</v>
      </c>
      <c r="AG244" s="174">
        <f t="shared" si="104"/>
        <v>0</v>
      </c>
      <c r="AH244" s="174">
        <f t="shared" si="104"/>
        <v>0</v>
      </c>
      <c r="AI244" s="174">
        <f t="shared" si="104"/>
        <v>0</v>
      </c>
      <c r="AJ244" s="174">
        <f t="shared" si="104"/>
        <v>0</v>
      </c>
      <c r="AK244" s="174">
        <f t="shared" si="104"/>
        <v>0</v>
      </c>
      <c r="AL244" s="174">
        <f t="shared" si="104"/>
        <v>0</v>
      </c>
      <c r="AM244" s="174">
        <f t="shared" si="104"/>
        <v>0</v>
      </c>
      <c r="AN244" s="174">
        <f t="shared" ref="AN244:BG244" si="105">SUM(AN245:AN252)</f>
        <v>0</v>
      </c>
      <c r="AO244" s="174">
        <f t="shared" si="105"/>
        <v>0</v>
      </c>
      <c r="AP244" s="174">
        <f t="shared" si="105"/>
        <v>0</v>
      </c>
      <c r="AQ244" s="174">
        <f t="shared" si="105"/>
        <v>0</v>
      </c>
      <c r="AR244" s="174">
        <f t="shared" si="105"/>
        <v>0</v>
      </c>
      <c r="AS244" s="174">
        <f t="shared" si="105"/>
        <v>0</v>
      </c>
      <c r="AT244" s="174">
        <f t="shared" si="105"/>
        <v>0</v>
      </c>
      <c r="AU244" s="174">
        <f t="shared" si="105"/>
        <v>0</v>
      </c>
      <c r="AV244" s="174">
        <f t="shared" si="105"/>
        <v>0</v>
      </c>
      <c r="AW244" s="174">
        <f t="shared" si="105"/>
        <v>0</v>
      </c>
      <c r="AX244" s="174">
        <f t="shared" si="105"/>
        <v>0</v>
      </c>
      <c r="AY244" s="174">
        <f t="shared" si="105"/>
        <v>0</v>
      </c>
      <c r="AZ244" s="174">
        <f t="shared" si="105"/>
        <v>0</v>
      </c>
      <c r="BA244" s="174">
        <f t="shared" si="105"/>
        <v>0</v>
      </c>
      <c r="BB244" s="174">
        <f t="shared" si="105"/>
        <v>0</v>
      </c>
      <c r="BC244" s="174">
        <f t="shared" si="105"/>
        <v>0</v>
      </c>
      <c r="BD244" s="174">
        <f t="shared" si="105"/>
        <v>0</v>
      </c>
      <c r="BE244" s="174">
        <f t="shared" si="105"/>
        <v>0</v>
      </c>
      <c r="BF244" s="174">
        <f t="shared" si="105"/>
        <v>0</v>
      </c>
      <c r="BG244" s="174">
        <f t="shared" si="105"/>
        <v>0</v>
      </c>
      <c r="BH244" s="36"/>
      <c r="BI244" s="150"/>
      <c r="BJ244" s="150"/>
      <c r="BK244" s="151"/>
      <c r="BL244" s="151"/>
      <c r="BM244" s="150"/>
      <c r="BN244" s="150"/>
      <c r="BO244" s="36"/>
      <c r="BP244" s="36"/>
    </row>
    <row r="245" spans="1:68" hidden="1" outlineLevel="1" x14ac:dyDescent="0.25">
      <c r="A245" s="167">
        <v>2642</v>
      </c>
      <c r="B245" s="168" t="str" cm="1">
        <f t="array" ref="B245">IF(BI245="","",INDEX(pjName,BI245))</f>
        <v>Saltmarsh Terrace</v>
      </c>
      <c r="C245" s="167" t="str" cm="1">
        <f t="array" ref="C245">IF(BI245="","",IF(INDEX(pjStatus,BI245)="","",INDEX(pjStatus,BI245)))</f>
        <v>Active</v>
      </c>
      <c r="D245" s="167" t="str" cm="1">
        <f t="array" ref="D245">IFERROR(INDEX(tblStaff[Initials],BN245),"")</f>
        <v>PK</v>
      </c>
      <c r="E245" s="169" cm="1">
        <f t="array" ref="E245">IF(OR(BI245="",D245=""),"",IFERROR(SUMPRODUCT((pjNo=A245)*(pjType="Phase")*INDEX(Projects!$I$5:$O$1188,0,MATCH(D245,Projects!$I$4:$O$4,0))*pjWk),0))</f>
        <v>0</v>
      </c>
      <c r="F245" s="169">
        <f t="shared" ref="F245:F252" si="106">IF(BI245="","",SUM(H245:BG245))</f>
        <v>0</v>
      </c>
      <c r="G245" s="169">
        <f t="shared" ref="G245:G252" si="107">IF(OR(E245="",F245=""),"",E245-F245)</f>
        <v>0</v>
      </c>
      <c r="H245" s="170"/>
      <c r="I245" s="170"/>
      <c r="J245" s="170"/>
      <c r="K245" s="170"/>
      <c r="L245" s="170"/>
      <c r="M245" s="170"/>
      <c r="N245" s="170"/>
      <c r="O245" s="170"/>
      <c r="P245" s="170"/>
      <c r="Q245" s="170"/>
      <c r="R245" s="170"/>
      <c r="S245" s="170"/>
      <c r="T245" s="170"/>
      <c r="U245" s="170"/>
      <c r="V245" s="170"/>
      <c r="W245" s="170"/>
      <c r="X245" s="170"/>
      <c r="Y245" s="170"/>
      <c r="Z245" s="170"/>
      <c r="AA245" s="170"/>
      <c r="AB245" s="170"/>
      <c r="AC245" s="170"/>
      <c r="AD245" s="170"/>
      <c r="AE245" s="170"/>
      <c r="AF245" s="170"/>
      <c r="AG245" s="170"/>
      <c r="AH245" s="170"/>
      <c r="AI245" s="170"/>
      <c r="AJ245" s="170"/>
      <c r="AK245" s="170"/>
      <c r="AL245" s="170"/>
      <c r="AM245" s="170"/>
      <c r="AN245" s="170"/>
      <c r="AO245" s="170"/>
      <c r="AP245" s="170"/>
      <c r="AQ245" s="170"/>
      <c r="AR245" s="170"/>
      <c r="AS245" s="170"/>
      <c r="AT245" s="170"/>
      <c r="AU245" s="170"/>
      <c r="AV245" s="170"/>
      <c r="AW245" s="170"/>
      <c r="AX245" s="170"/>
      <c r="AY245" s="170"/>
      <c r="AZ245" s="170"/>
      <c r="BA245" s="170"/>
      <c r="BB245" s="170"/>
      <c r="BC245" s="170"/>
      <c r="BD245" s="170"/>
      <c r="BE245" s="170"/>
      <c r="BF245" s="170"/>
      <c r="BG245" s="170"/>
      <c r="BH245" s="36"/>
      <c r="BI245" s="150" cm="1">
        <f t="array" ref="BI245">IF(A245="","",IFERROR(MATCH(1,INDEX((pjNo=A245)*(pjType="Project"),0),0),""))</f>
        <v>176</v>
      </c>
      <c r="BJ245" s="150" t="str">
        <f>IF(D245="","",IFERROR(INDEX(tblStaff[Staff Level],MATCH(D245,tblStaff[Initials],0)),"?"))</f>
        <v>Principal</v>
      </c>
      <c r="BK245" s="151" t="str" cm="1">
        <f t="array" ref="BK245">IF(BI245="","",INDEX(pjStart,BI245))</f>
        <v/>
      </c>
      <c r="BL245" s="151" t="str" cm="1">
        <f t="array" ref="BL245">IF(BI245="","",INDEX(pjEnd,BI245))</f>
        <v/>
      </c>
      <c r="BM245" s="150">
        <f>IF(BI245="",0,IF(C245="Active",1,IF(C245="Prospective",IF(Assumptions!$B$6="Active only",0,Assumptions!$B$7),0)))</f>
        <v>1</v>
      </c>
      <c r="BN245" s="150">
        <v>1</v>
      </c>
      <c r="BO245" s="36"/>
      <c r="BP245" s="36"/>
    </row>
    <row r="246" spans="1:68" hidden="1" outlineLevel="1" x14ac:dyDescent="0.25">
      <c r="A246" s="167">
        <v>2642</v>
      </c>
      <c r="B246" s="168" t="str" cm="1">
        <f t="array" ref="B246">IF(BI246="","",INDEX(pjName,BI246))</f>
        <v>Saltmarsh Terrace</v>
      </c>
      <c r="C246" s="167" t="str" cm="1">
        <f t="array" ref="C246">IF(BI246="","",IF(INDEX(pjStatus,BI246)="","",INDEX(pjStatus,BI246)))</f>
        <v>Active</v>
      </c>
      <c r="D246" s="167" t="str" cm="1">
        <f t="array" ref="D246">IFERROR(INDEX(tblStaff[Initials],BN246),"")</f>
        <v>DF</v>
      </c>
      <c r="E246" s="169" cm="1">
        <f t="array" ref="E246">IF(OR(BI246="",D246=""),"",IFERROR(SUMPRODUCT((pjNo=A246)*(pjType="Phase")*INDEX(Projects!$I$5:$O$1188,0,MATCH(D246,Projects!$I$4:$O$4,0))*pjWk),0))</f>
        <v>0</v>
      </c>
      <c r="F246" s="169">
        <f t="shared" si="106"/>
        <v>0</v>
      </c>
      <c r="G246" s="169">
        <f t="shared" si="107"/>
        <v>0</v>
      </c>
      <c r="H246" s="170"/>
      <c r="I246" s="170"/>
      <c r="J246" s="170"/>
      <c r="K246" s="170"/>
      <c r="L246" s="170"/>
      <c r="M246" s="170"/>
      <c r="N246" s="170"/>
      <c r="O246" s="170"/>
      <c r="P246" s="170"/>
      <c r="Q246" s="170"/>
      <c r="R246" s="170"/>
      <c r="S246" s="170"/>
      <c r="T246" s="170"/>
      <c r="U246" s="170"/>
      <c r="V246" s="170"/>
      <c r="W246" s="170"/>
      <c r="X246" s="170"/>
      <c r="Y246" s="170"/>
      <c r="Z246" s="170"/>
      <c r="AA246" s="170"/>
      <c r="AB246" s="170"/>
      <c r="AC246" s="170"/>
      <c r="AD246" s="170"/>
      <c r="AE246" s="170"/>
      <c r="AF246" s="170"/>
      <c r="AG246" s="170"/>
      <c r="AH246" s="170"/>
      <c r="AI246" s="170"/>
      <c r="AJ246" s="170"/>
      <c r="AK246" s="170"/>
      <c r="AL246" s="170"/>
      <c r="AM246" s="170"/>
      <c r="AN246" s="170"/>
      <c r="AO246" s="170"/>
      <c r="AP246" s="170"/>
      <c r="AQ246" s="170"/>
      <c r="AR246" s="170"/>
      <c r="AS246" s="170"/>
      <c r="AT246" s="170"/>
      <c r="AU246" s="170"/>
      <c r="AV246" s="170"/>
      <c r="AW246" s="170"/>
      <c r="AX246" s="170"/>
      <c r="AY246" s="170"/>
      <c r="AZ246" s="170"/>
      <c r="BA246" s="170"/>
      <c r="BB246" s="170"/>
      <c r="BC246" s="170"/>
      <c r="BD246" s="170"/>
      <c r="BE246" s="170"/>
      <c r="BF246" s="170"/>
      <c r="BG246" s="170"/>
      <c r="BH246" s="36"/>
      <c r="BI246" s="150" cm="1">
        <f t="array" ref="BI246">IF(A246="","",IFERROR(MATCH(1,INDEX((pjNo=A246)*(pjType="Project"),0),0),""))</f>
        <v>176</v>
      </c>
      <c r="BJ246" s="150" t="str">
        <f>IF(D246="","",IFERROR(INDEX(tblStaff[Staff Level],MATCH(D246,tblStaff[Initials],0)),"?"))</f>
        <v>Principal</v>
      </c>
      <c r="BK246" s="151" t="str" cm="1">
        <f t="array" ref="BK246">IF(BI246="","",INDEX(pjStart,BI246))</f>
        <v/>
      </c>
      <c r="BL246" s="151" t="str" cm="1">
        <f t="array" ref="BL246">IF(BI246="","",INDEX(pjEnd,BI246))</f>
        <v/>
      </c>
      <c r="BM246" s="150">
        <f>IF(BI246="",0,IF(C246="Active",1,IF(C246="Prospective",IF(Assumptions!$B$6="Active only",0,Assumptions!$B$7),0)))</f>
        <v>1</v>
      </c>
      <c r="BN246" s="150">
        <v>2</v>
      </c>
      <c r="BO246" s="36"/>
      <c r="BP246" s="36"/>
    </row>
    <row r="247" spans="1:68" hidden="1" outlineLevel="1" x14ac:dyDescent="0.25">
      <c r="A247" s="158">
        <v>2642</v>
      </c>
      <c r="B247" s="157" t="str" cm="1">
        <f t="array" ref="B247">IF(BI247="","",INDEX(pjName,BI247))</f>
        <v>Saltmarsh Terrace</v>
      </c>
      <c r="C247" s="158" t="str" cm="1">
        <f t="array" ref="C247">IF(BI247="","",IF(INDEX(pjStatus,BI247)="","",INDEX(pjStatus,BI247)))</f>
        <v>Active</v>
      </c>
      <c r="D247" s="158" t="str" cm="1">
        <f t="array" ref="D247">IFERROR(INDEX(tblStaff[Initials],BN247),"")</f>
        <v>KJ</v>
      </c>
      <c r="E247" s="159" cm="1">
        <f t="array" ref="E247">IF(OR(BI247="",D247=""),"",IFERROR(SUMPRODUCT((pjNo=A247)*(pjType="Phase")*INDEX(Projects!$I$5:$O$1188,0,MATCH(D247,Projects!$I$4:$O$4,0))*pjWk),0))</f>
        <v>0</v>
      </c>
      <c r="F247" s="159">
        <f t="shared" si="106"/>
        <v>0</v>
      </c>
      <c r="G247" s="159">
        <f t="shared" si="107"/>
        <v>0</v>
      </c>
      <c r="H247" s="160"/>
      <c r="I247" s="160"/>
      <c r="J247" s="160"/>
      <c r="K247" s="160"/>
      <c r="L247" s="160"/>
      <c r="M247" s="160"/>
      <c r="N247" s="160"/>
      <c r="O247" s="160"/>
      <c r="P247" s="160"/>
      <c r="Q247" s="160"/>
      <c r="R247" s="160"/>
      <c r="S247" s="160"/>
      <c r="T247" s="160"/>
      <c r="U247" s="160"/>
      <c r="V247" s="160"/>
      <c r="W247" s="160"/>
      <c r="X247" s="160"/>
      <c r="Y247" s="160"/>
      <c r="Z247" s="160"/>
      <c r="AA247" s="160"/>
      <c r="AB247" s="160"/>
      <c r="AC247" s="160"/>
      <c r="AD247" s="160"/>
      <c r="AE247" s="160"/>
      <c r="AF247" s="160"/>
      <c r="AG247" s="160"/>
      <c r="AH247" s="160"/>
      <c r="AI247" s="160"/>
      <c r="AJ247" s="160"/>
      <c r="AK247" s="160"/>
      <c r="AL247" s="160"/>
      <c r="AM247" s="160"/>
      <c r="AN247" s="160"/>
      <c r="AO247" s="160"/>
      <c r="AP247" s="160"/>
      <c r="AQ247" s="160"/>
      <c r="AR247" s="160"/>
      <c r="AS247" s="160"/>
      <c r="AT247" s="160"/>
      <c r="AU247" s="160"/>
      <c r="AV247" s="160"/>
      <c r="AW247" s="160"/>
      <c r="AX247" s="160"/>
      <c r="AY247" s="160"/>
      <c r="AZ247" s="160"/>
      <c r="BA247" s="160"/>
      <c r="BB247" s="160"/>
      <c r="BC247" s="160"/>
      <c r="BD247" s="160"/>
      <c r="BE247" s="160"/>
      <c r="BF247" s="160"/>
      <c r="BG247" s="160"/>
      <c r="BH247" s="36"/>
      <c r="BI247" s="150" cm="1">
        <f t="array" ref="BI247">IF(A247="","",IFERROR(MATCH(1,INDEX((pjNo=A247)*(pjType="Project"),0),0),""))</f>
        <v>176</v>
      </c>
      <c r="BJ247" s="150" t="str">
        <f>IF(D247="","",IFERROR(INDEX(tblStaff[Staff Level],MATCH(D247,tblStaff[Initials],0)),"?"))</f>
        <v>Director</v>
      </c>
      <c r="BK247" s="151" t="str" cm="1">
        <f t="array" ref="BK247">IF(BI247="","",INDEX(pjStart,BI247))</f>
        <v/>
      </c>
      <c r="BL247" s="151" t="str" cm="1">
        <f t="array" ref="BL247">IF(BI247="","",INDEX(pjEnd,BI247))</f>
        <v/>
      </c>
      <c r="BM247" s="150">
        <f>IF(BI247="",0,IF(C247="Active",1,IF(C247="Prospective",IF(Assumptions!$B$6="Active only",0,Assumptions!$B$7),0)))</f>
        <v>1</v>
      </c>
      <c r="BN247" s="150">
        <v>3</v>
      </c>
      <c r="BO247" s="36"/>
      <c r="BP247" s="36"/>
    </row>
    <row r="248" spans="1:68" hidden="1" outlineLevel="1" x14ac:dyDescent="0.25">
      <c r="A248" s="158">
        <v>2642</v>
      </c>
      <c r="B248" s="157" t="str" cm="1">
        <f t="array" ref="B248">IF(BI248="","",INDEX(pjName,BI248))</f>
        <v>Saltmarsh Terrace</v>
      </c>
      <c r="C248" s="158" t="str" cm="1">
        <f t="array" ref="C248">IF(BI248="","",IF(INDEX(pjStatus,BI248)="","",INDEX(pjStatus,BI248)))</f>
        <v>Active</v>
      </c>
      <c r="D248" s="158" t="str" cm="1">
        <f t="array" ref="D248">IFERROR(INDEX(tblStaff[Initials],BN248),"")</f>
        <v>HL</v>
      </c>
      <c r="E248" s="159" cm="1">
        <f t="array" ref="E248">IF(OR(BI248="",D248=""),"",IFERROR(SUMPRODUCT((pjNo=A248)*(pjType="Phase")*INDEX(Projects!$I$5:$O$1188,0,MATCH(D248,Projects!$I$4:$O$4,0))*pjWk),0))</f>
        <v>0</v>
      </c>
      <c r="F248" s="159">
        <f t="shared" si="106"/>
        <v>0</v>
      </c>
      <c r="G248" s="159">
        <f t="shared" si="107"/>
        <v>0</v>
      </c>
      <c r="H248" s="160"/>
      <c r="I248" s="160"/>
      <c r="J248" s="160"/>
      <c r="K248" s="160"/>
      <c r="L248" s="160"/>
      <c r="M248" s="160"/>
      <c r="N248" s="160"/>
      <c r="O248" s="160"/>
      <c r="P248" s="160"/>
      <c r="Q248" s="160"/>
      <c r="R248" s="160"/>
      <c r="S248" s="160"/>
      <c r="T248" s="160"/>
      <c r="U248" s="160"/>
      <c r="V248" s="160"/>
      <c r="W248" s="160"/>
      <c r="X248" s="160"/>
      <c r="Y248" s="160"/>
      <c r="Z248" s="160"/>
      <c r="AA248" s="160"/>
      <c r="AB248" s="160"/>
      <c r="AC248" s="160"/>
      <c r="AD248" s="160"/>
      <c r="AE248" s="160"/>
      <c r="AF248" s="160"/>
      <c r="AG248" s="160"/>
      <c r="AH248" s="160"/>
      <c r="AI248" s="160"/>
      <c r="AJ248" s="160"/>
      <c r="AK248" s="160"/>
      <c r="AL248" s="160"/>
      <c r="AM248" s="160"/>
      <c r="AN248" s="160"/>
      <c r="AO248" s="160"/>
      <c r="AP248" s="160"/>
      <c r="AQ248" s="160"/>
      <c r="AR248" s="160"/>
      <c r="AS248" s="160"/>
      <c r="AT248" s="160"/>
      <c r="AU248" s="160"/>
      <c r="AV248" s="160"/>
      <c r="AW248" s="160"/>
      <c r="AX248" s="160"/>
      <c r="AY248" s="160"/>
      <c r="AZ248" s="160"/>
      <c r="BA248" s="160"/>
      <c r="BB248" s="160"/>
      <c r="BC248" s="160"/>
      <c r="BD248" s="160"/>
      <c r="BE248" s="160"/>
      <c r="BF248" s="160"/>
      <c r="BG248" s="160"/>
      <c r="BH248" s="36"/>
      <c r="BI248" s="150" cm="1">
        <f t="array" ref="BI248">IF(A248="","",IFERROR(MATCH(1,INDEX((pjNo=A248)*(pjType="Project"),0),0),""))</f>
        <v>176</v>
      </c>
      <c r="BJ248" s="150" t="str">
        <f>IF(D248="","",IFERROR(INDEX(tblStaff[Staff Level],MATCH(D248,tblStaff[Initials],0)),"?"))</f>
        <v>Senior Designer</v>
      </c>
      <c r="BK248" s="151" t="str" cm="1">
        <f t="array" ref="BK248">IF(BI248="","",INDEX(pjStart,BI248))</f>
        <v/>
      </c>
      <c r="BL248" s="151" t="str" cm="1">
        <f t="array" ref="BL248">IF(BI248="","",INDEX(pjEnd,BI248))</f>
        <v/>
      </c>
      <c r="BM248" s="150">
        <f>IF(BI248="",0,IF(C248="Active",1,IF(C248="Prospective",IF(Assumptions!$B$6="Active only",0,Assumptions!$B$7),0)))</f>
        <v>1</v>
      </c>
      <c r="BN248" s="150">
        <v>4</v>
      </c>
      <c r="BO248" s="36"/>
      <c r="BP248" s="36"/>
    </row>
    <row r="249" spans="1:68" hidden="1" outlineLevel="1" x14ac:dyDescent="0.25">
      <c r="A249" s="158">
        <v>2642</v>
      </c>
      <c r="B249" s="157" t="str" cm="1">
        <f t="array" ref="B249">IF(BI249="","",INDEX(pjName,BI249))</f>
        <v>Saltmarsh Terrace</v>
      </c>
      <c r="C249" s="158" t="str" cm="1">
        <f t="array" ref="C249">IF(BI249="","",IF(INDEX(pjStatus,BI249)="","",INDEX(pjStatus,BI249)))</f>
        <v>Active</v>
      </c>
      <c r="D249" s="158" t="str" cm="1">
        <f t="array" ref="D249">IFERROR(INDEX(tblStaff[Initials],BN249),"")</f>
        <v>EHH</v>
      </c>
      <c r="E249" s="159" cm="1">
        <f t="array" ref="E249">IF(OR(BI249="",D249=""),"",IFERROR(SUMPRODUCT((pjNo=A249)*(pjType="Phase")*INDEX(Projects!$I$5:$O$1188,0,MATCH(D249,Projects!$I$4:$O$4,0))*pjWk),0))</f>
        <v>0</v>
      </c>
      <c r="F249" s="159">
        <f t="shared" si="106"/>
        <v>0</v>
      </c>
      <c r="G249" s="159">
        <f t="shared" si="107"/>
        <v>0</v>
      </c>
      <c r="H249" s="160"/>
      <c r="I249" s="160"/>
      <c r="J249" s="160"/>
      <c r="K249" s="160"/>
      <c r="L249" s="160"/>
      <c r="M249" s="160"/>
      <c r="N249" s="160"/>
      <c r="O249" s="160"/>
      <c r="P249" s="160"/>
      <c r="Q249" s="160"/>
      <c r="R249" s="160"/>
      <c r="S249" s="160"/>
      <c r="T249" s="160"/>
      <c r="U249" s="160"/>
      <c r="V249" s="160"/>
      <c r="W249" s="160"/>
      <c r="X249" s="160"/>
      <c r="Y249" s="160"/>
      <c r="Z249" s="160"/>
      <c r="AA249" s="160"/>
      <c r="AB249" s="160"/>
      <c r="AC249" s="160"/>
      <c r="AD249" s="160"/>
      <c r="AE249" s="160"/>
      <c r="AF249" s="160"/>
      <c r="AG249" s="160"/>
      <c r="AH249" s="160"/>
      <c r="AI249" s="160"/>
      <c r="AJ249" s="160"/>
      <c r="AK249" s="160"/>
      <c r="AL249" s="160"/>
      <c r="AM249" s="160"/>
      <c r="AN249" s="160"/>
      <c r="AO249" s="160"/>
      <c r="AP249" s="160"/>
      <c r="AQ249" s="160"/>
      <c r="AR249" s="160"/>
      <c r="AS249" s="160"/>
      <c r="AT249" s="160"/>
      <c r="AU249" s="160"/>
      <c r="AV249" s="160"/>
      <c r="AW249" s="160"/>
      <c r="AX249" s="160"/>
      <c r="AY249" s="160"/>
      <c r="AZ249" s="160"/>
      <c r="BA249" s="160"/>
      <c r="BB249" s="160"/>
      <c r="BC249" s="160"/>
      <c r="BD249" s="160"/>
      <c r="BE249" s="160"/>
      <c r="BF249" s="160"/>
      <c r="BG249" s="160"/>
      <c r="BH249" s="36"/>
      <c r="BI249" s="150" cm="1">
        <f t="array" ref="BI249">IF(A249="","",IFERROR(MATCH(1,INDEX((pjNo=A249)*(pjType="Project"),0),0),""))</f>
        <v>176</v>
      </c>
      <c r="BJ249" s="150" t="str">
        <f>IF(D249="","",IFERROR(INDEX(tblStaff[Staff Level],MATCH(D249,tblStaff[Initials],0)),"?"))</f>
        <v>Mid Level Designer</v>
      </c>
      <c r="BK249" s="151" t="str" cm="1">
        <f t="array" ref="BK249">IF(BI249="","",INDEX(pjStart,BI249))</f>
        <v/>
      </c>
      <c r="BL249" s="151" t="str" cm="1">
        <f t="array" ref="BL249">IF(BI249="","",INDEX(pjEnd,BI249))</f>
        <v/>
      </c>
      <c r="BM249" s="150">
        <f>IF(BI249="",0,IF(C249="Active",1,IF(C249="Prospective",IF(Assumptions!$B$6="Active only",0,Assumptions!$B$7),0)))</f>
        <v>1</v>
      </c>
      <c r="BN249" s="150">
        <v>5</v>
      </c>
      <c r="BO249" s="36"/>
      <c r="BP249" s="36"/>
    </row>
    <row r="250" spans="1:68" hidden="1" outlineLevel="1" x14ac:dyDescent="0.25">
      <c r="A250" s="158">
        <v>2642</v>
      </c>
      <c r="B250" s="157" t="str" cm="1">
        <f t="array" ref="B250">IF(BI250="","",INDEX(pjName,BI250))</f>
        <v>Saltmarsh Terrace</v>
      </c>
      <c r="C250" s="158" t="str" cm="1">
        <f t="array" ref="C250">IF(BI250="","",IF(INDEX(pjStatus,BI250)="","",INDEX(pjStatus,BI250)))</f>
        <v>Active</v>
      </c>
      <c r="D250" s="158" t="str" cm="1">
        <f t="array" ref="D250">IFERROR(INDEX(tblStaff[Initials],BN250),"")</f>
        <v>KD</v>
      </c>
      <c r="E250" s="159" cm="1">
        <f t="array" ref="E250">IF(OR(BI250="",D250=""),"",IFERROR(SUMPRODUCT((pjNo=A250)*(pjType="Phase")*INDEX(Projects!$I$5:$O$1188,0,MATCH(D250,Projects!$I$4:$O$4,0))*pjWk),0))</f>
        <v>0</v>
      </c>
      <c r="F250" s="159">
        <f t="shared" si="106"/>
        <v>0</v>
      </c>
      <c r="G250" s="159">
        <f t="shared" si="107"/>
        <v>0</v>
      </c>
      <c r="H250" s="160"/>
      <c r="I250" s="160"/>
      <c r="J250" s="160"/>
      <c r="K250" s="160"/>
      <c r="L250" s="160"/>
      <c r="M250" s="160"/>
      <c r="N250" s="160"/>
      <c r="O250" s="160"/>
      <c r="P250" s="160"/>
      <c r="Q250" s="160"/>
      <c r="R250" s="160"/>
      <c r="S250" s="160"/>
      <c r="T250" s="160"/>
      <c r="U250" s="160"/>
      <c r="V250" s="160"/>
      <c r="W250" s="160"/>
      <c r="X250" s="160"/>
      <c r="Y250" s="160"/>
      <c r="Z250" s="160"/>
      <c r="AA250" s="160"/>
      <c r="AB250" s="160"/>
      <c r="AC250" s="160"/>
      <c r="AD250" s="160"/>
      <c r="AE250" s="160"/>
      <c r="AF250" s="160"/>
      <c r="AG250" s="160"/>
      <c r="AH250" s="160"/>
      <c r="AI250" s="160"/>
      <c r="AJ250" s="160"/>
      <c r="AK250" s="160"/>
      <c r="AL250" s="160"/>
      <c r="AM250" s="160"/>
      <c r="AN250" s="160"/>
      <c r="AO250" s="160"/>
      <c r="AP250" s="160"/>
      <c r="AQ250" s="160"/>
      <c r="AR250" s="160"/>
      <c r="AS250" s="160"/>
      <c r="AT250" s="160"/>
      <c r="AU250" s="160"/>
      <c r="AV250" s="160"/>
      <c r="AW250" s="160"/>
      <c r="AX250" s="160"/>
      <c r="AY250" s="160"/>
      <c r="AZ250" s="160"/>
      <c r="BA250" s="160"/>
      <c r="BB250" s="160"/>
      <c r="BC250" s="160"/>
      <c r="BD250" s="160"/>
      <c r="BE250" s="160"/>
      <c r="BF250" s="160"/>
      <c r="BG250" s="160"/>
      <c r="BH250" s="36"/>
      <c r="BI250" s="150" cm="1">
        <f t="array" ref="BI250">IF(A250="","",IFERROR(MATCH(1,INDEX((pjNo=A250)*(pjType="Project"),0),0),""))</f>
        <v>176</v>
      </c>
      <c r="BJ250" s="150" t="str">
        <f>IF(D250="","",IFERROR(INDEX(tblStaff[Staff Level],MATCH(D250,tblStaff[Initials],0)),"?"))</f>
        <v>Mid Level Designer</v>
      </c>
      <c r="BK250" s="151" t="str" cm="1">
        <f t="array" ref="BK250">IF(BI250="","",INDEX(pjStart,BI250))</f>
        <v/>
      </c>
      <c r="BL250" s="151" t="str" cm="1">
        <f t="array" ref="BL250">IF(BI250="","",INDEX(pjEnd,BI250))</f>
        <v/>
      </c>
      <c r="BM250" s="150">
        <f>IF(BI250="",0,IF(C250="Active",1,IF(C250="Prospective",IF(Assumptions!$B$6="Active only",0,Assumptions!$B$7),0)))</f>
        <v>1</v>
      </c>
      <c r="BN250" s="150">
        <v>6</v>
      </c>
      <c r="BO250" s="36"/>
      <c r="BP250" s="36"/>
    </row>
    <row r="251" spans="1:68" hidden="1" outlineLevel="1" x14ac:dyDescent="0.25">
      <c r="A251" s="158">
        <v>2642</v>
      </c>
      <c r="B251" s="157" t="str" cm="1">
        <f t="array" ref="B251">IF(BI251="","",INDEX(pjName,BI251))</f>
        <v>Saltmarsh Terrace</v>
      </c>
      <c r="C251" s="158" t="str" cm="1">
        <f t="array" ref="C251">IF(BI251="","",IF(INDEX(pjStatus,BI251)="","",INDEX(pjStatus,BI251)))</f>
        <v>Active</v>
      </c>
      <c r="D251" s="158" t="str" cm="1">
        <f t="array" ref="D251">IFERROR(INDEX(tblStaff[Initials],BN251),"")</f>
        <v>XX</v>
      </c>
      <c r="E251" s="159" cm="1">
        <f t="array" ref="E251">IF(OR(BI251="",D251=""),"",IFERROR(SUMPRODUCT((pjNo=A251)*(pjType="Phase")*INDEX(Projects!$I$5:$O$1188,0,MATCH(D251,Projects!$I$4:$O$4,0))*pjWk),0))</f>
        <v>0</v>
      </c>
      <c r="F251" s="159">
        <f t="shared" si="106"/>
        <v>0</v>
      </c>
      <c r="G251" s="159">
        <f t="shared" si="107"/>
        <v>0</v>
      </c>
      <c r="H251" s="160"/>
      <c r="I251" s="160"/>
      <c r="J251" s="160"/>
      <c r="K251" s="160"/>
      <c r="L251" s="160"/>
      <c r="M251" s="160"/>
      <c r="N251" s="160"/>
      <c r="O251" s="160"/>
      <c r="P251" s="160"/>
      <c r="Q251" s="160"/>
      <c r="R251" s="160"/>
      <c r="S251" s="160"/>
      <c r="T251" s="160"/>
      <c r="U251" s="160"/>
      <c r="V251" s="160"/>
      <c r="W251" s="160"/>
      <c r="X251" s="160"/>
      <c r="Y251" s="160"/>
      <c r="Z251" s="160"/>
      <c r="AA251" s="160"/>
      <c r="AB251" s="160"/>
      <c r="AC251" s="160"/>
      <c r="AD251" s="160"/>
      <c r="AE251" s="160"/>
      <c r="AF251" s="160"/>
      <c r="AG251" s="160"/>
      <c r="AH251" s="160"/>
      <c r="AI251" s="160"/>
      <c r="AJ251" s="160"/>
      <c r="AK251" s="160"/>
      <c r="AL251" s="160"/>
      <c r="AM251" s="160"/>
      <c r="AN251" s="160"/>
      <c r="AO251" s="160"/>
      <c r="AP251" s="160"/>
      <c r="AQ251" s="160"/>
      <c r="AR251" s="160"/>
      <c r="AS251" s="160"/>
      <c r="AT251" s="160"/>
      <c r="AU251" s="160"/>
      <c r="AV251" s="160"/>
      <c r="AW251" s="160"/>
      <c r="AX251" s="160"/>
      <c r="AY251" s="160"/>
      <c r="AZ251" s="160"/>
      <c r="BA251" s="160"/>
      <c r="BB251" s="160"/>
      <c r="BC251" s="160"/>
      <c r="BD251" s="160"/>
      <c r="BE251" s="160"/>
      <c r="BF251" s="160"/>
      <c r="BG251" s="160"/>
      <c r="BH251" s="36"/>
      <c r="BI251" s="150" cm="1">
        <f t="array" ref="BI251">IF(A251="","",IFERROR(MATCH(1,INDEX((pjNo=A251)*(pjType="Project"),0),0),""))</f>
        <v>176</v>
      </c>
      <c r="BJ251" s="150" t="str">
        <f>IF(D251="","",IFERROR(INDEX(tblStaff[Staff Level],MATCH(D251,tblStaff[Initials],0)),"?"))</f>
        <v>Project Designer</v>
      </c>
      <c r="BK251" s="151" t="str" cm="1">
        <f t="array" ref="BK251">IF(BI251="","",INDEX(pjStart,BI251))</f>
        <v/>
      </c>
      <c r="BL251" s="151" t="str" cm="1">
        <f t="array" ref="BL251">IF(BI251="","",INDEX(pjEnd,BI251))</f>
        <v/>
      </c>
      <c r="BM251" s="150">
        <f>IF(BI251="",0,IF(C251="Active",1,IF(C251="Prospective",IF(Assumptions!$B$6="Active only",0,Assumptions!$B$7),0)))</f>
        <v>1</v>
      </c>
      <c r="BN251" s="150">
        <v>7</v>
      </c>
      <c r="BO251" s="36"/>
      <c r="BP251" s="36"/>
    </row>
    <row r="252" spans="1:68" hidden="1" outlineLevel="1" x14ac:dyDescent="0.25">
      <c r="A252" s="162">
        <v>2642</v>
      </c>
      <c r="B252" s="161" t="str" cm="1">
        <f t="array" ref="B252">IF(BI252="","",INDEX(pjName,BI252))</f>
        <v>Saltmarsh Terrace</v>
      </c>
      <c r="C252" s="162" t="str" cm="1">
        <f t="array" ref="C252">IF(BI252="","",IF(INDEX(pjStatus,BI252)="","",INDEX(pjStatus,BI252)))</f>
        <v>Active</v>
      </c>
      <c r="D252" s="162" t="str" cm="1">
        <f t="array" ref="D252">IFERROR(INDEX(tblStaff[Initials],BN252),"")</f>
        <v/>
      </c>
      <c r="E252" s="163" t="str" cm="1">
        <f t="array" ref="E252">IF(OR(BI252="",D252=""),"",IFERROR(SUMPRODUCT((pjNo=A252)*(pjType="Phase")*INDEX(Projects!$I$5:$O$1188,0,MATCH(D252,Projects!$I$4:$O$4,0))*pjWk),0))</f>
        <v/>
      </c>
      <c r="F252" s="163">
        <f t="shared" si="106"/>
        <v>0</v>
      </c>
      <c r="G252" s="163" t="str">
        <f t="shared" si="107"/>
        <v/>
      </c>
      <c r="H252" s="164"/>
      <c r="I252" s="164"/>
      <c r="J252" s="164"/>
      <c r="K252" s="164"/>
      <c r="L252" s="164"/>
      <c r="M252" s="164"/>
      <c r="N252" s="164"/>
      <c r="O252" s="164"/>
      <c r="P252" s="164"/>
      <c r="Q252" s="164"/>
      <c r="R252" s="164"/>
      <c r="S252" s="164"/>
      <c r="T252" s="164"/>
      <c r="U252" s="164"/>
      <c r="V252" s="164"/>
      <c r="W252" s="164"/>
      <c r="X252" s="164"/>
      <c r="Y252" s="164"/>
      <c r="Z252" s="164"/>
      <c r="AA252" s="164"/>
      <c r="AB252" s="164"/>
      <c r="AC252" s="164"/>
      <c r="AD252" s="164"/>
      <c r="AE252" s="164"/>
      <c r="AF252" s="164"/>
      <c r="AG252" s="164"/>
      <c r="AH252" s="164"/>
      <c r="AI252" s="164"/>
      <c r="AJ252" s="164"/>
      <c r="AK252" s="164"/>
      <c r="AL252" s="164"/>
      <c r="AM252" s="164"/>
      <c r="AN252" s="164"/>
      <c r="AO252" s="164"/>
      <c r="AP252" s="164"/>
      <c r="AQ252" s="164"/>
      <c r="AR252" s="164"/>
      <c r="AS252" s="164"/>
      <c r="AT252" s="164"/>
      <c r="AU252" s="164"/>
      <c r="AV252" s="164"/>
      <c r="AW252" s="164"/>
      <c r="AX252" s="164"/>
      <c r="AY252" s="164"/>
      <c r="AZ252" s="164"/>
      <c r="BA252" s="164"/>
      <c r="BB252" s="164"/>
      <c r="BC252" s="164"/>
      <c r="BD252" s="164"/>
      <c r="BE252" s="164"/>
      <c r="BF252" s="164"/>
      <c r="BG252" s="164"/>
      <c r="BH252" s="36"/>
      <c r="BI252" s="150" cm="1">
        <f t="array" ref="BI252">IF(A252="","",IFERROR(MATCH(1,INDEX((pjNo=A252)*(pjType="Project"),0),0),""))</f>
        <v>176</v>
      </c>
      <c r="BJ252" s="150" t="str">
        <f>IF(D252="","",IFERROR(INDEX(tblStaff[Staff Level],MATCH(D252,tblStaff[Initials],0)),"?"))</f>
        <v/>
      </c>
      <c r="BK252" s="151" t="str" cm="1">
        <f t="array" ref="BK252">IF(BI252="","",INDEX(pjStart,BI252))</f>
        <v/>
      </c>
      <c r="BL252" s="151" t="str" cm="1">
        <f t="array" ref="BL252">IF(BI252="","",INDEX(pjEnd,BI252))</f>
        <v/>
      </c>
      <c r="BM252" s="150">
        <f>IF(BI252="",0,IF(C252="Active",1,IF(C252="Prospective",IF(Assumptions!$B$6="Active only",0,Assumptions!$B$7),0)))</f>
        <v>1</v>
      </c>
      <c r="BN252" s="150">
        <v>8</v>
      </c>
      <c r="BO252" s="36"/>
      <c r="BP252" s="36"/>
    </row>
    <row r="253" spans="1:68" collapsed="1" x14ac:dyDescent="0.25">
      <c r="A253" s="171"/>
      <c r="B253" s="173" t="str">
        <f>IF(A254="","",A254&amp;" · "&amp;B254)</f>
        <v>2672 · Marigold Plaza</v>
      </c>
      <c r="C253" s="171" t="str">
        <f>IF(A254="","",C254)</f>
        <v>Active</v>
      </c>
      <c r="D253" s="171"/>
      <c r="E253" s="172">
        <f>SUM(E254:E261)</f>
        <v>1483</v>
      </c>
      <c r="F253" s="172">
        <f>SUM(F254:F261)</f>
        <v>1458</v>
      </c>
      <c r="G253" s="172">
        <f>IF(E253=0,"",E253-F253)</f>
        <v>25</v>
      </c>
      <c r="H253" s="174">
        <f t="shared" ref="H253:AM253" si="108">SUM(H254:H261)</f>
        <v>86</v>
      </c>
      <c r="I253" s="174">
        <f t="shared" si="108"/>
        <v>86</v>
      </c>
      <c r="J253" s="174">
        <f t="shared" si="108"/>
        <v>86</v>
      </c>
      <c r="K253" s="174">
        <f t="shared" si="108"/>
        <v>86</v>
      </c>
      <c r="L253" s="174">
        <f t="shared" si="108"/>
        <v>86</v>
      </c>
      <c r="M253" s="174">
        <f t="shared" si="108"/>
        <v>86</v>
      </c>
      <c r="N253" s="174">
        <f t="shared" si="108"/>
        <v>86</v>
      </c>
      <c r="O253" s="174">
        <f t="shared" si="108"/>
        <v>100</v>
      </c>
      <c r="P253" s="174">
        <f t="shared" si="108"/>
        <v>100</v>
      </c>
      <c r="Q253" s="174">
        <f t="shared" si="108"/>
        <v>84</v>
      </c>
      <c r="R253" s="174">
        <f t="shared" si="108"/>
        <v>84</v>
      </c>
      <c r="S253" s="174">
        <f t="shared" si="108"/>
        <v>84</v>
      </c>
      <c r="T253" s="174">
        <f t="shared" si="108"/>
        <v>84</v>
      </c>
      <c r="U253" s="174">
        <f t="shared" si="108"/>
        <v>84</v>
      </c>
      <c r="V253" s="174">
        <f t="shared" si="108"/>
        <v>84</v>
      </c>
      <c r="W253" s="174">
        <f t="shared" si="108"/>
        <v>76</v>
      </c>
      <c r="X253" s="174">
        <f t="shared" si="108"/>
        <v>76</v>
      </c>
      <c r="Y253" s="174">
        <f t="shared" si="108"/>
        <v>0</v>
      </c>
      <c r="Z253" s="174">
        <f t="shared" si="108"/>
        <v>0</v>
      </c>
      <c r="AA253" s="174">
        <f t="shared" si="108"/>
        <v>0</v>
      </c>
      <c r="AB253" s="174">
        <f t="shared" si="108"/>
        <v>0</v>
      </c>
      <c r="AC253" s="174">
        <f t="shared" si="108"/>
        <v>0</v>
      </c>
      <c r="AD253" s="174">
        <f t="shared" si="108"/>
        <v>0</v>
      </c>
      <c r="AE253" s="174">
        <f t="shared" si="108"/>
        <v>0</v>
      </c>
      <c r="AF253" s="174">
        <f t="shared" si="108"/>
        <v>0</v>
      </c>
      <c r="AG253" s="174">
        <f t="shared" si="108"/>
        <v>0</v>
      </c>
      <c r="AH253" s="174">
        <f t="shared" si="108"/>
        <v>0</v>
      </c>
      <c r="AI253" s="174">
        <f t="shared" si="108"/>
        <v>0</v>
      </c>
      <c r="AJ253" s="174">
        <f t="shared" si="108"/>
        <v>0</v>
      </c>
      <c r="AK253" s="174">
        <f t="shared" si="108"/>
        <v>0</v>
      </c>
      <c r="AL253" s="174">
        <f t="shared" si="108"/>
        <v>0</v>
      </c>
      <c r="AM253" s="174">
        <f t="shared" si="108"/>
        <v>0</v>
      </c>
      <c r="AN253" s="174">
        <f t="shared" ref="AN253:BG253" si="109">SUM(AN254:AN261)</f>
        <v>0</v>
      </c>
      <c r="AO253" s="174">
        <f t="shared" si="109"/>
        <v>0</v>
      </c>
      <c r="AP253" s="174">
        <f t="shared" si="109"/>
        <v>0</v>
      </c>
      <c r="AQ253" s="174">
        <f t="shared" si="109"/>
        <v>0</v>
      </c>
      <c r="AR253" s="174">
        <f t="shared" si="109"/>
        <v>0</v>
      </c>
      <c r="AS253" s="174">
        <f t="shared" si="109"/>
        <v>0</v>
      </c>
      <c r="AT253" s="174">
        <f t="shared" si="109"/>
        <v>0</v>
      </c>
      <c r="AU253" s="174">
        <f t="shared" si="109"/>
        <v>0</v>
      </c>
      <c r="AV253" s="174">
        <f t="shared" si="109"/>
        <v>0</v>
      </c>
      <c r="AW253" s="174">
        <f t="shared" si="109"/>
        <v>0</v>
      </c>
      <c r="AX253" s="174">
        <f t="shared" si="109"/>
        <v>0</v>
      </c>
      <c r="AY253" s="174">
        <f t="shared" si="109"/>
        <v>0</v>
      </c>
      <c r="AZ253" s="174">
        <f t="shared" si="109"/>
        <v>0</v>
      </c>
      <c r="BA253" s="174">
        <f t="shared" si="109"/>
        <v>0</v>
      </c>
      <c r="BB253" s="174">
        <f t="shared" si="109"/>
        <v>0</v>
      </c>
      <c r="BC253" s="174">
        <f t="shared" si="109"/>
        <v>0</v>
      </c>
      <c r="BD253" s="174">
        <f t="shared" si="109"/>
        <v>0</v>
      </c>
      <c r="BE253" s="174">
        <f t="shared" si="109"/>
        <v>0</v>
      </c>
      <c r="BF253" s="174">
        <f t="shared" si="109"/>
        <v>0</v>
      </c>
      <c r="BG253" s="174">
        <f t="shared" si="109"/>
        <v>0</v>
      </c>
      <c r="BH253" s="36"/>
      <c r="BI253" s="150"/>
      <c r="BJ253" s="150"/>
      <c r="BK253" s="151"/>
      <c r="BL253" s="151"/>
      <c r="BM253" s="150"/>
      <c r="BN253" s="150"/>
      <c r="BO253" s="36"/>
      <c r="BP253" s="36"/>
    </row>
    <row r="254" spans="1:68" outlineLevel="1" x14ac:dyDescent="0.25">
      <c r="A254" s="167">
        <v>2672</v>
      </c>
      <c r="B254" s="168" t="str" cm="1">
        <f t="array" ref="B254">IF(BI254="","",INDEX(pjName,BI254))</f>
        <v>Marigold Plaza</v>
      </c>
      <c r="C254" s="167" t="str" cm="1">
        <f t="array" ref="C254">IF(BI254="","",IF(INDEX(pjStatus,BI254)="","",INDEX(pjStatus,BI254)))</f>
        <v>Active</v>
      </c>
      <c r="D254" s="167" t="str" cm="1">
        <f t="array" ref="D254">IFERROR(INDEX(tblStaff[Initials],BN254),"")</f>
        <v>PK</v>
      </c>
      <c r="E254" s="169" cm="1">
        <f t="array" ref="E254">IF(OR(BI254="",D254=""),"",IFERROR(SUMPRODUCT((pjNo=A254)*(pjType="Phase")*INDEX(Projects!$I$5:$O$1188,0,MATCH(D254,Projects!$I$4:$O$4,0))*pjWk),0))</f>
        <v>150</v>
      </c>
      <c r="F254" s="169">
        <f t="shared" ref="F254:F261" si="110">IF(BI254="","",SUM(H254:BG254))</f>
        <v>144</v>
      </c>
      <c r="G254" s="169">
        <f t="shared" ref="G254:G261" si="111">IF(OR(E254="",F254=""),"",E254-F254)</f>
        <v>6</v>
      </c>
      <c r="H254" s="170">
        <v>16</v>
      </c>
      <c r="I254" s="170">
        <v>16</v>
      </c>
      <c r="J254" s="170">
        <v>16</v>
      </c>
      <c r="K254" s="170">
        <v>16</v>
      </c>
      <c r="L254" s="170">
        <v>16</v>
      </c>
      <c r="M254" s="170">
        <v>16</v>
      </c>
      <c r="N254" s="170">
        <v>16</v>
      </c>
      <c r="O254" s="170">
        <v>16</v>
      </c>
      <c r="P254" s="170">
        <v>16</v>
      </c>
      <c r="Q254" s="170"/>
      <c r="R254" s="170"/>
      <c r="S254" s="170"/>
      <c r="T254" s="170"/>
      <c r="U254" s="170"/>
      <c r="V254" s="170"/>
      <c r="W254" s="170"/>
      <c r="X254" s="170"/>
      <c r="Y254" s="170"/>
      <c r="Z254" s="170"/>
      <c r="AA254" s="170"/>
      <c r="AB254" s="170"/>
      <c r="AC254" s="170"/>
      <c r="AD254" s="170"/>
      <c r="AE254" s="170"/>
      <c r="AF254" s="170"/>
      <c r="AG254" s="170"/>
      <c r="AH254" s="170"/>
      <c r="AI254" s="170"/>
      <c r="AJ254" s="170"/>
      <c r="AK254" s="170"/>
      <c r="AL254" s="170"/>
      <c r="AM254" s="170"/>
      <c r="AN254" s="170"/>
      <c r="AO254" s="170"/>
      <c r="AP254" s="170"/>
      <c r="AQ254" s="170"/>
      <c r="AR254" s="170"/>
      <c r="AS254" s="170"/>
      <c r="AT254" s="170"/>
      <c r="AU254" s="170"/>
      <c r="AV254" s="170"/>
      <c r="AW254" s="170"/>
      <c r="AX254" s="170"/>
      <c r="AY254" s="170"/>
      <c r="AZ254" s="170"/>
      <c r="BA254" s="170"/>
      <c r="BB254" s="170"/>
      <c r="BC254" s="170"/>
      <c r="BD254" s="170"/>
      <c r="BE254" s="170"/>
      <c r="BF254" s="170"/>
      <c r="BG254" s="170"/>
      <c r="BH254" s="36"/>
      <c r="BI254" s="150" cm="1">
        <f t="array" ref="BI254">IF(A254="","",IFERROR(MATCH(1,INDEX((pjNo=A254)*(pjType="Project"),0),0),""))</f>
        <v>184</v>
      </c>
      <c r="BJ254" s="150" t="str">
        <f>IF(D254="","",IFERROR(INDEX(tblStaff[Staff Level],MATCH(D254,tblStaff[Initials],0)),"?"))</f>
        <v>Principal</v>
      </c>
      <c r="BK254" s="151" cm="1">
        <f t="array" ref="BK254">IF(BI254="","",INDEX(pjStart,BI254))</f>
        <v>46300</v>
      </c>
      <c r="BL254" s="151" cm="1">
        <f t="array" ref="BL254">IF(BI254="","",INDEX(pjEnd,BI254))</f>
        <v>47484</v>
      </c>
      <c r="BM254" s="150">
        <f>IF(BI254="",0,IF(C254="Active",1,IF(C254="Prospective",IF(Assumptions!$B$6="Active only",0,Assumptions!$B$7),0)))</f>
        <v>1</v>
      </c>
      <c r="BN254" s="150">
        <v>1</v>
      </c>
      <c r="BO254" s="36"/>
      <c r="BP254" s="36"/>
    </row>
    <row r="255" spans="1:68" outlineLevel="1" x14ac:dyDescent="0.25">
      <c r="A255" s="167">
        <v>2672</v>
      </c>
      <c r="B255" s="168" t="str" cm="1">
        <f t="array" ref="B255">IF(BI255="","",INDEX(pjName,BI255))</f>
        <v>Marigold Plaza</v>
      </c>
      <c r="C255" s="167" t="str" cm="1">
        <f t="array" ref="C255">IF(BI255="","",IF(INDEX(pjStatus,BI255)="","",INDEX(pjStatus,BI255)))</f>
        <v>Active</v>
      </c>
      <c r="D255" s="167" t="str" cm="1">
        <f t="array" ref="D255">IFERROR(INDEX(tblStaff[Initials],BN255),"")</f>
        <v>DF</v>
      </c>
      <c r="E255" s="169" cm="1">
        <f t="array" ref="E255">IF(OR(BI255="",D255=""),"",IFERROR(SUMPRODUCT((pjNo=A255)*(pjType="Phase")*INDEX(Projects!$I$5:$O$1188,0,MATCH(D255,Projects!$I$4:$O$4,0))*pjWk),0))</f>
        <v>270</v>
      </c>
      <c r="F255" s="169">
        <f t="shared" si="110"/>
        <v>256</v>
      </c>
      <c r="G255" s="169">
        <f t="shared" si="111"/>
        <v>14</v>
      </c>
      <c r="H255" s="170">
        <v>16</v>
      </c>
      <c r="I255" s="170">
        <v>16</v>
      </c>
      <c r="J255" s="170">
        <v>16</v>
      </c>
      <c r="K255" s="170">
        <v>16</v>
      </c>
      <c r="L255" s="170">
        <v>16</v>
      </c>
      <c r="M255" s="170">
        <v>16</v>
      </c>
      <c r="N255" s="170">
        <v>16</v>
      </c>
      <c r="O255" s="170">
        <v>16</v>
      </c>
      <c r="P255" s="170">
        <v>16</v>
      </c>
      <c r="Q255" s="170">
        <v>16</v>
      </c>
      <c r="R255" s="170">
        <v>16</v>
      </c>
      <c r="S255" s="170">
        <v>16</v>
      </c>
      <c r="T255" s="170">
        <v>16</v>
      </c>
      <c r="U255" s="170">
        <v>16</v>
      </c>
      <c r="V255" s="170">
        <v>16</v>
      </c>
      <c r="W255" s="170">
        <v>8</v>
      </c>
      <c r="X255" s="170">
        <v>8</v>
      </c>
      <c r="Y255" s="170"/>
      <c r="Z255" s="170"/>
      <c r="AA255" s="170"/>
      <c r="AB255" s="170"/>
      <c r="AC255" s="170"/>
      <c r="AD255" s="170"/>
      <c r="AE255" s="170"/>
      <c r="AF255" s="170"/>
      <c r="AG255" s="170"/>
      <c r="AH255" s="170"/>
      <c r="AI255" s="170"/>
      <c r="AJ255" s="170"/>
      <c r="AK255" s="170"/>
      <c r="AL255" s="170"/>
      <c r="AM255" s="170"/>
      <c r="AN255" s="170"/>
      <c r="AO255" s="170"/>
      <c r="AP255" s="170"/>
      <c r="AQ255" s="170"/>
      <c r="AR255" s="170"/>
      <c r="AS255" s="170"/>
      <c r="AT255" s="170"/>
      <c r="AU255" s="170"/>
      <c r="AV255" s="170"/>
      <c r="AW255" s="170"/>
      <c r="AX255" s="170"/>
      <c r="AY255" s="170"/>
      <c r="AZ255" s="170"/>
      <c r="BA255" s="170"/>
      <c r="BB255" s="170"/>
      <c r="BC255" s="170"/>
      <c r="BD255" s="170"/>
      <c r="BE255" s="170"/>
      <c r="BF255" s="170"/>
      <c r="BG255" s="170"/>
      <c r="BH255" s="36"/>
      <c r="BI255" s="150" cm="1">
        <f t="array" ref="BI255">IF(A255="","",IFERROR(MATCH(1,INDEX((pjNo=A255)*(pjType="Project"),0),0),""))</f>
        <v>184</v>
      </c>
      <c r="BJ255" s="150" t="str">
        <f>IF(D255="","",IFERROR(INDEX(tblStaff[Staff Level],MATCH(D255,tblStaff[Initials],0)),"?"))</f>
        <v>Principal</v>
      </c>
      <c r="BK255" s="151" cm="1">
        <f t="array" ref="BK255">IF(BI255="","",INDEX(pjStart,BI255))</f>
        <v>46300</v>
      </c>
      <c r="BL255" s="151" cm="1">
        <f t="array" ref="BL255">IF(BI255="","",INDEX(pjEnd,BI255))</f>
        <v>47484</v>
      </c>
      <c r="BM255" s="150">
        <f>IF(BI255="",0,IF(C255="Active",1,IF(C255="Prospective",IF(Assumptions!$B$6="Active only",0,Assumptions!$B$7),0)))</f>
        <v>1</v>
      </c>
      <c r="BN255" s="150">
        <v>2</v>
      </c>
      <c r="BO255" s="36"/>
      <c r="BP255" s="36"/>
    </row>
    <row r="256" spans="1:68" outlineLevel="1" x14ac:dyDescent="0.25">
      <c r="A256" s="158">
        <v>2672</v>
      </c>
      <c r="B256" s="157" t="str" cm="1">
        <f t="array" ref="B256">IF(BI256="","",INDEX(pjName,BI256))</f>
        <v>Marigold Plaza</v>
      </c>
      <c r="C256" s="158" t="str" cm="1">
        <f t="array" ref="C256">IF(BI256="","",IF(INDEX(pjStatus,BI256)="","",INDEX(pjStatus,BI256)))</f>
        <v>Active</v>
      </c>
      <c r="D256" s="158" t="str" cm="1">
        <f t="array" ref="D256">IFERROR(INDEX(tblStaff[Initials],BN256),"")</f>
        <v>KJ</v>
      </c>
      <c r="E256" s="159" cm="1">
        <f t="array" ref="E256">IF(OR(BI256="",D256=""),"",IFERROR(SUMPRODUCT((pjNo=A256)*(pjType="Phase")*INDEX(Projects!$I$5:$O$1188,0,MATCH(D256,Projects!$I$4:$O$4,0))*pjWk),0))</f>
        <v>120</v>
      </c>
      <c r="F256" s="159">
        <f t="shared" si="110"/>
        <v>120</v>
      </c>
      <c r="G256" s="159">
        <f t="shared" si="111"/>
        <v>0</v>
      </c>
      <c r="H256" s="160"/>
      <c r="I256" s="160"/>
      <c r="J256" s="160"/>
      <c r="K256" s="160"/>
      <c r="L256" s="160"/>
      <c r="M256" s="160"/>
      <c r="N256" s="160"/>
      <c r="O256" s="160">
        <v>12</v>
      </c>
      <c r="P256" s="160">
        <v>12</v>
      </c>
      <c r="Q256" s="160">
        <v>12</v>
      </c>
      <c r="R256" s="160">
        <v>12</v>
      </c>
      <c r="S256" s="160">
        <v>12</v>
      </c>
      <c r="T256" s="160">
        <v>12</v>
      </c>
      <c r="U256" s="160">
        <v>12</v>
      </c>
      <c r="V256" s="160">
        <v>12</v>
      </c>
      <c r="W256" s="160">
        <v>12</v>
      </c>
      <c r="X256" s="160">
        <v>12</v>
      </c>
      <c r="Y256" s="160"/>
      <c r="Z256" s="160"/>
      <c r="AA256" s="160"/>
      <c r="AB256" s="160"/>
      <c r="AC256" s="160"/>
      <c r="AD256" s="160"/>
      <c r="AE256" s="160"/>
      <c r="AF256" s="160"/>
      <c r="AG256" s="160"/>
      <c r="AH256" s="160"/>
      <c r="AI256" s="160"/>
      <c r="AJ256" s="160"/>
      <c r="AK256" s="160"/>
      <c r="AL256" s="160"/>
      <c r="AM256" s="160"/>
      <c r="AN256" s="160"/>
      <c r="AO256" s="160"/>
      <c r="AP256" s="160"/>
      <c r="AQ256" s="160"/>
      <c r="AR256" s="160"/>
      <c r="AS256" s="160"/>
      <c r="AT256" s="160"/>
      <c r="AU256" s="160"/>
      <c r="AV256" s="160"/>
      <c r="AW256" s="160"/>
      <c r="AX256" s="160"/>
      <c r="AY256" s="160"/>
      <c r="AZ256" s="160"/>
      <c r="BA256" s="160"/>
      <c r="BB256" s="160"/>
      <c r="BC256" s="160"/>
      <c r="BD256" s="160"/>
      <c r="BE256" s="160"/>
      <c r="BF256" s="160"/>
      <c r="BG256" s="160"/>
      <c r="BH256" s="36"/>
      <c r="BI256" s="150" cm="1">
        <f t="array" ref="BI256">IF(A256="","",IFERROR(MATCH(1,INDEX((pjNo=A256)*(pjType="Project"),0),0),""))</f>
        <v>184</v>
      </c>
      <c r="BJ256" s="150" t="str">
        <f>IF(D256="","",IFERROR(INDEX(tblStaff[Staff Level],MATCH(D256,tblStaff[Initials],0)),"?"))</f>
        <v>Director</v>
      </c>
      <c r="BK256" s="151" cm="1">
        <f t="array" ref="BK256">IF(BI256="","",INDEX(pjStart,BI256))</f>
        <v>46300</v>
      </c>
      <c r="BL256" s="151" cm="1">
        <f t="array" ref="BL256">IF(BI256="","",INDEX(pjEnd,BI256))</f>
        <v>47484</v>
      </c>
      <c r="BM256" s="150">
        <f>IF(BI256="",0,IF(C256="Active",1,IF(C256="Prospective",IF(Assumptions!$B$6="Active only",0,Assumptions!$B$7),0)))</f>
        <v>1</v>
      </c>
      <c r="BN256" s="150">
        <v>3</v>
      </c>
      <c r="BO256" s="36"/>
      <c r="BP256" s="36"/>
    </row>
    <row r="257" spans="1:68" outlineLevel="1" x14ac:dyDescent="0.25">
      <c r="A257" s="158">
        <v>2672</v>
      </c>
      <c r="B257" s="157" t="str" cm="1">
        <f t="array" ref="B257">IF(BI257="","",INDEX(pjName,BI257))</f>
        <v>Marigold Plaza</v>
      </c>
      <c r="C257" s="158" t="str" cm="1">
        <f t="array" ref="C257">IF(BI257="","",IF(INDEX(pjStatus,BI257)="","",INDEX(pjStatus,BI257)))</f>
        <v>Active</v>
      </c>
      <c r="D257" s="158" t="str" cm="1">
        <f t="array" ref="D257">IFERROR(INDEX(tblStaff[Initials],BN257),"")</f>
        <v>HL</v>
      </c>
      <c r="E257" s="159" cm="1">
        <f t="array" ref="E257">IF(OR(BI257="",D257=""),"",IFERROR(SUMPRODUCT((pjNo=A257)*(pjType="Phase")*INDEX(Projects!$I$5:$O$1188,0,MATCH(D257,Projects!$I$4:$O$4,0))*pjWk),0))</f>
        <v>333</v>
      </c>
      <c r="F257" s="159">
        <f t="shared" si="110"/>
        <v>328</v>
      </c>
      <c r="G257" s="159">
        <f t="shared" si="111"/>
        <v>5</v>
      </c>
      <c r="H257" s="160">
        <v>24</v>
      </c>
      <c r="I257" s="160">
        <v>24</v>
      </c>
      <c r="J257" s="160">
        <v>24</v>
      </c>
      <c r="K257" s="160">
        <v>24</v>
      </c>
      <c r="L257" s="160">
        <v>24</v>
      </c>
      <c r="M257" s="160">
        <v>24</v>
      </c>
      <c r="N257" s="160">
        <v>24</v>
      </c>
      <c r="O257" s="160">
        <v>16</v>
      </c>
      <c r="P257" s="160">
        <v>16</v>
      </c>
      <c r="Q257" s="160">
        <v>16</v>
      </c>
      <c r="R257" s="160">
        <v>16</v>
      </c>
      <c r="S257" s="160">
        <v>16</v>
      </c>
      <c r="T257" s="160">
        <v>16</v>
      </c>
      <c r="U257" s="160">
        <v>16</v>
      </c>
      <c r="V257" s="160">
        <v>16</v>
      </c>
      <c r="W257" s="160">
        <v>16</v>
      </c>
      <c r="X257" s="160">
        <v>16</v>
      </c>
      <c r="Y257" s="160"/>
      <c r="Z257" s="160"/>
      <c r="AA257" s="160"/>
      <c r="AB257" s="160"/>
      <c r="AC257" s="160"/>
      <c r="AD257" s="160"/>
      <c r="AE257" s="160"/>
      <c r="AF257" s="160"/>
      <c r="AG257" s="160"/>
      <c r="AH257" s="160"/>
      <c r="AI257" s="160"/>
      <c r="AJ257" s="160"/>
      <c r="AK257" s="160"/>
      <c r="AL257" s="160"/>
      <c r="AM257" s="160"/>
      <c r="AN257" s="160"/>
      <c r="AO257" s="160"/>
      <c r="AP257" s="160"/>
      <c r="AQ257" s="160"/>
      <c r="AR257" s="160"/>
      <c r="AS257" s="160"/>
      <c r="AT257" s="160"/>
      <c r="AU257" s="160"/>
      <c r="AV257" s="160"/>
      <c r="AW257" s="160"/>
      <c r="AX257" s="160"/>
      <c r="AY257" s="160"/>
      <c r="AZ257" s="160"/>
      <c r="BA257" s="160"/>
      <c r="BB257" s="160"/>
      <c r="BC257" s="160"/>
      <c r="BD257" s="160"/>
      <c r="BE257" s="160"/>
      <c r="BF257" s="160"/>
      <c r="BG257" s="160"/>
      <c r="BH257" s="36"/>
      <c r="BI257" s="150" cm="1">
        <f t="array" ref="BI257">IF(A257="","",IFERROR(MATCH(1,INDEX((pjNo=A257)*(pjType="Project"),0),0),""))</f>
        <v>184</v>
      </c>
      <c r="BJ257" s="150" t="str">
        <f>IF(D257="","",IFERROR(INDEX(tblStaff[Staff Level],MATCH(D257,tblStaff[Initials],0)),"?"))</f>
        <v>Senior Designer</v>
      </c>
      <c r="BK257" s="151" cm="1">
        <f t="array" ref="BK257">IF(BI257="","",INDEX(pjStart,BI257))</f>
        <v>46300</v>
      </c>
      <c r="BL257" s="151" cm="1">
        <f t="array" ref="BL257">IF(BI257="","",INDEX(pjEnd,BI257))</f>
        <v>47484</v>
      </c>
      <c r="BM257" s="150">
        <f>IF(BI257="",0,IF(C257="Active",1,IF(C257="Prospective",IF(Assumptions!$B$6="Active only",0,Assumptions!$B$7),0)))</f>
        <v>1</v>
      </c>
      <c r="BN257" s="150">
        <v>4</v>
      </c>
      <c r="BO257" s="36"/>
      <c r="BP257" s="36"/>
    </row>
    <row r="258" spans="1:68" outlineLevel="1" x14ac:dyDescent="0.25">
      <c r="A258" s="158">
        <v>2672</v>
      </c>
      <c r="B258" s="157" t="str" cm="1">
        <f t="array" ref="B258">IF(BI258="","",INDEX(pjName,BI258))</f>
        <v>Marigold Plaza</v>
      </c>
      <c r="C258" s="158" t="str" cm="1">
        <f t="array" ref="C258">IF(BI258="","",IF(INDEX(pjStatus,BI258)="","",INDEX(pjStatus,BI258)))</f>
        <v>Active</v>
      </c>
      <c r="D258" s="158" t="str" cm="1">
        <f t="array" ref="D258">IFERROR(INDEX(tblStaff[Initials],BN258),"")</f>
        <v>EHH</v>
      </c>
      <c r="E258" s="159" cm="1">
        <f t="array" ref="E258">IF(OR(BI258="",D258=""),"",IFERROR(SUMPRODUCT((pjNo=A258)*(pjType="Phase")*INDEX(Projects!$I$5:$O$1188,0,MATCH(D258,Projects!$I$4:$O$4,0))*pjWk),0))</f>
        <v>0</v>
      </c>
      <c r="F258" s="159">
        <f t="shared" si="110"/>
        <v>0</v>
      </c>
      <c r="G258" s="159">
        <f t="shared" si="111"/>
        <v>0</v>
      </c>
      <c r="H258" s="160"/>
      <c r="I258" s="160"/>
      <c r="J258" s="160"/>
      <c r="K258" s="160"/>
      <c r="L258" s="160"/>
      <c r="M258" s="160"/>
      <c r="N258" s="160"/>
      <c r="O258" s="160"/>
      <c r="P258" s="160"/>
      <c r="Q258" s="160"/>
      <c r="R258" s="160"/>
      <c r="S258" s="160"/>
      <c r="T258" s="160"/>
      <c r="U258" s="160"/>
      <c r="V258" s="160"/>
      <c r="W258" s="160"/>
      <c r="X258" s="160"/>
      <c r="Y258" s="160"/>
      <c r="Z258" s="160"/>
      <c r="AA258" s="160"/>
      <c r="AB258" s="160"/>
      <c r="AC258" s="160"/>
      <c r="AD258" s="160"/>
      <c r="AE258" s="160"/>
      <c r="AF258" s="160"/>
      <c r="AG258" s="160"/>
      <c r="AH258" s="160"/>
      <c r="AI258" s="160"/>
      <c r="AJ258" s="160"/>
      <c r="AK258" s="160"/>
      <c r="AL258" s="160"/>
      <c r="AM258" s="160"/>
      <c r="AN258" s="160"/>
      <c r="AO258" s="160"/>
      <c r="AP258" s="160"/>
      <c r="AQ258" s="160"/>
      <c r="AR258" s="160"/>
      <c r="AS258" s="160"/>
      <c r="AT258" s="160"/>
      <c r="AU258" s="160"/>
      <c r="AV258" s="160"/>
      <c r="AW258" s="160"/>
      <c r="AX258" s="160"/>
      <c r="AY258" s="160"/>
      <c r="AZ258" s="160"/>
      <c r="BA258" s="160"/>
      <c r="BB258" s="160"/>
      <c r="BC258" s="160"/>
      <c r="BD258" s="160"/>
      <c r="BE258" s="160"/>
      <c r="BF258" s="160"/>
      <c r="BG258" s="160"/>
      <c r="BH258" s="36"/>
      <c r="BI258" s="150" cm="1">
        <f t="array" ref="BI258">IF(A258="","",IFERROR(MATCH(1,INDEX((pjNo=A258)*(pjType="Project"),0),0),""))</f>
        <v>184</v>
      </c>
      <c r="BJ258" s="150" t="str">
        <f>IF(D258="","",IFERROR(INDEX(tblStaff[Staff Level],MATCH(D258,tblStaff[Initials],0)),"?"))</f>
        <v>Mid Level Designer</v>
      </c>
      <c r="BK258" s="151" cm="1">
        <f t="array" ref="BK258">IF(BI258="","",INDEX(pjStart,BI258))</f>
        <v>46300</v>
      </c>
      <c r="BL258" s="151" cm="1">
        <f t="array" ref="BL258">IF(BI258="","",INDEX(pjEnd,BI258))</f>
        <v>47484</v>
      </c>
      <c r="BM258" s="150">
        <f>IF(BI258="",0,IF(C258="Active",1,IF(C258="Prospective",IF(Assumptions!$B$6="Active only",0,Assumptions!$B$7),0)))</f>
        <v>1</v>
      </c>
      <c r="BN258" s="150">
        <v>5</v>
      </c>
      <c r="BO258" s="36"/>
      <c r="BP258" s="36"/>
    </row>
    <row r="259" spans="1:68" outlineLevel="1" x14ac:dyDescent="0.25">
      <c r="A259" s="158">
        <v>2672</v>
      </c>
      <c r="B259" s="157" t="str" cm="1">
        <f t="array" ref="B259">IF(BI259="","",INDEX(pjName,BI259))</f>
        <v>Marigold Plaza</v>
      </c>
      <c r="C259" s="158" t="str" cm="1">
        <f t="array" ref="C259">IF(BI259="","",IF(INDEX(pjStatus,BI259)="","",INDEX(pjStatus,BI259)))</f>
        <v>Active</v>
      </c>
      <c r="D259" s="158" t="str" cm="1">
        <f t="array" ref="D259">IFERROR(INDEX(tblStaff[Initials],BN259),"")</f>
        <v>KD</v>
      </c>
      <c r="E259" s="159" cm="1">
        <f t="array" ref="E259">IF(OR(BI259="",D259=""),"",IFERROR(SUMPRODUCT((pjNo=A259)*(pjType="Phase")*INDEX(Projects!$I$5:$O$1188,0,MATCH(D259,Projects!$I$4:$O$4,0))*pjWk),0))</f>
        <v>0</v>
      </c>
      <c r="F259" s="159">
        <f t="shared" si="110"/>
        <v>0</v>
      </c>
      <c r="G259" s="159">
        <f t="shared" si="111"/>
        <v>0</v>
      </c>
      <c r="H259" s="160"/>
      <c r="I259" s="160"/>
      <c r="J259" s="160"/>
      <c r="K259" s="160"/>
      <c r="L259" s="160"/>
      <c r="M259" s="160"/>
      <c r="N259" s="160"/>
      <c r="O259" s="160"/>
      <c r="P259" s="160"/>
      <c r="Q259" s="160"/>
      <c r="R259" s="160"/>
      <c r="S259" s="160"/>
      <c r="T259" s="160"/>
      <c r="U259" s="160"/>
      <c r="V259" s="160"/>
      <c r="W259" s="160"/>
      <c r="X259" s="160"/>
      <c r="Y259" s="160"/>
      <c r="Z259" s="160"/>
      <c r="AA259" s="160"/>
      <c r="AB259" s="160"/>
      <c r="AC259" s="160"/>
      <c r="AD259" s="160"/>
      <c r="AE259" s="160"/>
      <c r="AF259" s="160"/>
      <c r="AG259" s="160"/>
      <c r="AH259" s="160"/>
      <c r="AI259" s="160"/>
      <c r="AJ259" s="160"/>
      <c r="AK259" s="160"/>
      <c r="AL259" s="160"/>
      <c r="AM259" s="160"/>
      <c r="AN259" s="160"/>
      <c r="AO259" s="160"/>
      <c r="AP259" s="160"/>
      <c r="AQ259" s="160"/>
      <c r="AR259" s="160"/>
      <c r="AS259" s="160"/>
      <c r="AT259" s="160"/>
      <c r="AU259" s="160"/>
      <c r="AV259" s="160"/>
      <c r="AW259" s="160"/>
      <c r="AX259" s="160"/>
      <c r="AY259" s="160"/>
      <c r="AZ259" s="160"/>
      <c r="BA259" s="160"/>
      <c r="BB259" s="160"/>
      <c r="BC259" s="160"/>
      <c r="BD259" s="160"/>
      <c r="BE259" s="160"/>
      <c r="BF259" s="160"/>
      <c r="BG259" s="160"/>
      <c r="BH259" s="36"/>
      <c r="BI259" s="150" cm="1">
        <f t="array" ref="BI259">IF(A259="","",IFERROR(MATCH(1,INDEX((pjNo=A259)*(pjType="Project"),0),0),""))</f>
        <v>184</v>
      </c>
      <c r="BJ259" s="150" t="str">
        <f>IF(D259="","",IFERROR(INDEX(tblStaff[Staff Level],MATCH(D259,tblStaff[Initials],0)),"?"))</f>
        <v>Mid Level Designer</v>
      </c>
      <c r="BK259" s="151" cm="1">
        <f t="array" ref="BK259">IF(BI259="","",INDEX(pjStart,BI259))</f>
        <v>46300</v>
      </c>
      <c r="BL259" s="151" cm="1">
        <f t="array" ref="BL259">IF(BI259="","",INDEX(pjEnd,BI259))</f>
        <v>47484</v>
      </c>
      <c r="BM259" s="150">
        <f>IF(BI259="",0,IF(C259="Active",1,IF(C259="Prospective",IF(Assumptions!$B$6="Active only",0,Assumptions!$B$7),0)))</f>
        <v>1</v>
      </c>
      <c r="BN259" s="150">
        <v>6</v>
      </c>
      <c r="BO259" s="36"/>
      <c r="BP259" s="36"/>
    </row>
    <row r="260" spans="1:68" outlineLevel="1" x14ac:dyDescent="0.25">
      <c r="A260" s="158">
        <v>2672</v>
      </c>
      <c r="B260" s="157" t="str" cm="1">
        <f t="array" ref="B260">IF(BI260="","",INDEX(pjName,BI260))</f>
        <v>Marigold Plaza</v>
      </c>
      <c r="C260" s="158" t="str" cm="1">
        <f t="array" ref="C260">IF(BI260="","",IF(INDEX(pjStatus,BI260)="","",INDEX(pjStatus,BI260)))</f>
        <v>Active</v>
      </c>
      <c r="D260" s="158" t="str" cm="1">
        <f t="array" ref="D260">IFERROR(INDEX(tblStaff[Initials],BN260),"")</f>
        <v>XX</v>
      </c>
      <c r="E260" s="159" cm="1">
        <f t="array" ref="E260">IF(OR(BI260="",D260=""),"",IFERROR(SUMPRODUCT((pjNo=A260)*(pjType="Phase")*INDEX(Projects!$I$5:$O$1188,0,MATCH(D260,Projects!$I$4:$O$4,0))*pjWk),0))</f>
        <v>610</v>
      </c>
      <c r="F260" s="159">
        <f t="shared" si="110"/>
        <v>610</v>
      </c>
      <c r="G260" s="159">
        <f t="shared" si="111"/>
        <v>0</v>
      </c>
      <c r="H260" s="160">
        <v>30</v>
      </c>
      <c r="I260" s="160">
        <v>30</v>
      </c>
      <c r="J260" s="160">
        <v>30</v>
      </c>
      <c r="K260" s="160">
        <v>30</v>
      </c>
      <c r="L260" s="160">
        <v>30</v>
      </c>
      <c r="M260" s="160">
        <v>30</v>
      </c>
      <c r="N260" s="160">
        <v>30</v>
      </c>
      <c r="O260" s="160">
        <v>40</v>
      </c>
      <c r="P260" s="160">
        <v>40</v>
      </c>
      <c r="Q260" s="160">
        <v>40</v>
      </c>
      <c r="R260" s="160">
        <v>40</v>
      </c>
      <c r="S260" s="160">
        <v>40</v>
      </c>
      <c r="T260" s="160">
        <v>40</v>
      </c>
      <c r="U260" s="160">
        <v>40</v>
      </c>
      <c r="V260" s="160">
        <v>40</v>
      </c>
      <c r="W260" s="160">
        <v>40</v>
      </c>
      <c r="X260" s="160">
        <v>40</v>
      </c>
      <c r="Y260" s="160"/>
      <c r="Z260" s="160"/>
      <c r="AA260" s="160"/>
      <c r="AB260" s="160"/>
      <c r="AC260" s="160"/>
      <c r="AD260" s="160"/>
      <c r="AE260" s="160"/>
      <c r="AF260" s="160"/>
      <c r="AG260" s="160"/>
      <c r="AH260" s="160"/>
      <c r="AI260" s="160"/>
      <c r="AJ260" s="160"/>
      <c r="AK260" s="160"/>
      <c r="AL260" s="160"/>
      <c r="AM260" s="160"/>
      <c r="AN260" s="160"/>
      <c r="AO260" s="160"/>
      <c r="AP260" s="160"/>
      <c r="AQ260" s="160"/>
      <c r="AR260" s="160"/>
      <c r="AS260" s="160"/>
      <c r="AT260" s="160"/>
      <c r="AU260" s="160"/>
      <c r="AV260" s="160"/>
      <c r="AW260" s="160"/>
      <c r="AX260" s="160"/>
      <c r="AY260" s="160"/>
      <c r="AZ260" s="160"/>
      <c r="BA260" s="160"/>
      <c r="BB260" s="160"/>
      <c r="BC260" s="160"/>
      <c r="BD260" s="160"/>
      <c r="BE260" s="160"/>
      <c r="BF260" s="160"/>
      <c r="BG260" s="160"/>
      <c r="BH260" s="36"/>
      <c r="BI260" s="150" cm="1">
        <f t="array" ref="BI260">IF(A260="","",IFERROR(MATCH(1,INDEX((pjNo=A260)*(pjType="Project"),0),0),""))</f>
        <v>184</v>
      </c>
      <c r="BJ260" s="150" t="str">
        <f>IF(D260="","",IFERROR(INDEX(tblStaff[Staff Level],MATCH(D260,tblStaff[Initials],0)),"?"))</f>
        <v>Project Designer</v>
      </c>
      <c r="BK260" s="151" cm="1">
        <f t="array" ref="BK260">IF(BI260="","",INDEX(pjStart,BI260))</f>
        <v>46300</v>
      </c>
      <c r="BL260" s="151" cm="1">
        <f t="array" ref="BL260">IF(BI260="","",INDEX(pjEnd,BI260))</f>
        <v>47484</v>
      </c>
      <c r="BM260" s="150">
        <f>IF(BI260="",0,IF(C260="Active",1,IF(C260="Prospective",IF(Assumptions!$B$6="Active only",0,Assumptions!$B$7),0)))</f>
        <v>1</v>
      </c>
      <c r="BN260" s="150">
        <v>7</v>
      </c>
      <c r="BO260" s="36"/>
      <c r="BP260" s="36"/>
    </row>
    <row r="261" spans="1:68" outlineLevel="1" x14ac:dyDescent="0.25">
      <c r="A261" s="162">
        <v>2672</v>
      </c>
      <c r="B261" s="161" t="str" cm="1">
        <f t="array" ref="B261">IF(BI261="","",INDEX(pjName,BI261))</f>
        <v>Marigold Plaza</v>
      </c>
      <c r="C261" s="162" t="str" cm="1">
        <f t="array" ref="C261">IF(BI261="","",IF(INDEX(pjStatus,BI261)="","",INDEX(pjStatus,BI261)))</f>
        <v>Active</v>
      </c>
      <c r="D261" s="162" t="str" cm="1">
        <f t="array" ref="D261">IFERROR(INDEX(tblStaff[Initials],BN261),"")</f>
        <v/>
      </c>
      <c r="E261" s="163" t="str" cm="1">
        <f t="array" ref="E261">IF(OR(BI261="",D261=""),"",IFERROR(SUMPRODUCT((pjNo=A261)*(pjType="Phase")*INDEX(Projects!$I$5:$O$1188,0,MATCH(D261,Projects!$I$4:$O$4,0))*pjWk),0))</f>
        <v/>
      </c>
      <c r="F261" s="163">
        <f t="shared" si="110"/>
        <v>0</v>
      </c>
      <c r="G261" s="163" t="str">
        <f t="shared" si="111"/>
        <v/>
      </c>
      <c r="H261" s="164"/>
      <c r="I261" s="164"/>
      <c r="J261" s="164"/>
      <c r="K261" s="164"/>
      <c r="L261" s="164"/>
      <c r="M261" s="164"/>
      <c r="N261" s="164"/>
      <c r="O261" s="164"/>
      <c r="P261" s="164"/>
      <c r="Q261" s="164"/>
      <c r="R261" s="164"/>
      <c r="S261" s="164"/>
      <c r="T261" s="164"/>
      <c r="U261" s="164"/>
      <c r="V261" s="164"/>
      <c r="W261" s="164"/>
      <c r="X261" s="164"/>
      <c r="Y261" s="164"/>
      <c r="Z261" s="164"/>
      <c r="AA261" s="164"/>
      <c r="AB261" s="164"/>
      <c r="AC261" s="164"/>
      <c r="AD261" s="164"/>
      <c r="AE261" s="164"/>
      <c r="AF261" s="164"/>
      <c r="AG261" s="164"/>
      <c r="AH261" s="164"/>
      <c r="AI261" s="164"/>
      <c r="AJ261" s="164"/>
      <c r="AK261" s="164"/>
      <c r="AL261" s="164"/>
      <c r="AM261" s="164"/>
      <c r="AN261" s="164"/>
      <c r="AO261" s="164"/>
      <c r="AP261" s="164"/>
      <c r="AQ261" s="164"/>
      <c r="AR261" s="164"/>
      <c r="AS261" s="164"/>
      <c r="AT261" s="164"/>
      <c r="AU261" s="164"/>
      <c r="AV261" s="164"/>
      <c r="AW261" s="164"/>
      <c r="AX261" s="164"/>
      <c r="AY261" s="164"/>
      <c r="AZ261" s="164"/>
      <c r="BA261" s="164"/>
      <c r="BB261" s="164"/>
      <c r="BC261" s="164"/>
      <c r="BD261" s="164"/>
      <c r="BE261" s="164"/>
      <c r="BF261" s="164"/>
      <c r="BG261" s="164"/>
      <c r="BH261" s="36"/>
      <c r="BI261" s="150" cm="1">
        <f t="array" ref="BI261">IF(A261="","",IFERROR(MATCH(1,INDEX((pjNo=A261)*(pjType="Project"),0),0),""))</f>
        <v>184</v>
      </c>
      <c r="BJ261" s="150" t="str">
        <f>IF(D261="","",IFERROR(INDEX(tblStaff[Staff Level],MATCH(D261,tblStaff[Initials],0)),"?"))</f>
        <v/>
      </c>
      <c r="BK261" s="151" cm="1">
        <f t="array" ref="BK261">IF(BI261="","",INDEX(pjStart,BI261))</f>
        <v>46300</v>
      </c>
      <c r="BL261" s="151" cm="1">
        <f t="array" ref="BL261">IF(BI261="","",INDEX(pjEnd,BI261))</f>
        <v>47484</v>
      </c>
      <c r="BM261" s="150">
        <f>IF(BI261="",0,IF(C261="Active",1,IF(C261="Prospective",IF(Assumptions!$B$6="Active only",0,Assumptions!$B$7),0)))</f>
        <v>1</v>
      </c>
      <c r="BN261" s="150">
        <v>8</v>
      </c>
      <c r="BO261" s="36"/>
      <c r="BP261" s="36"/>
    </row>
    <row r="262" spans="1:68" x14ac:dyDescent="0.25">
      <c r="A262" s="171"/>
      <c r="B262" s="173" t="str">
        <f>IF(A263="","",A263&amp;" · "&amp;B263)</f>
        <v>2673 · Meadow Townhomes</v>
      </c>
      <c r="C262" s="171" t="str">
        <f>IF(A263="","",C263)</f>
        <v>Active</v>
      </c>
      <c r="D262" s="171"/>
      <c r="E262" s="172">
        <f>SUM(E263:E270)</f>
        <v>572</v>
      </c>
      <c r="F262" s="172">
        <f>SUM(F263:F270)</f>
        <v>148</v>
      </c>
      <c r="G262" s="172">
        <f>IF(E262=0,"",E262-F262)</f>
        <v>424</v>
      </c>
      <c r="H262" s="174">
        <f t="shared" ref="H262:AM262" si="112">SUM(H263:H270)</f>
        <v>37</v>
      </c>
      <c r="I262" s="174">
        <f t="shared" si="112"/>
        <v>37</v>
      </c>
      <c r="J262" s="174">
        <f t="shared" si="112"/>
        <v>37</v>
      </c>
      <c r="K262" s="174">
        <f t="shared" si="112"/>
        <v>37</v>
      </c>
      <c r="L262" s="174">
        <f t="shared" si="112"/>
        <v>0</v>
      </c>
      <c r="M262" s="174">
        <f t="shared" si="112"/>
        <v>0</v>
      </c>
      <c r="N262" s="174">
        <f t="shared" si="112"/>
        <v>0</v>
      </c>
      <c r="O262" s="174">
        <f t="shared" si="112"/>
        <v>0</v>
      </c>
      <c r="P262" s="174">
        <f t="shared" si="112"/>
        <v>0</v>
      </c>
      <c r="Q262" s="174">
        <f t="shared" si="112"/>
        <v>0</v>
      </c>
      <c r="R262" s="174">
        <f t="shared" si="112"/>
        <v>0</v>
      </c>
      <c r="S262" s="174">
        <f t="shared" si="112"/>
        <v>0</v>
      </c>
      <c r="T262" s="174">
        <f t="shared" si="112"/>
        <v>0</v>
      </c>
      <c r="U262" s="174">
        <f t="shared" si="112"/>
        <v>0</v>
      </c>
      <c r="V262" s="174">
        <f t="shared" si="112"/>
        <v>0</v>
      </c>
      <c r="W262" s="174">
        <f t="shared" si="112"/>
        <v>0</v>
      </c>
      <c r="X262" s="174">
        <f t="shared" si="112"/>
        <v>0</v>
      </c>
      <c r="Y262" s="174">
        <f t="shared" si="112"/>
        <v>0</v>
      </c>
      <c r="Z262" s="174">
        <f t="shared" si="112"/>
        <v>0</v>
      </c>
      <c r="AA262" s="174">
        <f t="shared" si="112"/>
        <v>0</v>
      </c>
      <c r="AB262" s="174">
        <f t="shared" si="112"/>
        <v>0</v>
      </c>
      <c r="AC262" s="174">
        <f t="shared" si="112"/>
        <v>0</v>
      </c>
      <c r="AD262" s="174">
        <f t="shared" si="112"/>
        <v>0</v>
      </c>
      <c r="AE262" s="174">
        <f t="shared" si="112"/>
        <v>0</v>
      </c>
      <c r="AF262" s="174">
        <f t="shared" si="112"/>
        <v>0</v>
      </c>
      <c r="AG262" s="174">
        <f t="shared" si="112"/>
        <v>0</v>
      </c>
      <c r="AH262" s="174">
        <f t="shared" si="112"/>
        <v>0</v>
      </c>
      <c r="AI262" s="174">
        <f t="shared" si="112"/>
        <v>0</v>
      </c>
      <c r="AJ262" s="174">
        <f t="shared" si="112"/>
        <v>0</v>
      </c>
      <c r="AK262" s="174">
        <f t="shared" si="112"/>
        <v>0</v>
      </c>
      <c r="AL262" s="174">
        <f t="shared" si="112"/>
        <v>0</v>
      </c>
      <c r="AM262" s="174">
        <f t="shared" si="112"/>
        <v>0</v>
      </c>
      <c r="AN262" s="174">
        <f t="shared" ref="AN262:BG262" si="113">SUM(AN263:AN270)</f>
        <v>0</v>
      </c>
      <c r="AO262" s="174">
        <f t="shared" si="113"/>
        <v>0</v>
      </c>
      <c r="AP262" s="174">
        <f t="shared" si="113"/>
        <v>0</v>
      </c>
      <c r="AQ262" s="174">
        <f t="shared" si="113"/>
        <v>0</v>
      </c>
      <c r="AR262" s="174">
        <f t="shared" si="113"/>
        <v>0</v>
      </c>
      <c r="AS262" s="174">
        <f t="shared" si="113"/>
        <v>0</v>
      </c>
      <c r="AT262" s="174">
        <f t="shared" si="113"/>
        <v>0</v>
      </c>
      <c r="AU262" s="174">
        <f t="shared" si="113"/>
        <v>0</v>
      </c>
      <c r="AV262" s="174">
        <f t="shared" si="113"/>
        <v>0</v>
      </c>
      <c r="AW262" s="174">
        <f t="shared" si="113"/>
        <v>0</v>
      </c>
      <c r="AX262" s="174">
        <f t="shared" si="113"/>
        <v>0</v>
      </c>
      <c r="AY262" s="174">
        <f t="shared" si="113"/>
        <v>0</v>
      </c>
      <c r="AZ262" s="174">
        <f t="shared" si="113"/>
        <v>0</v>
      </c>
      <c r="BA262" s="174">
        <f t="shared" si="113"/>
        <v>0</v>
      </c>
      <c r="BB262" s="174">
        <f t="shared" si="113"/>
        <v>0</v>
      </c>
      <c r="BC262" s="174">
        <f t="shared" si="113"/>
        <v>0</v>
      </c>
      <c r="BD262" s="174">
        <f t="shared" si="113"/>
        <v>0</v>
      </c>
      <c r="BE262" s="174">
        <f t="shared" si="113"/>
        <v>0</v>
      </c>
      <c r="BF262" s="174">
        <f t="shared" si="113"/>
        <v>0</v>
      </c>
      <c r="BG262" s="174">
        <f t="shared" si="113"/>
        <v>0</v>
      </c>
      <c r="BH262" s="36"/>
      <c r="BI262" s="150"/>
      <c r="BJ262" s="150"/>
      <c r="BK262" s="151"/>
      <c r="BL262" s="151"/>
      <c r="BM262" s="150"/>
      <c r="BN262" s="150"/>
      <c r="BO262" s="36"/>
      <c r="BP262" s="36"/>
    </row>
    <row r="263" spans="1:68" outlineLevel="1" x14ac:dyDescent="0.25">
      <c r="A263" s="167">
        <v>2673</v>
      </c>
      <c r="B263" s="168" t="str" cm="1">
        <f t="array" ref="B263">IF(BI263="","",INDEX(pjName,BI263))</f>
        <v>Meadow Townhomes</v>
      </c>
      <c r="C263" s="167" t="str" cm="1">
        <f t="array" ref="C263">IF(BI263="","",IF(INDEX(pjStatus,BI263)="","",INDEX(pjStatus,BI263)))</f>
        <v>Active</v>
      </c>
      <c r="D263" s="167" t="str" cm="1">
        <f t="array" ref="D263">IFERROR(INDEX(tblStaff[Initials],BN263),"")</f>
        <v>PK</v>
      </c>
      <c r="E263" s="169" cm="1">
        <f t="array" ref="E263">IF(OR(BI263="",D263=""),"",IFERROR(SUMPRODUCT((pjNo=A263)*(pjType="Phase")*INDEX(Projects!$I$5:$O$1188,0,MATCH(D263,Projects!$I$4:$O$4,0))*pjWk),0))</f>
        <v>61</v>
      </c>
      <c r="F263" s="169">
        <f t="shared" ref="F263:F270" si="114">IF(BI263="","",SUM(H263:BG263))</f>
        <v>32</v>
      </c>
      <c r="G263" s="169">
        <f t="shared" ref="G263:G270" si="115">IF(OR(E263="",F263=""),"",E263-F263)</f>
        <v>29</v>
      </c>
      <c r="H263" s="170">
        <v>8</v>
      </c>
      <c r="I263" s="170">
        <v>8</v>
      </c>
      <c r="J263" s="170">
        <v>8</v>
      </c>
      <c r="K263" s="170">
        <v>8</v>
      </c>
      <c r="L263" s="170"/>
      <c r="M263" s="170"/>
      <c r="N263" s="170"/>
      <c r="O263" s="170"/>
      <c r="P263" s="170"/>
      <c r="Q263" s="170"/>
      <c r="R263" s="170"/>
      <c r="S263" s="170"/>
      <c r="T263" s="170"/>
      <c r="U263" s="170"/>
      <c r="V263" s="170"/>
      <c r="W263" s="170"/>
      <c r="X263" s="170"/>
      <c r="Y263" s="170"/>
      <c r="Z263" s="170"/>
      <c r="AA263" s="170"/>
      <c r="AB263" s="170"/>
      <c r="AC263" s="170"/>
      <c r="AD263" s="170"/>
      <c r="AE263" s="170"/>
      <c r="AF263" s="170"/>
      <c r="AG263" s="170"/>
      <c r="AH263" s="170"/>
      <c r="AI263" s="170"/>
      <c r="AJ263" s="170"/>
      <c r="AK263" s="170"/>
      <c r="AL263" s="170"/>
      <c r="AM263" s="170"/>
      <c r="AN263" s="170"/>
      <c r="AO263" s="170"/>
      <c r="AP263" s="170"/>
      <c r="AQ263" s="170"/>
      <c r="AR263" s="170"/>
      <c r="AS263" s="170"/>
      <c r="AT263" s="170"/>
      <c r="AU263" s="170"/>
      <c r="AV263" s="170"/>
      <c r="AW263" s="170"/>
      <c r="AX263" s="170"/>
      <c r="AY263" s="170"/>
      <c r="AZ263" s="170"/>
      <c r="BA263" s="170"/>
      <c r="BB263" s="170"/>
      <c r="BC263" s="170"/>
      <c r="BD263" s="170"/>
      <c r="BE263" s="170"/>
      <c r="BF263" s="170"/>
      <c r="BG263" s="170"/>
      <c r="BH263" s="36"/>
      <c r="BI263" s="150" cm="1">
        <f t="array" ref="BI263">IF(A263="","",IFERROR(MATCH(1,INDEX((pjNo=A263)*(pjType="Project"),0),0),""))</f>
        <v>189</v>
      </c>
      <c r="BJ263" s="150" t="str">
        <f>IF(D263="","",IFERROR(INDEX(tblStaff[Staff Level],MATCH(D263,tblStaff[Initials],0)),"?"))</f>
        <v>Principal</v>
      </c>
      <c r="BK263" s="151" cm="1">
        <f t="array" ref="BK263">IF(BI263="","",INDEX(pjStart,BI263))</f>
        <v>46300</v>
      </c>
      <c r="BL263" s="151" cm="1">
        <f t="array" ref="BL263">IF(BI263="","",INDEX(pjEnd,BI263))</f>
        <v>46998</v>
      </c>
      <c r="BM263" s="150">
        <f>IF(BI263="",0,IF(C263="Active",1,IF(C263="Prospective",IF(Assumptions!$B$6="Active only",0,Assumptions!$B$7),0)))</f>
        <v>1</v>
      </c>
      <c r="BN263" s="150">
        <v>1</v>
      </c>
      <c r="BO263" s="36"/>
      <c r="BP263" s="36"/>
    </row>
    <row r="264" spans="1:68" outlineLevel="1" x14ac:dyDescent="0.25">
      <c r="A264" s="167">
        <v>2673</v>
      </c>
      <c r="B264" s="168" t="str" cm="1">
        <f t="array" ref="B264">IF(BI264="","",INDEX(pjName,BI264))</f>
        <v>Meadow Townhomes</v>
      </c>
      <c r="C264" s="167" t="str" cm="1">
        <f t="array" ref="C264">IF(BI264="","",IF(INDEX(pjStatus,BI264)="","",INDEX(pjStatus,BI264)))</f>
        <v>Active</v>
      </c>
      <c r="D264" s="167" t="str" cm="1">
        <f t="array" ref="D264">IFERROR(INDEX(tblStaff[Initials],BN264),"")</f>
        <v>DF</v>
      </c>
      <c r="E264" s="169" cm="1">
        <f t="array" ref="E264">IF(OR(BI264="",D264=""),"",IFERROR(SUMPRODUCT((pjNo=A264)*(pjType="Phase")*INDEX(Projects!$I$5:$O$1188,0,MATCH(D264,Projects!$I$4:$O$4,0))*pjWk),0))</f>
        <v>0</v>
      </c>
      <c r="F264" s="169">
        <f t="shared" si="114"/>
        <v>0</v>
      </c>
      <c r="G264" s="169">
        <f t="shared" si="115"/>
        <v>0</v>
      </c>
      <c r="H264" s="170"/>
      <c r="I264" s="170"/>
      <c r="J264" s="170"/>
      <c r="K264" s="170"/>
      <c r="L264" s="170"/>
      <c r="M264" s="170"/>
      <c r="N264" s="170"/>
      <c r="O264" s="170"/>
      <c r="P264" s="170"/>
      <c r="Q264" s="170"/>
      <c r="R264" s="170"/>
      <c r="S264" s="170"/>
      <c r="T264" s="170"/>
      <c r="U264" s="170"/>
      <c r="V264" s="170"/>
      <c r="W264" s="170"/>
      <c r="X264" s="170"/>
      <c r="Y264" s="170"/>
      <c r="Z264" s="170"/>
      <c r="AA264" s="170"/>
      <c r="AB264" s="170"/>
      <c r="AC264" s="170"/>
      <c r="AD264" s="170"/>
      <c r="AE264" s="170"/>
      <c r="AF264" s="170"/>
      <c r="AG264" s="170"/>
      <c r="AH264" s="170"/>
      <c r="AI264" s="170"/>
      <c r="AJ264" s="170"/>
      <c r="AK264" s="170"/>
      <c r="AL264" s="170"/>
      <c r="AM264" s="170"/>
      <c r="AN264" s="170"/>
      <c r="AO264" s="170"/>
      <c r="AP264" s="170"/>
      <c r="AQ264" s="170"/>
      <c r="AR264" s="170"/>
      <c r="AS264" s="170"/>
      <c r="AT264" s="170"/>
      <c r="AU264" s="170"/>
      <c r="AV264" s="170"/>
      <c r="AW264" s="170"/>
      <c r="AX264" s="170"/>
      <c r="AY264" s="170"/>
      <c r="AZ264" s="170"/>
      <c r="BA264" s="170"/>
      <c r="BB264" s="170"/>
      <c r="BC264" s="170"/>
      <c r="BD264" s="170"/>
      <c r="BE264" s="170"/>
      <c r="BF264" s="170"/>
      <c r="BG264" s="170"/>
      <c r="BH264" s="36"/>
      <c r="BI264" s="150" cm="1">
        <f t="array" ref="BI264">IF(A264="","",IFERROR(MATCH(1,INDEX((pjNo=A264)*(pjType="Project"),0),0),""))</f>
        <v>189</v>
      </c>
      <c r="BJ264" s="150" t="str">
        <f>IF(D264="","",IFERROR(INDEX(tblStaff[Staff Level],MATCH(D264,tblStaff[Initials],0)),"?"))</f>
        <v>Principal</v>
      </c>
      <c r="BK264" s="151" cm="1">
        <f t="array" ref="BK264">IF(BI264="","",INDEX(pjStart,BI264))</f>
        <v>46300</v>
      </c>
      <c r="BL264" s="151" cm="1">
        <f t="array" ref="BL264">IF(BI264="","",INDEX(pjEnd,BI264))</f>
        <v>46998</v>
      </c>
      <c r="BM264" s="150">
        <f>IF(BI264="",0,IF(C264="Active",1,IF(C264="Prospective",IF(Assumptions!$B$6="Active only",0,Assumptions!$B$7),0)))</f>
        <v>1</v>
      </c>
      <c r="BN264" s="150">
        <v>2</v>
      </c>
      <c r="BO264" s="36"/>
      <c r="BP264" s="36"/>
    </row>
    <row r="265" spans="1:68" outlineLevel="1" x14ac:dyDescent="0.25">
      <c r="A265" s="158">
        <v>2673</v>
      </c>
      <c r="B265" s="157" t="str" cm="1">
        <f t="array" ref="B265">IF(BI265="","",INDEX(pjName,BI265))</f>
        <v>Meadow Townhomes</v>
      </c>
      <c r="C265" s="158" t="str" cm="1">
        <f t="array" ref="C265">IF(BI265="","",IF(INDEX(pjStatus,BI265)="","",INDEX(pjStatus,BI265)))</f>
        <v>Active</v>
      </c>
      <c r="D265" s="158" t="str" cm="1">
        <f t="array" ref="D265">IFERROR(INDEX(tblStaff[Initials],BN265),"")</f>
        <v>KJ</v>
      </c>
      <c r="E265" s="159" cm="1">
        <f t="array" ref="E265">IF(OR(BI265="",D265=""),"",IFERROR(SUMPRODUCT((pjNo=A265)*(pjType="Phase")*INDEX(Projects!$I$5:$O$1188,0,MATCH(D265,Projects!$I$4:$O$4,0))*pjWk),0))</f>
        <v>107</v>
      </c>
      <c r="F265" s="159">
        <f t="shared" si="114"/>
        <v>0</v>
      </c>
      <c r="G265" s="159">
        <f t="shared" si="115"/>
        <v>107</v>
      </c>
      <c r="H265" s="160"/>
      <c r="I265" s="160"/>
      <c r="J265" s="160"/>
      <c r="K265" s="160"/>
      <c r="L265" s="160"/>
      <c r="M265" s="160"/>
      <c r="N265" s="160"/>
      <c r="O265" s="160"/>
      <c r="P265" s="160"/>
      <c r="Q265" s="160"/>
      <c r="R265" s="160"/>
      <c r="S265" s="160"/>
      <c r="T265" s="160"/>
      <c r="U265" s="160"/>
      <c r="V265" s="160"/>
      <c r="W265" s="160"/>
      <c r="X265" s="160"/>
      <c r="Y265" s="160"/>
      <c r="Z265" s="160"/>
      <c r="AA265" s="160"/>
      <c r="AB265" s="160"/>
      <c r="AC265" s="160"/>
      <c r="AD265" s="160"/>
      <c r="AE265" s="160"/>
      <c r="AF265" s="160"/>
      <c r="AG265" s="160"/>
      <c r="AH265" s="160"/>
      <c r="AI265" s="160"/>
      <c r="AJ265" s="160"/>
      <c r="AK265" s="160"/>
      <c r="AL265" s="160"/>
      <c r="AM265" s="160"/>
      <c r="AN265" s="160"/>
      <c r="AO265" s="160"/>
      <c r="AP265" s="160"/>
      <c r="AQ265" s="160"/>
      <c r="AR265" s="160"/>
      <c r="AS265" s="160"/>
      <c r="AT265" s="160"/>
      <c r="AU265" s="160"/>
      <c r="AV265" s="160"/>
      <c r="AW265" s="160"/>
      <c r="AX265" s="160"/>
      <c r="AY265" s="160"/>
      <c r="AZ265" s="160"/>
      <c r="BA265" s="160"/>
      <c r="BB265" s="160"/>
      <c r="BC265" s="160"/>
      <c r="BD265" s="160"/>
      <c r="BE265" s="160"/>
      <c r="BF265" s="160"/>
      <c r="BG265" s="160"/>
      <c r="BH265" s="36"/>
      <c r="BI265" s="150" cm="1">
        <f t="array" ref="BI265">IF(A265="","",IFERROR(MATCH(1,INDEX((pjNo=A265)*(pjType="Project"),0),0),""))</f>
        <v>189</v>
      </c>
      <c r="BJ265" s="150" t="str">
        <f>IF(D265="","",IFERROR(INDEX(tblStaff[Staff Level],MATCH(D265,tblStaff[Initials],0)),"?"))</f>
        <v>Director</v>
      </c>
      <c r="BK265" s="151" cm="1">
        <f t="array" ref="BK265">IF(BI265="","",INDEX(pjStart,BI265))</f>
        <v>46300</v>
      </c>
      <c r="BL265" s="151" cm="1">
        <f t="array" ref="BL265">IF(BI265="","",INDEX(pjEnd,BI265))</f>
        <v>46998</v>
      </c>
      <c r="BM265" s="150">
        <f>IF(BI265="",0,IF(C265="Active",1,IF(C265="Prospective",IF(Assumptions!$B$6="Active only",0,Assumptions!$B$7),0)))</f>
        <v>1</v>
      </c>
      <c r="BN265" s="150">
        <v>3</v>
      </c>
      <c r="BO265" s="36"/>
      <c r="BP265" s="36"/>
    </row>
    <row r="266" spans="1:68" outlineLevel="1" x14ac:dyDescent="0.25">
      <c r="A266" s="158">
        <v>2673</v>
      </c>
      <c r="B266" s="157" t="str" cm="1">
        <f t="array" ref="B266">IF(BI266="","",INDEX(pjName,BI266))</f>
        <v>Meadow Townhomes</v>
      </c>
      <c r="C266" s="158" t="str" cm="1">
        <f t="array" ref="C266">IF(BI266="","",IF(INDEX(pjStatus,BI266)="","",INDEX(pjStatus,BI266)))</f>
        <v>Active</v>
      </c>
      <c r="D266" s="158" t="str" cm="1">
        <f t="array" ref="D266">IFERROR(INDEX(tblStaff[Initials],BN266),"")</f>
        <v>HL</v>
      </c>
      <c r="E266" s="159" cm="1">
        <f t="array" ref="E266">IF(OR(BI266="",D266=""),"",IFERROR(SUMPRODUCT((pjNo=A266)*(pjType="Phase")*INDEX(Projects!$I$5:$O$1188,0,MATCH(D266,Projects!$I$4:$O$4,0))*pjWk),0))</f>
        <v>44</v>
      </c>
      <c r="F266" s="159">
        <f t="shared" si="114"/>
        <v>48</v>
      </c>
      <c r="G266" s="159">
        <f t="shared" si="115"/>
        <v>-4</v>
      </c>
      <c r="H266" s="160">
        <v>12</v>
      </c>
      <c r="I266" s="160">
        <v>12</v>
      </c>
      <c r="J266" s="160">
        <v>12</v>
      </c>
      <c r="K266" s="160">
        <v>12</v>
      </c>
      <c r="L266" s="160"/>
      <c r="M266" s="160"/>
      <c r="N266" s="160"/>
      <c r="O266" s="160"/>
      <c r="P266" s="160"/>
      <c r="Q266" s="160"/>
      <c r="R266" s="160"/>
      <c r="S266" s="160"/>
      <c r="T266" s="160"/>
      <c r="U266" s="160"/>
      <c r="V266" s="160"/>
      <c r="W266" s="160"/>
      <c r="X266" s="160"/>
      <c r="Y266" s="160"/>
      <c r="Z266" s="160"/>
      <c r="AA266" s="160"/>
      <c r="AB266" s="160"/>
      <c r="AC266" s="160"/>
      <c r="AD266" s="160"/>
      <c r="AE266" s="160"/>
      <c r="AF266" s="160"/>
      <c r="AG266" s="160"/>
      <c r="AH266" s="160"/>
      <c r="AI266" s="160"/>
      <c r="AJ266" s="160"/>
      <c r="AK266" s="160"/>
      <c r="AL266" s="160"/>
      <c r="AM266" s="160"/>
      <c r="AN266" s="160"/>
      <c r="AO266" s="160"/>
      <c r="AP266" s="160"/>
      <c r="AQ266" s="160"/>
      <c r="AR266" s="160"/>
      <c r="AS266" s="160"/>
      <c r="AT266" s="160"/>
      <c r="AU266" s="160"/>
      <c r="AV266" s="160"/>
      <c r="AW266" s="160"/>
      <c r="AX266" s="160"/>
      <c r="AY266" s="160"/>
      <c r="AZ266" s="160"/>
      <c r="BA266" s="160"/>
      <c r="BB266" s="160"/>
      <c r="BC266" s="160"/>
      <c r="BD266" s="160"/>
      <c r="BE266" s="160"/>
      <c r="BF266" s="160"/>
      <c r="BG266" s="160"/>
      <c r="BH266" s="36"/>
      <c r="BI266" s="150" cm="1">
        <f t="array" ref="BI266">IF(A266="","",IFERROR(MATCH(1,INDEX((pjNo=A266)*(pjType="Project"),0),0),""))</f>
        <v>189</v>
      </c>
      <c r="BJ266" s="150" t="str">
        <f>IF(D266="","",IFERROR(INDEX(tblStaff[Staff Level],MATCH(D266,tblStaff[Initials],0)),"?"))</f>
        <v>Senior Designer</v>
      </c>
      <c r="BK266" s="151" cm="1">
        <f t="array" ref="BK266">IF(BI266="","",INDEX(pjStart,BI266))</f>
        <v>46300</v>
      </c>
      <c r="BL266" s="151" cm="1">
        <f t="array" ref="BL266">IF(BI266="","",INDEX(pjEnd,BI266))</f>
        <v>46998</v>
      </c>
      <c r="BM266" s="150">
        <f>IF(BI266="",0,IF(C266="Active",1,IF(C266="Prospective",IF(Assumptions!$B$6="Active only",0,Assumptions!$B$7),0)))</f>
        <v>1</v>
      </c>
      <c r="BN266" s="150">
        <v>4</v>
      </c>
      <c r="BO266" s="36"/>
      <c r="BP266" s="36"/>
    </row>
    <row r="267" spans="1:68" outlineLevel="1" x14ac:dyDescent="0.25">
      <c r="A267" s="158">
        <v>2673</v>
      </c>
      <c r="B267" s="157" t="str" cm="1">
        <f t="array" ref="B267">IF(BI267="","",INDEX(pjName,BI267))</f>
        <v>Meadow Townhomes</v>
      </c>
      <c r="C267" s="158" t="str" cm="1">
        <f t="array" ref="C267">IF(BI267="","",IF(INDEX(pjStatus,BI267)="","",INDEX(pjStatus,BI267)))</f>
        <v>Active</v>
      </c>
      <c r="D267" s="158" t="str" cm="1">
        <f t="array" ref="D267">IFERROR(INDEX(tblStaff[Initials],BN267),"")</f>
        <v>EHH</v>
      </c>
      <c r="E267" s="159" cm="1">
        <f t="array" ref="E267">IF(OR(BI267="",D267=""),"",IFERROR(SUMPRODUCT((pjNo=A267)*(pjType="Phase")*INDEX(Projects!$I$5:$O$1188,0,MATCH(D267,Projects!$I$4:$O$4,0))*pjWk),0))</f>
        <v>4</v>
      </c>
      <c r="F267" s="159">
        <f t="shared" si="114"/>
        <v>4</v>
      </c>
      <c r="G267" s="159">
        <f t="shared" si="115"/>
        <v>0</v>
      </c>
      <c r="H267" s="160">
        <v>1</v>
      </c>
      <c r="I267" s="160">
        <v>1</v>
      </c>
      <c r="J267" s="160">
        <v>1</v>
      </c>
      <c r="K267" s="160">
        <v>1</v>
      </c>
      <c r="L267" s="160"/>
      <c r="M267" s="160"/>
      <c r="N267" s="160"/>
      <c r="O267" s="160"/>
      <c r="P267" s="160"/>
      <c r="Q267" s="160"/>
      <c r="R267" s="160"/>
      <c r="S267" s="160"/>
      <c r="T267" s="160"/>
      <c r="U267" s="160"/>
      <c r="V267" s="160"/>
      <c r="W267" s="160"/>
      <c r="X267" s="160"/>
      <c r="Y267" s="160"/>
      <c r="Z267" s="160"/>
      <c r="AA267" s="160"/>
      <c r="AB267" s="160"/>
      <c r="AC267" s="160"/>
      <c r="AD267" s="160"/>
      <c r="AE267" s="160"/>
      <c r="AF267" s="160"/>
      <c r="AG267" s="160"/>
      <c r="AH267" s="160"/>
      <c r="AI267" s="160"/>
      <c r="AJ267" s="160"/>
      <c r="AK267" s="160"/>
      <c r="AL267" s="160"/>
      <c r="AM267" s="160"/>
      <c r="AN267" s="160"/>
      <c r="AO267" s="160"/>
      <c r="AP267" s="160"/>
      <c r="AQ267" s="160"/>
      <c r="AR267" s="160"/>
      <c r="AS267" s="160"/>
      <c r="AT267" s="160"/>
      <c r="AU267" s="160"/>
      <c r="AV267" s="160"/>
      <c r="AW267" s="160"/>
      <c r="AX267" s="160"/>
      <c r="AY267" s="160"/>
      <c r="AZ267" s="160"/>
      <c r="BA267" s="160"/>
      <c r="BB267" s="160"/>
      <c r="BC267" s="160"/>
      <c r="BD267" s="160"/>
      <c r="BE267" s="160"/>
      <c r="BF267" s="160"/>
      <c r="BG267" s="160"/>
      <c r="BH267" s="36"/>
      <c r="BI267" s="150" cm="1">
        <f t="array" ref="BI267">IF(A267="","",IFERROR(MATCH(1,INDEX((pjNo=A267)*(pjType="Project"),0),0),""))</f>
        <v>189</v>
      </c>
      <c r="BJ267" s="150" t="str">
        <f>IF(D267="","",IFERROR(INDEX(tblStaff[Staff Level],MATCH(D267,tblStaff[Initials],0)),"?"))</f>
        <v>Mid Level Designer</v>
      </c>
      <c r="BK267" s="151" cm="1">
        <f t="array" ref="BK267">IF(BI267="","",INDEX(pjStart,BI267))</f>
        <v>46300</v>
      </c>
      <c r="BL267" s="151" cm="1">
        <f t="array" ref="BL267">IF(BI267="","",INDEX(pjEnd,BI267))</f>
        <v>46998</v>
      </c>
      <c r="BM267" s="150">
        <f>IF(BI267="",0,IF(C267="Active",1,IF(C267="Prospective",IF(Assumptions!$B$6="Active only",0,Assumptions!$B$7),0)))</f>
        <v>1</v>
      </c>
      <c r="BN267" s="150">
        <v>5</v>
      </c>
      <c r="BO267" s="36"/>
      <c r="BP267" s="36"/>
    </row>
    <row r="268" spans="1:68" outlineLevel="1" x14ac:dyDescent="0.25">
      <c r="A268" s="158">
        <v>2673</v>
      </c>
      <c r="B268" s="157" t="str" cm="1">
        <f t="array" ref="B268">IF(BI268="","",INDEX(pjName,BI268))</f>
        <v>Meadow Townhomes</v>
      </c>
      <c r="C268" s="158" t="str" cm="1">
        <f t="array" ref="C268">IF(BI268="","",IF(INDEX(pjStatus,BI268)="","",INDEX(pjStatus,BI268)))</f>
        <v>Active</v>
      </c>
      <c r="D268" s="158" t="str" cm="1">
        <f t="array" ref="D268">IFERROR(INDEX(tblStaff[Initials],BN268),"")</f>
        <v>KD</v>
      </c>
      <c r="E268" s="159" cm="1">
        <f t="array" ref="E268">IF(OR(BI268="",D268=""),"",IFERROR(SUMPRODUCT((pjNo=A268)*(pjType="Phase")*INDEX(Projects!$I$5:$O$1188,0,MATCH(D268,Projects!$I$4:$O$4,0))*pjWk),0))</f>
        <v>356</v>
      </c>
      <c r="F268" s="159">
        <f t="shared" si="114"/>
        <v>64</v>
      </c>
      <c r="G268" s="159">
        <f t="shared" si="115"/>
        <v>292</v>
      </c>
      <c r="H268" s="160">
        <v>16</v>
      </c>
      <c r="I268" s="160">
        <v>16</v>
      </c>
      <c r="J268" s="160">
        <v>16</v>
      </c>
      <c r="K268" s="160">
        <v>16</v>
      </c>
      <c r="L268" s="160"/>
      <c r="M268" s="160"/>
      <c r="N268" s="160"/>
      <c r="O268" s="160"/>
      <c r="P268" s="160"/>
      <c r="Q268" s="160"/>
      <c r="R268" s="160"/>
      <c r="S268" s="160"/>
      <c r="T268" s="160"/>
      <c r="U268" s="160"/>
      <c r="V268" s="160"/>
      <c r="W268" s="160"/>
      <c r="X268" s="160"/>
      <c r="Y268" s="160"/>
      <c r="Z268" s="160"/>
      <c r="AA268" s="160"/>
      <c r="AB268" s="160"/>
      <c r="AC268" s="160"/>
      <c r="AD268" s="160"/>
      <c r="AE268" s="160"/>
      <c r="AF268" s="160"/>
      <c r="AG268" s="160"/>
      <c r="AH268" s="160"/>
      <c r="AI268" s="160"/>
      <c r="AJ268" s="160"/>
      <c r="AK268" s="160"/>
      <c r="AL268" s="160"/>
      <c r="AM268" s="160"/>
      <c r="AN268" s="160"/>
      <c r="AO268" s="160"/>
      <c r="AP268" s="160"/>
      <c r="AQ268" s="160"/>
      <c r="AR268" s="160"/>
      <c r="AS268" s="160"/>
      <c r="AT268" s="160"/>
      <c r="AU268" s="160"/>
      <c r="AV268" s="160"/>
      <c r="AW268" s="160"/>
      <c r="AX268" s="160"/>
      <c r="AY268" s="160"/>
      <c r="AZ268" s="160"/>
      <c r="BA268" s="160"/>
      <c r="BB268" s="160"/>
      <c r="BC268" s="160"/>
      <c r="BD268" s="160"/>
      <c r="BE268" s="160"/>
      <c r="BF268" s="160"/>
      <c r="BG268" s="160"/>
      <c r="BH268" s="36"/>
      <c r="BI268" s="150" cm="1">
        <f t="array" ref="BI268">IF(A268="","",IFERROR(MATCH(1,INDEX((pjNo=A268)*(pjType="Project"),0),0),""))</f>
        <v>189</v>
      </c>
      <c r="BJ268" s="150" t="str">
        <f>IF(D268="","",IFERROR(INDEX(tblStaff[Staff Level],MATCH(D268,tblStaff[Initials],0)),"?"))</f>
        <v>Mid Level Designer</v>
      </c>
      <c r="BK268" s="151" cm="1">
        <f t="array" ref="BK268">IF(BI268="","",INDEX(pjStart,BI268))</f>
        <v>46300</v>
      </c>
      <c r="BL268" s="151" cm="1">
        <f t="array" ref="BL268">IF(BI268="","",INDEX(pjEnd,BI268))</f>
        <v>46998</v>
      </c>
      <c r="BM268" s="150">
        <f>IF(BI268="",0,IF(C268="Active",1,IF(C268="Prospective",IF(Assumptions!$B$6="Active only",0,Assumptions!$B$7),0)))</f>
        <v>1</v>
      </c>
      <c r="BN268" s="150">
        <v>6</v>
      </c>
      <c r="BO268" s="36"/>
      <c r="BP268" s="36"/>
    </row>
    <row r="269" spans="1:68" outlineLevel="1" x14ac:dyDescent="0.25">
      <c r="A269" s="158">
        <v>2673</v>
      </c>
      <c r="B269" s="157" t="str" cm="1">
        <f t="array" ref="B269">IF(BI269="","",INDEX(pjName,BI269))</f>
        <v>Meadow Townhomes</v>
      </c>
      <c r="C269" s="158" t="str" cm="1">
        <f t="array" ref="C269">IF(BI269="","",IF(INDEX(pjStatus,BI269)="","",INDEX(pjStatus,BI269)))</f>
        <v>Active</v>
      </c>
      <c r="D269" s="158" t="str" cm="1">
        <f t="array" ref="D269">IFERROR(INDEX(tblStaff[Initials],BN269),"")</f>
        <v>XX</v>
      </c>
      <c r="E269" s="159" cm="1">
        <f t="array" ref="E269">IF(OR(BI269="",D269=""),"",IFERROR(SUMPRODUCT((pjNo=A269)*(pjType="Phase")*INDEX(Projects!$I$5:$O$1188,0,MATCH(D269,Projects!$I$4:$O$4,0))*pjWk),0))</f>
        <v>0</v>
      </c>
      <c r="F269" s="159">
        <f t="shared" si="114"/>
        <v>0</v>
      </c>
      <c r="G269" s="159">
        <f t="shared" si="115"/>
        <v>0</v>
      </c>
      <c r="H269" s="160"/>
      <c r="I269" s="160"/>
      <c r="J269" s="160"/>
      <c r="K269" s="160"/>
      <c r="L269" s="160"/>
      <c r="M269" s="160"/>
      <c r="N269" s="160"/>
      <c r="O269" s="160"/>
      <c r="P269" s="160"/>
      <c r="Q269" s="160"/>
      <c r="R269" s="160"/>
      <c r="S269" s="160"/>
      <c r="T269" s="160"/>
      <c r="U269" s="160"/>
      <c r="V269" s="160"/>
      <c r="W269" s="160"/>
      <c r="X269" s="160"/>
      <c r="Y269" s="160"/>
      <c r="Z269" s="160"/>
      <c r="AA269" s="160"/>
      <c r="AB269" s="160"/>
      <c r="AC269" s="160"/>
      <c r="AD269" s="160"/>
      <c r="AE269" s="160"/>
      <c r="AF269" s="160"/>
      <c r="AG269" s="160"/>
      <c r="AH269" s="160"/>
      <c r="AI269" s="160"/>
      <c r="AJ269" s="160"/>
      <c r="AK269" s="160"/>
      <c r="AL269" s="160"/>
      <c r="AM269" s="160"/>
      <c r="AN269" s="160"/>
      <c r="AO269" s="160"/>
      <c r="AP269" s="160"/>
      <c r="AQ269" s="160"/>
      <c r="AR269" s="160"/>
      <c r="AS269" s="160"/>
      <c r="AT269" s="160"/>
      <c r="AU269" s="160"/>
      <c r="AV269" s="160"/>
      <c r="AW269" s="160"/>
      <c r="AX269" s="160"/>
      <c r="AY269" s="160"/>
      <c r="AZ269" s="160"/>
      <c r="BA269" s="160"/>
      <c r="BB269" s="160"/>
      <c r="BC269" s="160"/>
      <c r="BD269" s="160"/>
      <c r="BE269" s="160"/>
      <c r="BF269" s="160"/>
      <c r="BG269" s="160"/>
      <c r="BH269" s="36"/>
      <c r="BI269" s="150" cm="1">
        <f t="array" ref="BI269">IF(A269="","",IFERROR(MATCH(1,INDEX((pjNo=A269)*(pjType="Project"),0),0),""))</f>
        <v>189</v>
      </c>
      <c r="BJ269" s="150" t="str">
        <f>IF(D269="","",IFERROR(INDEX(tblStaff[Staff Level],MATCH(D269,tblStaff[Initials],0)),"?"))</f>
        <v>Project Designer</v>
      </c>
      <c r="BK269" s="151" cm="1">
        <f t="array" ref="BK269">IF(BI269="","",INDEX(pjStart,BI269))</f>
        <v>46300</v>
      </c>
      <c r="BL269" s="151" cm="1">
        <f t="array" ref="BL269">IF(BI269="","",INDEX(pjEnd,BI269))</f>
        <v>46998</v>
      </c>
      <c r="BM269" s="150">
        <f>IF(BI269="",0,IF(C269="Active",1,IF(C269="Prospective",IF(Assumptions!$B$6="Active only",0,Assumptions!$B$7),0)))</f>
        <v>1</v>
      </c>
      <c r="BN269" s="150">
        <v>7</v>
      </c>
      <c r="BO269" s="36"/>
      <c r="BP269" s="36"/>
    </row>
    <row r="270" spans="1:68" outlineLevel="1" x14ac:dyDescent="0.25">
      <c r="A270" s="162">
        <v>2673</v>
      </c>
      <c r="B270" s="161" t="str" cm="1">
        <f t="array" ref="B270">IF(BI270="","",INDEX(pjName,BI270))</f>
        <v>Meadow Townhomes</v>
      </c>
      <c r="C270" s="162" t="str" cm="1">
        <f t="array" ref="C270">IF(BI270="","",IF(INDEX(pjStatus,BI270)="","",INDEX(pjStatus,BI270)))</f>
        <v>Active</v>
      </c>
      <c r="D270" s="162" t="str" cm="1">
        <f t="array" ref="D270">IFERROR(INDEX(tblStaff[Initials],BN270),"")</f>
        <v/>
      </c>
      <c r="E270" s="163" t="str" cm="1">
        <f t="array" ref="E270">IF(OR(BI270="",D270=""),"",IFERROR(SUMPRODUCT((pjNo=A270)*(pjType="Phase")*INDEX(Projects!$I$5:$O$1188,0,MATCH(D270,Projects!$I$4:$O$4,0))*pjWk),0))</f>
        <v/>
      </c>
      <c r="F270" s="163">
        <f t="shared" si="114"/>
        <v>0</v>
      </c>
      <c r="G270" s="163" t="str">
        <f t="shared" si="115"/>
        <v/>
      </c>
      <c r="H270" s="164"/>
      <c r="I270" s="164"/>
      <c r="J270" s="164"/>
      <c r="K270" s="164"/>
      <c r="L270" s="164"/>
      <c r="M270" s="164"/>
      <c r="N270" s="164"/>
      <c r="O270" s="164"/>
      <c r="P270" s="164"/>
      <c r="Q270" s="164"/>
      <c r="R270" s="164"/>
      <c r="S270" s="164"/>
      <c r="T270" s="164"/>
      <c r="U270" s="164"/>
      <c r="V270" s="164"/>
      <c r="W270" s="164"/>
      <c r="X270" s="164"/>
      <c r="Y270" s="164"/>
      <c r="Z270" s="164"/>
      <c r="AA270" s="164"/>
      <c r="AB270" s="164"/>
      <c r="AC270" s="164"/>
      <c r="AD270" s="164"/>
      <c r="AE270" s="164"/>
      <c r="AF270" s="164"/>
      <c r="AG270" s="164"/>
      <c r="AH270" s="164"/>
      <c r="AI270" s="164"/>
      <c r="AJ270" s="164"/>
      <c r="AK270" s="164"/>
      <c r="AL270" s="164"/>
      <c r="AM270" s="164"/>
      <c r="AN270" s="164"/>
      <c r="AO270" s="164"/>
      <c r="AP270" s="164"/>
      <c r="AQ270" s="164"/>
      <c r="AR270" s="164"/>
      <c r="AS270" s="164"/>
      <c r="AT270" s="164"/>
      <c r="AU270" s="164"/>
      <c r="AV270" s="164"/>
      <c r="AW270" s="164"/>
      <c r="AX270" s="164"/>
      <c r="AY270" s="164"/>
      <c r="AZ270" s="164"/>
      <c r="BA270" s="164"/>
      <c r="BB270" s="164"/>
      <c r="BC270" s="164"/>
      <c r="BD270" s="164"/>
      <c r="BE270" s="164"/>
      <c r="BF270" s="164"/>
      <c r="BG270" s="164"/>
      <c r="BH270" s="36"/>
      <c r="BI270" s="150" cm="1">
        <f t="array" ref="BI270">IF(A270="","",IFERROR(MATCH(1,INDEX((pjNo=A270)*(pjType="Project"),0),0),""))</f>
        <v>189</v>
      </c>
      <c r="BJ270" s="150" t="str">
        <f>IF(D270="","",IFERROR(INDEX(tblStaff[Staff Level],MATCH(D270,tblStaff[Initials],0)),"?"))</f>
        <v/>
      </c>
      <c r="BK270" s="151" cm="1">
        <f t="array" ref="BK270">IF(BI270="","",INDEX(pjStart,BI270))</f>
        <v>46300</v>
      </c>
      <c r="BL270" s="151" cm="1">
        <f t="array" ref="BL270">IF(BI270="","",INDEX(pjEnd,BI270))</f>
        <v>46998</v>
      </c>
      <c r="BM270" s="150">
        <f>IF(BI270="",0,IF(C270="Active",1,IF(C270="Prospective",IF(Assumptions!$B$6="Active only",0,Assumptions!$B$7),0)))</f>
        <v>1</v>
      </c>
      <c r="BN270" s="150">
        <v>8</v>
      </c>
      <c r="BO270" s="36"/>
      <c r="BP270" s="36"/>
    </row>
    <row r="271" spans="1:68" x14ac:dyDescent="0.25">
      <c r="A271" s="171"/>
      <c r="B271" s="173" t="str">
        <f>IF(A272="","",A272&amp;" · "&amp;B272)</f>
        <v/>
      </c>
      <c r="C271" s="171" t="str">
        <f>IF(A272="","",C272)</f>
        <v/>
      </c>
      <c r="D271" s="171"/>
      <c r="E271" s="172">
        <f>SUM(E272:E279)</f>
        <v>0</v>
      </c>
      <c r="F271" s="172">
        <f>SUM(F272:F279)</f>
        <v>0</v>
      </c>
      <c r="G271" s="172" t="str">
        <f>IF(E271=0,"",E271-F271)</f>
        <v/>
      </c>
      <c r="H271" s="174">
        <f t="shared" ref="H271:AM271" si="116">SUM(H272:H279)</f>
        <v>0</v>
      </c>
      <c r="I271" s="174">
        <f t="shared" si="116"/>
        <v>0</v>
      </c>
      <c r="J271" s="174">
        <f t="shared" si="116"/>
        <v>0</v>
      </c>
      <c r="K271" s="174">
        <f t="shared" si="116"/>
        <v>0</v>
      </c>
      <c r="L271" s="174">
        <f t="shared" si="116"/>
        <v>0</v>
      </c>
      <c r="M271" s="174">
        <f t="shared" si="116"/>
        <v>0</v>
      </c>
      <c r="N271" s="174">
        <f t="shared" si="116"/>
        <v>0</v>
      </c>
      <c r="O271" s="174">
        <f t="shared" si="116"/>
        <v>0</v>
      </c>
      <c r="P271" s="174">
        <f t="shared" si="116"/>
        <v>0</v>
      </c>
      <c r="Q271" s="174">
        <f t="shared" si="116"/>
        <v>0</v>
      </c>
      <c r="R271" s="174">
        <f t="shared" si="116"/>
        <v>0</v>
      </c>
      <c r="S271" s="174">
        <f t="shared" si="116"/>
        <v>0</v>
      </c>
      <c r="T271" s="174">
        <f t="shared" si="116"/>
        <v>0</v>
      </c>
      <c r="U271" s="174">
        <f t="shared" si="116"/>
        <v>0</v>
      </c>
      <c r="V271" s="174">
        <f t="shared" si="116"/>
        <v>0</v>
      </c>
      <c r="W271" s="174">
        <f t="shared" si="116"/>
        <v>0</v>
      </c>
      <c r="X271" s="174">
        <f t="shared" si="116"/>
        <v>0</v>
      </c>
      <c r="Y271" s="174">
        <f t="shared" si="116"/>
        <v>0</v>
      </c>
      <c r="Z271" s="174">
        <f t="shared" si="116"/>
        <v>0</v>
      </c>
      <c r="AA271" s="174">
        <f t="shared" si="116"/>
        <v>0</v>
      </c>
      <c r="AB271" s="174">
        <f t="shared" si="116"/>
        <v>0</v>
      </c>
      <c r="AC271" s="174">
        <f t="shared" si="116"/>
        <v>0</v>
      </c>
      <c r="AD271" s="174">
        <f t="shared" si="116"/>
        <v>0</v>
      </c>
      <c r="AE271" s="174">
        <f t="shared" si="116"/>
        <v>0</v>
      </c>
      <c r="AF271" s="174">
        <f t="shared" si="116"/>
        <v>0</v>
      </c>
      <c r="AG271" s="174">
        <f t="shared" si="116"/>
        <v>0</v>
      </c>
      <c r="AH271" s="174">
        <f t="shared" si="116"/>
        <v>0</v>
      </c>
      <c r="AI271" s="174">
        <f t="shared" si="116"/>
        <v>0</v>
      </c>
      <c r="AJ271" s="174">
        <f t="shared" si="116"/>
        <v>0</v>
      </c>
      <c r="AK271" s="174">
        <f t="shared" si="116"/>
        <v>0</v>
      </c>
      <c r="AL271" s="174">
        <f t="shared" si="116"/>
        <v>0</v>
      </c>
      <c r="AM271" s="174">
        <f t="shared" si="116"/>
        <v>0</v>
      </c>
      <c r="AN271" s="174">
        <f t="shared" ref="AN271:BG271" si="117">SUM(AN272:AN279)</f>
        <v>0</v>
      </c>
      <c r="AO271" s="174">
        <f t="shared" si="117"/>
        <v>0</v>
      </c>
      <c r="AP271" s="174">
        <f t="shared" si="117"/>
        <v>0</v>
      </c>
      <c r="AQ271" s="174">
        <f t="shared" si="117"/>
        <v>0</v>
      </c>
      <c r="AR271" s="174">
        <f t="shared" si="117"/>
        <v>0</v>
      </c>
      <c r="AS271" s="174">
        <f t="shared" si="117"/>
        <v>0</v>
      </c>
      <c r="AT271" s="174">
        <f t="shared" si="117"/>
        <v>0</v>
      </c>
      <c r="AU271" s="174">
        <f t="shared" si="117"/>
        <v>0</v>
      </c>
      <c r="AV271" s="174">
        <f t="shared" si="117"/>
        <v>0</v>
      </c>
      <c r="AW271" s="174">
        <f t="shared" si="117"/>
        <v>0</v>
      </c>
      <c r="AX271" s="174">
        <f t="shared" si="117"/>
        <v>0</v>
      </c>
      <c r="AY271" s="174">
        <f t="shared" si="117"/>
        <v>0</v>
      </c>
      <c r="AZ271" s="174">
        <f t="shared" si="117"/>
        <v>0</v>
      </c>
      <c r="BA271" s="174">
        <f t="shared" si="117"/>
        <v>0</v>
      </c>
      <c r="BB271" s="174">
        <f t="shared" si="117"/>
        <v>0</v>
      </c>
      <c r="BC271" s="174">
        <f t="shared" si="117"/>
        <v>0</v>
      </c>
      <c r="BD271" s="174">
        <f t="shared" si="117"/>
        <v>0</v>
      </c>
      <c r="BE271" s="174">
        <f t="shared" si="117"/>
        <v>0</v>
      </c>
      <c r="BF271" s="174">
        <f t="shared" si="117"/>
        <v>0</v>
      </c>
      <c r="BG271" s="174">
        <f t="shared" si="117"/>
        <v>0</v>
      </c>
      <c r="BH271" s="36"/>
      <c r="BI271" s="150"/>
      <c r="BJ271" s="150"/>
      <c r="BK271" s="151"/>
      <c r="BL271" s="151"/>
      <c r="BM271" s="150"/>
      <c r="BN271" s="150"/>
      <c r="BO271" s="36"/>
      <c r="BP271" s="36"/>
    </row>
    <row r="272" spans="1:68" hidden="1" outlineLevel="1" x14ac:dyDescent="0.25">
      <c r="A272" s="167" t="str">
        <f t="shared" ref="A272:A279" si="118">IF(N(INDEX($BP$20:$BP$67,1))=0,"",INDEX($BP$20:$BP$67,1))</f>
        <v/>
      </c>
      <c r="B272" s="168" t="str" cm="1">
        <f t="array" ref="B272">IF(BI272="","",INDEX(pjName,BI272))</f>
        <v/>
      </c>
      <c r="C272" s="167" t="str" cm="1">
        <f t="array" ref="C272">IF(BI272="","",IF(INDEX(pjStatus,BI272)="","",INDEX(pjStatus,BI272)))</f>
        <v/>
      </c>
      <c r="D272" s="167" t="str" cm="1">
        <f t="array" ref="D272">IFERROR(INDEX(tblStaff[Initials],BN272),"")</f>
        <v>PK</v>
      </c>
      <c r="E272" s="169" t="str" cm="1">
        <f t="array" ref="E272">IF(OR(BI272="",D272=""),"",IFERROR(SUMPRODUCT((pjNo=A272)*(pjType="Phase")*INDEX(Projects!$I$5:$O$1188,0,MATCH(D272,Projects!$I$4:$O$4,0))*pjWk),0))</f>
        <v/>
      </c>
      <c r="F272" s="169" t="str">
        <f t="shared" ref="F272:F279" si="119">IF(BI272="","",SUM(H272:BG272))</f>
        <v/>
      </c>
      <c r="G272" s="169" t="str">
        <f t="shared" ref="G272:G279" si="120">IF(OR(E272="",F272=""),"",E272-F272)</f>
        <v/>
      </c>
      <c r="H272" s="170"/>
      <c r="I272" s="170"/>
      <c r="J272" s="170"/>
      <c r="K272" s="170"/>
      <c r="L272" s="170"/>
      <c r="M272" s="170"/>
      <c r="N272" s="170"/>
      <c r="O272" s="170"/>
      <c r="P272" s="170"/>
      <c r="Q272" s="170"/>
      <c r="R272" s="170"/>
      <c r="S272" s="170"/>
      <c r="T272" s="170"/>
      <c r="U272" s="170"/>
      <c r="V272" s="170"/>
      <c r="W272" s="170"/>
      <c r="X272" s="170"/>
      <c r="Y272" s="170"/>
      <c r="Z272" s="170"/>
      <c r="AA272" s="170"/>
      <c r="AB272" s="170"/>
      <c r="AC272" s="170"/>
      <c r="AD272" s="170"/>
      <c r="AE272" s="170"/>
      <c r="AF272" s="170"/>
      <c r="AG272" s="170"/>
      <c r="AH272" s="170"/>
      <c r="AI272" s="170"/>
      <c r="AJ272" s="170"/>
      <c r="AK272" s="170"/>
      <c r="AL272" s="170"/>
      <c r="AM272" s="170"/>
      <c r="AN272" s="170"/>
      <c r="AO272" s="170"/>
      <c r="AP272" s="170"/>
      <c r="AQ272" s="170"/>
      <c r="AR272" s="170"/>
      <c r="AS272" s="170"/>
      <c r="AT272" s="170"/>
      <c r="AU272" s="170"/>
      <c r="AV272" s="170"/>
      <c r="AW272" s="170"/>
      <c r="AX272" s="170"/>
      <c r="AY272" s="170"/>
      <c r="AZ272" s="170"/>
      <c r="BA272" s="170"/>
      <c r="BB272" s="170"/>
      <c r="BC272" s="170"/>
      <c r="BD272" s="170"/>
      <c r="BE272" s="170"/>
      <c r="BF272" s="170"/>
      <c r="BG272" s="170"/>
      <c r="BH272" s="36"/>
      <c r="BI272" s="150" t="str" cm="1">
        <f t="array" ref="BI272">IF(A272="","",IFERROR(MATCH(1,INDEX((pjNo=A272)*(pjType="Project"),0),0),""))</f>
        <v/>
      </c>
      <c r="BJ272" s="150" t="str">
        <f>IF(D272="","",IFERROR(INDEX(tblStaff[Staff Level],MATCH(D272,tblStaff[Initials],0)),"?"))</f>
        <v>Principal</v>
      </c>
      <c r="BK272" s="151" t="str" cm="1">
        <f t="array" ref="BK272">IF(BI272="","",INDEX(pjStart,BI272))</f>
        <v/>
      </c>
      <c r="BL272" s="151" t="str" cm="1">
        <f t="array" ref="BL272">IF(BI272="","",INDEX(pjEnd,BI272))</f>
        <v/>
      </c>
      <c r="BM272" s="150">
        <f>IF(BI272="",0,IF(C272="Active",1,IF(C272="Prospective",IF(Assumptions!$B$6="Active only",0,Assumptions!$B$7),0)))</f>
        <v>0</v>
      </c>
      <c r="BN272" s="150">
        <v>1</v>
      </c>
      <c r="BO272" s="36"/>
      <c r="BP272" s="36"/>
    </row>
    <row r="273" spans="1:68" hidden="1" outlineLevel="1" x14ac:dyDescent="0.25">
      <c r="A273" s="167" t="str">
        <f t="shared" si="118"/>
        <v/>
      </c>
      <c r="B273" s="168" t="str" cm="1">
        <f t="array" ref="B273">IF(BI273="","",INDEX(pjName,BI273))</f>
        <v/>
      </c>
      <c r="C273" s="167" t="str" cm="1">
        <f t="array" ref="C273">IF(BI273="","",IF(INDEX(pjStatus,BI273)="","",INDEX(pjStatus,BI273)))</f>
        <v/>
      </c>
      <c r="D273" s="167" t="str" cm="1">
        <f t="array" ref="D273">IFERROR(INDEX(tblStaff[Initials],BN273),"")</f>
        <v>DF</v>
      </c>
      <c r="E273" s="169" t="str" cm="1">
        <f t="array" ref="E273">IF(OR(BI273="",D273=""),"",IFERROR(SUMPRODUCT((pjNo=A273)*(pjType="Phase")*INDEX(Projects!$I$5:$O$1188,0,MATCH(D273,Projects!$I$4:$O$4,0))*pjWk),0))</f>
        <v/>
      </c>
      <c r="F273" s="169" t="str">
        <f t="shared" si="119"/>
        <v/>
      </c>
      <c r="G273" s="169" t="str">
        <f t="shared" si="120"/>
        <v/>
      </c>
      <c r="H273" s="170"/>
      <c r="I273" s="170"/>
      <c r="J273" s="170"/>
      <c r="K273" s="170"/>
      <c r="L273" s="170"/>
      <c r="M273" s="170"/>
      <c r="N273" s="170"/>
      <c r="O273" s="170"/>
      <c r="P273" s="170"/>
      <c r="Q273" s="170"/>
      <c r="R273" s="170"/>
      <c r="S273" s="170"/>
      <c r="T273" s="170"/>
      <c r="U273" s="170"/>
      <c r="V273" s="170"/>
      <c r="W273" s="170"/>
      <c r="X273" s="170"/>
      <c r="Y273" s="170"/>
      <c r="Z273" s="170"/>
      <c r="AA273" s="170"/>
      <c r="AB273" s="170"/>
      <c r="AC273" s="170"/>
      <c r="AD273" s="170"/>
      <c r="AE273" s="170"/>
      <c r="AF273" s="170"/>
      <c r="AG273" s="170"/>
      <c r="AH273" s="170"/>
      <c r="AI273" s="170"/>
      <c r="AJ273" s="170"/>
      <c r="AK273" s="170"/>
      <c r="AL273" s="170"/>
      <c r="AM273" s="170"/>
      <c r="AN273" s="170"/>
      <c r="AO273" s="170"/>
      <c r="AP273" s="170"/>
      <c r="AQ273" s="170"/>
      <c r="AR273" s="170"/>
      <c r="AS273" s="170"/>
      <c r="AT273" s="170"/>
      <c r="AU273" s="170"/>
      <c r="AV273" s="170"/>
      <c r="AW273" s="170"/>
      <c r="AX273" s="170"/>
      <c r="AY273" s="170"/>
      <c r="AZ273" s="170"/>
      <c r="BA273" s="170"/>
      <c r="BB273" s="170"/>
      <c r="BC273" s="170"/>
      <c r="BD273" s="170"/>
      <c r="BE273" s="170"/>
      <c r="BF273" s="170"/>
      <c r="BG273" s="170"/>
      <c r="BH273" s="36"/>
      <c r="BI273" s="150" t="str" cm="1">
        <f t="array" ref="BI273">IF(A273="","",IFERROR(MATCH(1,INDEX((pjNo=A273)*(pjType="Project"),0),0),""))</f>
        <v/>
      </c>
      <c r="BJ273" s="150" t="str">
        <f>IF(D273="","",IFERROR(INDEX(tblStaff[Staff Level],MATCH(D273,tblStaff[Initials],0)),"?"))</f>
        <v>Principal</v>
      </c>
      <c r="BK273" s="151" t="str" cm="1">
        <f t="array" ref="BK273">IF(BI273="","",INDEX(pjStart,BI273))</f>
        <v/>
      </c>
      <c r="BL273" s="151" t="str" cm="1">
        <f t="array" ref="BL273">IF(BI273="","",INDEX(pjEnd,BI273))</f>
        <v/>
      </c>
      <c r="BM273" s="150">
        <f>IF(BI273="",0,IF(C273="Active",1,IF(C273="Prospective",IF(Assumptions!$B$6="Active only",0,Assumptions!$B$7),0)))</f>
        <v>0</v>
      </c>
      <c r="BN273" s="150">
        <v>2</v>
      </c>
      <c r="BO273" s="36"/>
      <c r="BP273" s="36"/>
    </row>
    <row r="274" spans="1:68" hidden="1" outlineLevel="1" x14ac:dyDescent="0.25">
      <c r="A274" s="158" t="str">
        <f t="shared" si="118"/>
        <v/>
      </c>
      <c r="B274" s="157" t="str" cm="1">
        <f t="array" ref="B274">IF(BI274="","",INDEX(pjName,BI274))</f>
        <v/>
      </c>
      <c r="C274" s="158" t="str" cm="1">
        <f t="array" ref="C274">IF(BI274="","",IF(INDEX(pjStatus,BI274)="","",INDEX(pjStatus,BI274)))</f>
        <v/>
      </c>
      <c r="D274" s="158" t="str" cm="1">
        <f t="array" ref="D274">IFERROR(INDEX(tblStaff[Initials],BN274),"")</f>
        <v>KJ</v>
      </c>
      <c r="E274" s="159" t="str" cm="1">
        <f t="array" ref="E274">IF(OR(BI274="",D274=""),"",IFERROR(SUMPRODUCT((pjNo=A274)*(pjType="Phase")*INDEX(Projects!$I$5:$O$1188,0,MATCH(D274,Projects!$I$4:$O$4,0))*pjWk),0))</f>
        <v/>
      </c>
      <c r="F274" s="159" t="str">
        <f t="shared" si="119"/>
        <v/>
      </c>
      <c r="G274" s="159" t="str">
        <f t="shared" si="120"/>
        <v/>
      </c>
      <c r="H274" s="160"/>
      <c r="I274" s="160"/>
      <c r="J274" s="160"/>
      <c r="K274" s="160"/>
      <c r="L274" s="160"/>
      <c r="M274" s="160"/>
      <c r="N274" s="160"/>
      <c r="O274" s="160"/>
      <c r="P274" s="160"/>
      <c r="Q274" s="160"/>
      <c r="R274" s="160"/>
      <c r="S274" s="160"/>
      <c r="T274" s="160"/>
      <c r="U274" s="160"/>
      <c r="V274" s="160"/>
      <c r="W274" s="160"/>
      <c r="X274" s="160"/>
      <c r="Y274" s="160"/>
      <c r="Z274" s="160"/>
      <c r="AA274" s="160"/>
      <c r="AB274" s="160"/>
      <c r="AC274" s="160"/>
      <c r="AD274" s="160"/>
      <c r="AE274" s="160"/>
      <c r="AF274" s="160"/>
      <c r="AG274" s="160"/>
      <c r="AH274" s="160"/>
      <c r="AI274" s="160"/>
      <c r="AJ274" s="160"/>
      <c r="AK274" s="160"/>
      <c r="AL274" s="160"/>
      <c r="AM274" s="160"/>
      <c r="AN274" s="160"/>
      <c r="AO274" s="160"/>
      <c r="AP274" s="160"/>
      <c r="AQ274" s="160"/>
      <c r="AR274" s="160"/>
      <c r="AS274" s="160"/>
      <c r="AT274" s="160"/>
      <c r="AU274" s="160"/>
      <c r="AV274" s="160"/>
      <c r="AW274" s="160"/>
      <c r="AX274" s="160"/>
      <c r="AY274" s="160"/>
      <c r="AZ274" s="160"/>
      <c r="BA274" s="160"/>
      <c r="BB274" s="160"/>
      <c r="BC274" s="160"/>
      <c r="BD274" s="160"/>
      <c r="BE274" s="160"/>
      <c r="BF274" s="160"/>
      <c r="BG274" s="160"/>
      <c r="BH274" s="36"/>
      <c r="BI274" s="150" t="str" cm="1">
        <f t="array" ref="BI274">IF(A274="","",IFERROR(MATCH(1,INDEX((pjNo=A274)*(pjType="Project"),0),0),""))</f>
        <v/>
      </c>
      <c r="BJ274" s="150" t="str">
        <f>IF(D274="","",IFERROR(INDEX(tblStaff[Staff Level],MATCH(D274,tblStaff[Initials],0)),"?"))</f>
        <v>Director</v>
      </c>
      <c r="BK274" s="151" t="str" cm="1">
        <f t="array" ref="BK274">IF(BI274="","",INDEX(pjStart,BI274))</f>
        <v/>
      </c>
      <c r="BL274" s="151" t="str" cm="1">
        <f t="array" ref="BL274">IF(BI274="","",INDEX(pjEnd,BI274))</f>
        <v/>
      </c>
      <c r="BM274" s="150">
        <f>IF(BI274="",0,IF(C274="Active",1,IF(C274="Prospective",IF(Assumptions!$B$6="Active only",0,Assumptions!$B$7),0)))</f>
        <v>0</v>
      </c>
      <c r="BN274" s="150">
        <v>3</v>
      </c>
      <c r="BO274" s="36"/>
      <c r="BP274" s="36"/>
    </row>
    <row r="275" spans="1:68" hidden="1" outlineLevel="1" x14ac:dyDescent="0.25">
      <c r="A275" s="158" t="str">
        <f t="shared" si="118"/>
        <v/>
      </c>
      <c r="B275" s="157" t="str" cm="1">
        <f t="array" ref="B275">IF(BI275="","",INDEX(pjName,BI275))</f>
        <v/>
      </c>
      <c r="C275" s="158" t="str" cm="1">
        <f t="array" ref="C275">IF(BI275="","",IF(INDEX(pjStatus,BI275)="","",INDEX(pjStatus,BI275)))</f>
        <v/>
      </c>
      <c r="D275" s="158" t="str" cm="1">
        <f t="array" ref="D275">IFERROR(INDEX(tblStaff[Initials],BN275),"")</f>
        <v>HL</v>
      </c>
      <c r="E275" s="159" t="str" cm="1">
        <f t="array" ref="E275">IF(OR(BI275="",D275=""),"",IFERROR(SUMPRODUCT((pjNo=A275)*(pjType="Phase")*INDEX(Projects!$I$5:$O$1188,0,MATCH(D275,Projects!$I$4:$O$4,0))*pjWk),0))</f>
        <v/>
      </c>
      <c r="F275" s="159" t="str">
        <f t="shared" si="119"/>
        <v/>
      </c>
      <c r="G275" s="159" t="str">
        <f t="shared" si="120"/>
        <v/>
      </c>
      <c r="H275" s="160"/>
      <c r="I275" s="160"/>
      <c r="J275" s="160"/>
      <c r="K275" s="160"/>
      <c r="L275" s="160"/>
      <c r="M275" s="160"/>
      <c r="N275" s="160"/>
      <c r="O275" s="160"/>
      <c r="P275" s="160"/>
      <c r="Q275" s="160"/>
      <c r="R275" s="160"/>
      <c r="S275" s="160"/>
      <c r="T275" s="160"/>
      <c r="U275" s="160"/>
      <c r="V275" s="160"/>
      <c r="W275" s="160"/>
      <c r="X275" s="160"/>
      <c r="Y275" s="160"/>
      <c r="Z275" s="160"/>
      <c r="AA275" s="160"/>
      <c r="AB275" s="160"/>
      <c r="AC275" s="160"/>
      <c r="AD275" s="160"/>
      <c r="AE275" s="160"/>
      <c r="AF275" s="160"/>
      <c r="AG275" s="160"/>
      <c r="AH275" s="160"/>
      <c r="AI275" s="160"/>
      <c r="AJ275" s="160"/>
      <c r="AK275" s="160"/>
      <c r="AL275" s="160"/>
      <c r="AM275" s="160"/>
      <c r="AN275" s="160"/>
      <c r="AO275" s="160"/>
      <c r="AP275" s="160"/>
      <c r="AQ275" s="160"/>
      <c r="AR275" s="160"/>
      <c r="AS275" s="160"/>
      <c r="AT275" s="160"/>
      <c r="AU275" s="160"/>
      <c r="AV275" s="160"/>
      <c r="AW275" s="160"/>
      <c r="AX275" s="160"/>
      <c r="AY275" s="160"/>
      <c r="AZ275" s="160"/>
      <c r="BA275" s="160"/>
      <c r="BB275" s="160"/>
      <c r="BC275" s="160"/>
      <c r="BD275" s="160"/>
      <c r="BE275" s="160"/>
      <c r="BF275" s="160"/>
      <c r="BG275" s="160"/>
      <c r="BH275" s="36"/>
      <c r="BI275" s="150" t="str" cm="1">
        <f t="array" ref="BI275">IF(A275="","",IFERROR(MATCH(1,INDEX((pjNo=A275)*(pjType="Project"),0),0),""))</f>
        <v/>
      </c>
      <c r="BJ275" s="150" t="str">
        <f>IF(D275="","",IFERROR(INDEX(tblStaff[Staff Level],MATCH(D275,tblStaff[Initials],0)),"?"))</f>
        <v>Senior Designer</v>
      </c>
      <c r="BK275" s="151" t="str" cm="1">
        <f t="array" ref="BK275">IF(BI275="","",INDEX(pjStart,BI275))</f>
        <v/>
      </c>
      <c r="BL275" s="151" t="str" cm="1">
        <f t="array" ref="BL275">IF(BI275="","",INDEX(pjEnd,BI275))</f>
        <v/>
      </c>
      <c r="BM275" s="150">
        <f>IF(BI275="",0,IF(C275="Active",1,IF(C275="Prospective",IF(Assumptions!$B$6="Active only",0,Assumptions!$B$7),0)))</f>
        <v>0</v>
      </c>
      <c r="BN275" s="150">
        <v>4</v>
      </c>
      <c r="BO275" s="36"/>
      <c r="BP275" s="36"/>
    </row>
    <row r="276" spans="1:68" hidden="1" outlineLevel="1" x14ac:dyDescent="0.25">
      <c r="A276" s="158" t="str">
        <f t="shared" si="118"/>
        <v/>
      </c>
      <c r="B276" s="157" t="str" cm="1">
        <f t="array" ref="B276">IF(BI276="","",INDEX(pjName,BI276))</f>
        <v/>
      </c>
      <c r="C276" s="158" t="str" cm="1">
        <f t="array" ref="C276">IF(BI276="","",IF(INDEX(pjStatus,BI276)="","",INDEX(pjStatus,BI276)))</f>
        <v/>
      </c>
      <c r="D276" s="158" t="str" cm="1">
        <f t="array" ref="D276">IFERROR(INDEX(tblStaff[Initials],BN276),"")</f>
        <v>EHH</v>
      </c>
      <c r="E276" s="159" t="str" cm="1">
        <f t="array" ref="E276">IF(OR(BI276="",D276=""),"",IFERROR(SUMPRODUCT((pjNo=A276)*(pjType="Phase")*INDEX(Projects!$I$5:$O$1188,0,MATCH(D276,Projects!$I$4:$O$4,0))*pjWk),0))</f>
        <v/>
      </c>
      <c r="F276" s="159" t="str">
        <f t="shared" si="119"/>
        <v/>
      </c>
      <c r="G276" s="159" t="str">
        <f t="shared" si="120"/>
        <v/>
      </c>
      <c r="H276" s="160"/>
      <c r="I276" s="160"/>
      <c r="J276" s="160"/>
      <c r="K276" s="160"/>
      <c r="L276" s="160"/>
      <c r="M276" s="160"/>
      <c r="N276" s="160"/>
      <c r="O276" s="160"/>
      <c r="P276" s="160"/>
      <c r="Q276" s="160"/>
      <c r="R276" s="160"/>
      <c r="S276" s="160"/>
      <c r="T276" s="160"/>
      <c r="U276" s="160"/>
      <c r="V276" s="160"/>
      <c r="W276" s="160"/>
      <c r="X276" s="160"/>
      <c r="Y276" s="160"/>
      <c r="Z276" s="160"/>
      <c r="AA276" s="160"/>
      <c r="AB276" s="160"/>
      <c r="AC276" s="160"/>
      <c r="AD276" s="160"/>
      <c r="AE276" s="160"/>
      <c r="AF276" s="160"/>
      <c r="AG276" s="160"/>
      <c r="AH276" s="160"/>
      <c r="AI276" s="160"/>
      <c r="AJ276" s="160"/>
      <c r="AK276" s="160"/>
      <c r="AL276" s="160"/>
      <c r="AM276" s="160"/>
      <c r="AN276" s="160"/>
      <c r="AO276" s="160"/>
      <c r="AP276" s="160"/>
      <c r="AQ276" s="160"/>
      <c r="AR276" s="160"/>
      <c r="AS276" s="160"/>
      <c r="AT276" s="160"/>
      <c r="AU276" s="160"/>
      <c r="AV276" s="160"/>
      <c r="AW276" s="160"/>
      <c r="AX276" s="160"/>
      <c r="AY276" s="160"/>
      <c r="AZ276" s="160"/>
      <c r="BA276" s="160"/>
      <c r="BB276" s="160"/>
      <c r="BC276" s="160"/>
      <c r="BD276" s="160"/>
      <c r="BE276" s="160"/>
      <c r="BF276" s="160"/>
      <c r="BG276" s="160"/>
      <c r="BH276" s="36"/>
      <c r="BI276" s="150" t="str" cm="1">
        <f t="array" ref="BI276">IF(A276="","",IFERROR(MATCH(1,INDEX((pjNo=A276)*(pjType="Project"),0),0),""))</f>
        <v/>
      </c>
      <c r="BJ276" s="150" t="str">
        <f>IF(D276="","",IFERROR(INDEX(tblStaff[Staff Level],MATCH(D276,tblStaff[Initials],0)),"?"))</f>
        <v>Mid Level Designer</v>
      </c>
      <c r="BK276" s="151" t="str" cm="1">
        <f t="array" ref="BK276">IF(BI276="","",INDEX(pjStart,BI276))</f>
        <v/>
      </c>
      <c r="BL276" s="151" t="str" cm="1">
        <f t="array" ref="BL276">IF(BI276="","",INDEX(pjEnd,BI276))</f>
        <v/>
      </c>
      <c r="BM276" s="150">
        <f>IF(BI276="",0,IF(C276="Active",1,IF(C276="Prospective",IF(Assumptions!$B$6="Active only",0,Assumptions!$B$7),0)))</f>
        <v>0</v>
      </c>
      <c r="BN276" s="150">
        <v>5</v>
      </c>
      <c r="BO276" s="36"/>
      <c r="BP276" s="36"/>
    </row>
    <row r="277" spans="1:68" hidden="1" outlineLevel="1" x14ac:dyDescent="0.25">
      <c r="A277" s="158" t="str">
        <f t="shared" si="118"/>
        <v/>
      </c>
      <c r="B277" s="157" t="str" cm="1">
        <f t="array" ref="B277">IF(BI277="","",INDEX(pjName,BI277))</f>
        <v/>
      </c>
      <c r="C277" s="158" t="str" cm="1">
        <f t="array" ref="C277">IF(BI277="","",IF(INDEX(pjStatus,BI277)="","",INDEX(pjStatus,BI277)))</f>
        <v/>
      </c>
      <c r="D277" s="158" t="str" cm="1">
        <f t="array" ref="D277">IFERROR(INDEX(tblStaff[Initials],BN277),"")</f>
        <v>KD</v>
      </c>
      <c r="E277" s="159" t="str" cm="1">
        <f t="array" ref="E277">IF(OR(BI277="",D277=""),"",IFERROR(SUMPRODUCT((pjNo=A277)*(pjType="Phase")*INDEX(Projects!$I$5:$O$1188,0,MATCH(D277,Projects!$I$4:$O$4,0))*pjWk),0))</f>
        <v/>
      </c>
      <c r="F277" s="159" t="str">
        <f t="shared" si="119"/>
        <v/>
      </c>
      <c r="G277" s="159" t="str">
        <f t="shared" si="120"/>
        <v/>
      </c>
      <c r="H277" s="160"/>
      <c r="I277" s="160"/>
      <c r="J277" s="160"/>
      <c r="K277" s="160"/>
      <c r="L277" s="160"/>
      <c r="M277" s="160"/>
      <c r="N277" s="160"/>
      <c r="O277" s="160"/>
      <c r="P277" s="160"/>
      <c r="Q277" s="160"/>
      <c r="R277" s="160"/>
      <c r="S277" s="160"/>
      <c r="T277" s="160"/>
      <c r="U277" s="160"/>
      <c r="V277" s="160"/>
      <c r="W277" s="160"/>
      <c r="X277" s="160"/>
      <c r="Y277" s="160"/>
      <c r="Z277" s="160"/>
      <c r="AA277" s="160"/>
      <c r="AB277" s="160"/>
      <c r="AC277" s="160"/>
      <c r="AD277" s="160"/>
      <c r="AE277" s="160"/>
      <c r="AF277" s="160"/>
      <c r="AG277" s="160"/>
      <c r="AH277" s="160"/>
      <c r="AI277" s="160"/>
      <c r="AJ277" s="160"/>
      <c r="AK277" s="160"/>
      <c r="AL277" s="160"/>
      <c r="AM277" s="160"/>
      <c r="AN277" s="160"/>
      <c r="AO277" s="160"/>
      <c r="AP277" s="160"/>
      <c r="AQ277" s="160"/>
      <c r="AR277" s="160"/>
      <c r="AS277" s="160"/>
      <c r="AT277" s="160"/>
      <c r="AU277" s="160"/>
      <c r="AV277" s="160"/>
      <c r="AW277" s="160"/>
      <c r="AX277" s="160"/>
      <c r="AY277" s="160"/>
      <c r="AZ277" s="160"/>
      <c r="BA277" s="160"/>
      <c r="BB277" s="160"/>
      <c r="BC277" s="160"/>
      <c r="BD277" s="160"/>
      <c r="BE277" s="160"/>
      <c r="BF277" s="160"/>
      <c r="BG277" s="160"/>
      <c r="BH277" s="36"/>
      <c r="BI277" s="150" t="str" cm="1">
        <f t="array" ref="BI277">IF(A277="","",IFERROR(MATCH(1,INDEX((pjNo=A277)*(pjType="Project"),0),0),""))</f>
        <v/>
      </c>
      <c r="BJ277" s="150" t="str">
        <f>IF(D277="","",IFERROR(INDEX(tblStaff[Staff Level],MATCH(D277,tblStaff[Initials],0)),"?"))</f>
        <v>Mid Level Designer</v>
      </c>
      <c r="BK277" s="151" t="str" cm="1">
        <f t="array" ref="BK277">IF(BI277="","",INDEX(pjStart,BI277))</f>
        <v/>
      </c>
      <c r="BL277" s="151" t="str" cm="1">
        <f t="array" ref="BL277">IF(BI277="","",INDEX(pjEnd,BI277))</f>
        <v/>
      </c>
      <c r="BM277" s="150">
        <f>IF(BI277="",0,IF(C277="Active",1,IF(C277="Prospective",IF(Assumptions!$B$6="Active only",0,Assumptions!$B$7),0)))</f>
        <v>0</v>
      </c>
      <c r="BN277" s="150">
        <v>6</v>
      </c>
      <c r="BO277" s="36"/>
      <c r="BP277" s="36"/>
    </row>
    <row r="278" spans="1:68" hidden="1" outlineLevel="1" x14ac:dyDescent="0.25">
      <c r="A278" s="158" t="str">
        <f t="shared" si="118"/>
        <v/>
      </c>
      <c r="B278" s="157" t="str" cm="1">
        <f t="array" ref="B278">IF(BI278="","",INDEX(pjName,BI278))</f>
        <v/>
      </c>
      <c r="C278" s="158" t="str" cm="1">
        <f t="array" ref="C278">IF(BI278="","",IF(INDEX(pjStatus,BI278)="","",INDEX(pjStatus,BI278)))</f>
        <v/>
      </c>
      <c r="D278" s="158" t="str" cm="1">
        <f t="array" ref="D278">IFERROR(INDEX(tblStaff[Initials],BN278),"")</f>
        <v>XX</v>
      </c>
      <c r="E278" s="159" t="str" cm="1">
        <f t="array" ref="E278">IF(OR(BI278="",D278=""),"",IFERROR(SUMPRODUCT((pjNo=A278)*(pjType="Phase")*INDEX(Projects!$I$5:$O$1188,0,MATCH(D278,Projects!$I$4:$O$4,0))*pjWk),0))</f>
        <v/>
      </c>
      <c r="F278" s="159" t="str">
        <f t="shared" si="119"/>
        <v/>
      </c>
      <c r="G278" s="159" t="str">
        <f t="shared" si="120"/>
        <v/>
      </c>
      <c r="H278" s="160"/>
      <c r="I278" s="160"/>
      <c r="J278" s="160"/>
      <c r="K278" s="160"/>
      <c r="L278" s="160"/>
      <c r="M278" s="160"/>
      <c r="N278" s="160"/>
      <c r="O278" s="160"/>
      <c r="P278" s="160"/>
      <c r="Q278" s="160"/>
      <c r="R278" s="160"/>
      <c r="S278" s="160"/>
      <c r="T278" s="160"/>
      <c r="U278" s="160"/>
      <c r="V278" s="160"/>
      <c r="W278" s="160"/>
      <c r="X278" s="160"/>
      <c r="Y278" s="160"/>
      <c r="Z278" s="160"/>
      <c r="AA278" s="160"/>
      <c r="AB278" s="160"/>
      <c r="AC278" s="160"/>
      <c r="AD278" s="160"/>
      <c r="AE278" s="160"/>
      <c r="AF278" s="160"/>
      <c r="AG278" s="160"/>
      <c r="AH278" s="160"/>
      <c r="AI278" s="160"/>
      <c r="AJ278" s="160"/>
      <c r="AK278" s="160"/>
      <c r="AL278" s="160"/>
      <c r="AM278" s="160"/>
      <c r="AN278" s="160"/>
      <c r="AO278" s="160"/>
      <c r="AP278" s="160"/>
      <c r="AQ278" s="160"/>
      <c r="AR278" s="160"/>
      <c r="AS278" s="160"/>
      <c r="AT278" s="160"/>
      <c r="AU278" s="160"/>
      <c r="AV278" s="160"/>
      <c r="AW278" s="160"/>
      <c r="AX278" s="160"/>
      <c r="AY278" s="160"/>
      <c r="AZ278" s="160"/>
      <c r="BA278" s="160"/>
      <c r="BB278" s="160"/>
      <c r="BC278" s="160"/>
      <c r="BD278" s="160"/>
      <c r="BE278" s="160"/>
      <c r="BF278" s="160"/>
      <c r="BG278" s="160"/>
      <c r="BH278" s="36"/>
      <c r="BI278" s="150" t="str" cm="1">
        <f t="array" ref="BI278">IF(A278="","",IFERROR(MATCH(1,INDEX((pjNo=A278)*(pjType="Project"),0),0),""))</f>
        <v/>
      </c>
      <c r="BJ278" s="150" t="str">
        <f>IF(D278="","",IFERROR(INDEX(tblStaff[Staff Level],MATCH(D278,tblStaff[Initials],0)),"?"))</f>
        <v>Project Designer</v>
      </c>
      <c r="BK278" s="151" t="str" cm="1">
        <f t="array" ref="BK278">IF(BI278="","",INDEX(pjStart,BI278))</f>
        <v/>
      </c>
      <c r="BL278" s="151" t="str" cm="1">
        <f t="array" ref="BL278">IF(BI278="","",INDEX(pjEnd,BI278))</f>
        <v/>
      </c>
      <c r="BM278" s="150">
        <f>IF(BI278="",0,IF(C278="Active",1,IF(C278="Prospective",IF(Assumptions!$B$6="Active only",0,Assumptions!$B$7),0)))</f>
        <v>0</v>
      </c>
      <c r="BN278" s="150">
        <v>7</v>
      </c>
      <c r="BO278" s="36"/>
      <c r="BP278" s="36"/>
    </row>
    <row r="279" spans="1:68" hidden="1" outlineLevel="1" x14ac:dyDescent="0.25">
      <c r="A279" s="162" t="str">
        <f t="shared" si="118"/>
        <v/>
      </c>
      <c r="B279" s="161" t="str" cm="1">
        <f t="array" ref="B279">IF(BI279="","",INDEX(pjName,BI279))</f>
        <v/>
      </c>
      <c r="C279" s="162" t="str" cm="1">
        <f t="array" ref="C279">IF(BI279="","",IF(INDEX(pjStatus,BI279)="","",INDEX(pjStatus,BI279)))</f>
        <v/>
      </c>
      <c r="D279" s="162" t="str" cm="1">
        <f t="array" ref="D279">IFERROR(INDEX(tblStaff[Initials],BN279),"")</f>
        <v/>
      </c>
      <c r="E279" s="163" t="str" cm="1">
        <f t="array" ref="E279">IF(OR(BI279="",D279=""),"",IFERROR(SUMPRODUCT((pjNo=A279)*(pjType="Phase")*INDEX(Projects!$I$5:$O$1188,0,MATCH(D279,Projects!$I$4:$O$4,0))*pjWk),0))</f>
        <v/>
      </c>
      <c r="F279" s="163" t="str">
        <f t="shared" si="119"/>
        <v/>
      </c>
      <c r="G279" s="163" t="str">
        <f t="shared" si="120"/>
        <v/>
      </c>
      <c r="H279" s="164"/>
      <c r="I279" s="164"/>
      <c r="J279" s="164"/>
      <c r="K279" s="164"/>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164"/>
      <c r="AH279" s="164"/>
      <c r="AI279" s="164"/>
      <c r="AJ279" s="164"/>
      <c r="AK279" s="164"/>
      <c r="AL279" s="164"/>
      <c r="AM279" s="164"/>
      <c r="AN279" s="164"/>
      <c r="AO279" s="164"/>
      <c r="AP279" s="164"/>
      <c r="AQ279" s="164"/>
      <c r="AR279" s="164"/>
      <c r="AS279" s="164"/>
      <c r="AT279" s="164"/>
      <c r="AU279" s="164"/>
      <c r="AV279" s="164"/>
      <c r="AW279" s="164"/>
      <c r="AX279" s="164"/>
      <c r="AY279" s="164"/>
      <c r="AZ279" s="164"/>
      <c r="BA279" s="164"/>
      <c r="BB279" s="164"/>
      <c r="BC279" s="164"/>
      <c r="BD279" s="164"/>
      <c r="BE279" s="164"/>
      <c r="BF279" s="164"/>
      <c r="BG279" s="164"/>
      <c r="BH279" s="36"/>
      <c r="BI279" s="150" t="str" cm="1">
        <f t="array" ref="BI279">IF(A279="","",IFERROR(MATCH(1,INDEX((pjNo=A279)*(pjType="Project"),0),0),""))</f>
        <v/>
      </c>
      <c r="BJ279" s="150" t="str">
        <f>IF(D279="","",IFERROR(INDEX(tblStaff[Staff Level],MATCH(D279,tblStaff[Initials],0)),"?"))</f>
        <v/>
      </c>
      <c r="BK279" s="151" t="str" cm="1">
        <f t="array" ref="BK279">IF(BI279="","",INDEX(pjStart,BI279))</f>
        <v/>
      </c>
      <c r="BL279" s="151" t="str" cm="1">
        <f t="array" ref="BL279">IF(BI279="","",INDEX(pjEnd,BI279))</f>
        <v/>
      </c>
      <c r="BM279" s="150">
        <f>IF(BI279="",0,IF(C279="Active",1,IF(C279="Prospective",IF(Assumptions!$B$6="Active only",0,Assumptions!$B$7),0)))</f>
        <v>0</v>
      </c>
      <c r="BN279" s="150">
        <v>8</v>
      </c>
      <c r="BO279" s="36"/>
      <c r="BP279" s="36"/>
    </row>
    <row r="280" spans="1:68" collapsed="1" x14ac:dyDescent="0.25">
      <c r="A280" s="171"/>
      <c r="B280" s="173" t="str">
        <f>IF(A281="","",A281&amp;" · "&amp;B281)</f>
        <v/>
      </c>
      <c r="C280" s="171" t="str">
        <f>IF(A281="","",C281)</f>
        <v/>
      </c>
      <c r="D280" s="171"/>
      <c r="E280" s="172">
        <f>SUM(E281:E288)</f>
        <v>0</v>
      </c>
      <c r="F280" s="172">
        <f>SUM(F281:F288)</f>
        <v>0</v>
      </c>
      <c r="G280" s="172" t="str">
        <f>IF(E280=0,"",E280-F280)</f>
        <v/>
      </c>
      <c r="H280" s="174">
        <f t="shared" ref="H280:AM280" si="121">SUM(H281:H288)</f>
        <v>0</v>
      </c>
      <c r="I280" s="174">
        <f t="shared" si="121"/>
        <v>0</v>
      </c>
      <c r="J280" s="174">
        <f t="shared" si="121"/>
        <v>0</v>
      </c>
      <c r="K280" s="174">
        <f t="shared" si="121"/>
        <v>0</v>
      </c>
      <c r="L280" s="174">
        <f t="shared" si="121"/>
        <v>0</v>
      </c>
      <c r="M280" s="174">
        <f t="shared" si="121"/>
        <v>0</v>
      </c>
      <c r="N280" s="174">
        <f t="shared" si="121"/>
        <v>0</v>
      </c>
      <c r="O280" s="174">
        <f t="shared" si="121"/>
        <v>0</v>
      </c>
      <c r="P280" s="174">
        <f t="shared" si="121"/>
        <v>0</v>
      </c>
      <c r="Q280" s="174">
        <f t="shared" si="121"/>
        <v>0</v>
      </c>
      <c r="R280" s="174">
        <f t="shared" si="121"/>
        <v>0</v>
      </c>
      <c r="S280" s="174">
        <f t="shared" si="121"/>
        <v>0</v>
      </c>
      <c r="T280" s="174">
        <f t="shared" si="121"/>
        <v>0</v>
      </c>
      <c r="U280" s="174">
        <f t="shared" si="121"/>
        <v>0</v>
      </c>
      <c r="V280" s="174">
        <f t="shared" si="121"/>
        <v>0</v>
      </c>
      <c r="W280" s="174">
        <f t="shared" si="121"/>
        <v>0</v>
      </c>
      <c r="X280" s="174">
        <f t="shared" si="121"/>
        <v>0</v>
      </c>
      <c r="Y280" s="174">
        <f t="shared" si="121"/>
        <v>0</v>
      </c>
      <c r="Z280" s="174">
        <f t="shared" si="121"/>
        <v>0</v>
      </c>
      <c r="AA280" s="174">
        <f t="shared" si="121"/>
        <v>0</v>
      </c>
      <c r="AB280" s="174">
        <f t="shared" si="121"/>
        <v>0</v>
      </c>
      <c r="AC280" s="174">
        <f t="shared" si="121"/>
        <v>0</v>
      </c>
      <c r="AD280" s="174">
        <f t="shared" si="121"/>
        <v>0</v>
      </c>
      <c r="AE280" s="174">
        <f t="shared" si="121"/>
        <v>0</v>
      </c>
      <c r="AF280" s="174">
        <f t="shared" si="121"/>
        <v>0</v>
      </c>
      <c r="AG280" s="174">
        <f t="shared" si="121"/>
        <v>0</v>
      </c>
      <c r="AH280" s="174">
        <f t="shared" si="121"/>
        <v>0</v>
      </c>
      <c r="AI280" s="174">
        <f t="shared" si="121"/>
        <v>0</v>
      </c>
      <c r="AJ280" s="174">
        <f t="shared" si="121"/>
        <v>0</v>
      </c>
      <c r="AK280" s="174">
        <f t="shared" si="121"/>
        <v>0</v>
      </c>
      <c r="AL280" s="174">
        <f t="shared" si="121"/>
        <v>0</v>
      </c>
      <c r="AM280" s="174">
        <f t="shared" si="121"/>
        <v>0</v>
      </c>
      <c r="AN280" s="174">
        <f t="shared" ref="AN280:BG280" si="122">SUM(AN281:AN288)</f>
        <v>0</v>
      </c>
      <c r="AO280" s="174">
        <f t="shared" si="122"/>
        <v>0</v>
      </c>
      <c r="AP280" s="174">
        <f t="shared" si="122"/>
        <v>0</v>
      </c>
      <c r="AQ280" s="174">
        <f t="shared" si="122"/>
        <v>0</v>
      </c>
      <c r="AR280" s="174">
        <f t="shared" si="122"/>
        <v>0</v>
      </c>
      <c r="AS280" s="174">
        <f t="shared" si="122"/>
        <v>0</v>
      </c>
      <c r="AT280" s="174">
        <f t="shared" si="122"/>
        <v>0</v>
      </c>
      <c r="AU280" s="174">
        <f t="shared" si="122"/>
        <v>0</v>
      </c>
      <c r="AV280" s="174">
        <f t="shared" si="122"/>
        <v>0</v>
      </c>
      <c r="AW280" s="174">
        <f t="shared" si="122"/>
        <v>0</v>
      </c>
      <c r="AX280" s="174">
        <f t="shared" si="122"/>
        <v>0</v>
      </c>
      <c r="AY280" s="174">
        <f t="shared" si="122"/>
        <v>0</v>
      </c>
      <c r="AZ280" s="174">
        <f t="shared" si="122"/>
        <v>0</v>
      </c>
      <c r="BA280" s="174">
        <f t="shared" si="122"/>
        <v>0</v>
      </c>
      <c r="BB280" s="174">
        <f t="shared" si="122"/>
        <v>0</v>
      </c>
      <c r="BC280" s="174">
        <f t="shared" si="122"/>
        <v>0</v>
      </c>
      <c r="BD280" s="174">
        <f t="shared" si="122"/>
        <v>0</v>
      </c>
      <c r="BE280" s="174">
        <f t="shared" si="122"/>
        <v>0</v>
      </c>
      <c r="BF280" s="174">
        <f t="shared" si="122"/>
        <v>0</v>
      </c>
      <c r="BG280" s="174">
        <f t="shared" si="122"/>
        <v>0</v>
      </c>
      <c r="BH280" s="36"/>
      <c r="BI280" s="150"/>
      <c r="BJ280" s="150"/>
      <c r="BK280" s="151"/>
      <c r="BL280" s="151"/>
      <c r="BM280" s="150"/>
      <c r="BN280" s="150"/>
      <c r="BO280" s="36"/>
      <c r="BP280" s="36"/>
    </row>
    <row r="281" spans="1:68" hidden="1" outlineLevel="1" x14ac:dyDescent="0.25">
      <c r="A281" s="167" t="str">
        <f t="shared" ref="A281:A288" si="123">IF(N(INDEX($BP$20:$BP$67,2))=0,"",INDEX($BP$20:$BP$67,2))</f>
        <v/>
      </c>
      <c r="B281" s="168" t="str" cm="1">
        <f t="array" ref="B281">IF(BI281="","",INDEX(pjName,BI281))</f>
        <v/>
      </c>
      <c r="C281" s="167" t="str" cm="1">
        <f t="array" ref="C281">IF(BI281="","",IF(INDEX(pjStatus,BI281)="","",INDEX(pjStatus,BI281)))</f>
        <v/>
      </c>
      <c r="D281" s="167" t="str" cm="1">
        <f t="array" ref="D281">IFERROR(INDEX(tblStaff[Initials],BN281),"")</f>
        <v>PK</v>
      </c>
      <c r="E281" s="169" t="str" cm="1">
        <f t="array" ref="E281">IF(OR(BI281="",D281=""),"",IFERROR(SUMPRODUCT((pjNo=A281)*(pjType="Phase")*INDEX(Projects!$I$5:$O$1188,0,MATCH(D281,Projects!$I$4:$O$4,0))*pjWk),0))</f>
        <v/>
      </c>
      <c r="F281" s="169" t="str">
        <f t="shared" ref="F281:F288" si="124">IF(BI281="","",SUM(H281:BG281))</f>
        <v/>
      </c>
      <c r="G281" s="169" t="str">
        <f t="shared" ref="G281:G288" si="125">IF(OR(E281="",F281=""),"",E281-F281)</f>
        <v/>
      </c>
      <c r="H281" s="170"/>
      <c r="I281" s="170"/>
      <c r="J281" s="170"/>
      <c r="K281" s="170"/>
      <c r="L281" s="170"/>
      <c r="M281" s="170"/>
      <c r="N281" s="170"/>
      <c r="O281" s="170"/>
      <c r="P281" s="170"/>
      <c r="Q281" s="170"/>
      <c r="R281" s="170"/>
      <c r="S281" s="170"/>
      <c r="T281" s="170"/>
      <c r="U281" s="170"/>
      <c r="V281" s="170"/>
      <c r="W281" s="170"/>
      <c r="X281" s="170"/>
      <c r="Y281" s="170"/>
      <c r="Z281" s="170"/>
      <c r="AA281" s="170"/>
      <c r="AB281" s="170"/>
      <c r="AC281" s="170"/>
      <c r="AD281" s="170"/>
      <c r="AE281" s="170"/>
      <c r="AF281" s="170"/>
      <c r="AG281" s="170"/>
      <c r="AH281" s="170"/>
      <c r="AI281" s="170"/>
      <c r="AJ281" s="170"/>
      <c r="AK281" s="170"/>
      <c r="AL281" s="170"/>
      <c r="AM281" s="170"/>
      <c r="AN281" s="170"/>
      <c r="AO281" s="170"/>
      <c r="AP281" s="170"/>
      <c r="AQ281" s="170"/>
      <c r="AR281" s="170"/>
      <c r="AS281" s="170"/>
      <c r="AT281" s="170"/>
      <c r="AU281" s="170"/>
      <c r="AV281" s="170"/>
      <c r="AW281" s="170"/>
      <c r="AX281" s="170"/>
      <c r="AY281" s="170"/>
      <c r="AZ281" s="170"/>
      <c r="BA281" s="170"/>
      <c r="BB281" s="170"/>
      <c r="BC281" s="170"/>
      <c r="BD281" s="170"/>
      <c r="BE281" s="170"/>
      <c r="BF281" s="170"/>
      <c r="BG281" s="170"/>
      <c r="BH281" s="36"/>
      <c r="BI281" s="150" t="str" cm="1">
        <f t="array" ref="BI281">IF(A281="","",IFERROR(MATCH(1,INDEX((pjNo=A281)*(pjType="Project"),0),0),""))</f>
        <v/>
      </c>
      <c r="BJ281" s="150" t="str">
        <f>IF(D281="","",IFERROR(INDEX(tblStaff[Staff Level],MATCH(D281,tblStaff[Initials],0)),"?"))</f>
        <v>Principal</v>
      </c>
      <c r="BK281" s="151" t="str" cm="1">
        <f t="array" ref="BK281">IF(BI281="","",INDEX(pjStart,BI281))</f>
        <v/>
      </c>
      <c r="BL281" s="151" t="str" cm="1">
        <f t="array" ref="BL281">IF(BI281="","",INDEX(pjEnd,BI281))</f>
        <v/>
      </c>
      <c r="BM281" s="150">
        <f>IF(BI281="",0,IF(C281="Active",1,IF(C281="Prospective",IF(Assumptions!$B$6="Active only",0,Assumptions!$B$7),0)))</f>
        <v>0</v>
      </c>
      <c r="BN281" s="150">
        <v>1</v>
      </c>
      <c r="BO281" s="36"/>
      <c r="BP281" s="36"/>
    </row>
    <row r="282" spans="1:68" hidden="1" outlineLevel="1" x14ac:dyDescent="0.25">
      <c r="A282" s="167" t="str">
        <f t="shared" si="123"/>
        <v/>
      </c>
      <c r="B282" s="168" t="str" cm="1">
        <f t="array" ref="B282">IF(BI282="","",INDEX(pjName,BI282))</f>
        <v/>
      </c>
      <c r="C282" s="167" t="str" cm="1">
        <f t="array" ref="C282">IF(BI282="","",IF(INDEX(pjStatus,BI282)="","",INDEX(pjStatus,BI282)))</f>
        <v/>
      </c>
      <c r="D282" s="167" t="str" cm="1">
        <f t="array" ref="D282">IFERROR(INDEX(tblStaff[Initials],BN282),"")</f>
        <v>DF</v>
      </c>
      <c r="E282" s="169" t="str" cm="1">
        <f t="array" ref="E282">IF(OR(BI282="",D282=""),"",IFERROR(SUMPRODUCT((pjNo=A282)*(pjType="Phase")*INDEX(Projects!$I$5:$O$1188,0,MATCH(D282,Projects!$I$4:$O$4,0))*pjWk),0))</f>
        <v/>
      </c>
      <c r="F282" s="169" t="str">
        <f t="shared" si="124"/>
        <v/>
      </c>
      <c r="G282" s="169" t="str">
        <f t="shared" si="125"/>
        <v/>
      </c>
      <c r="H282" s="170"/>
      <c r="I282" s="170"/>
      <c r="J282" s="170"/>
      <c r="K282" s="170"/>
      <c r="L282" s="170"/>
      <c r="M282" s="170"/>
      <c r="N282" s="170"/>
      <c r="O282" s="170"/>
      <c r="P282" s="170"/>
      <c r="Q282" s="170"/>
      <c r="R282" s="170"/>
      <c r="S282" s="170"/>
      <c r="T282" s="170"/>
      <c r="U282" s="170"/>
      <c r="V282" s="170"/>
      <c r="W282" s="170"/>
      <c r="X282" s="170"/>
      <c r="Y282" s="170"/>
      <c r="Z282" s="170"/>
      <c r="AA282" s="170"/>
      <c r="AB282" s="170"/>
      <c r="AC282" s="170"/>
      <c r="AD282" s="170"/>
      <c r="AE282" s="170"/>
      <c r="AF282" s="170"/>
      <c r="AG282" s="170"/>
      <c r="AH282" s="170"/>
      <c r="AI282" s="170"/>
      <c r="AJ282" s="170"/>
      <c r="AK282" s="170"/>
      <c r="AL282" s="170"/>
      <c r="AM282" s="170"/>
      <c r="AN282" s="170"/>
      <c r="AO282" s="170"/>
      <c r="AP282" s="170"/>
      <c r="AQ282" s="170"/>
      <c r="AR282" s="170"/>
      <c r="AS282" s="170"/>
      <c r="AT282" s="170"/>
      <c r="AU282" s="170"/>
      <c r="AV282" s="170"/>
      <c r="AW282" s="170"/>
      <c r="AX282" s="170"/>
      <c r="AY282" s="170"/>
      <c r="AZ282" s="170"/>
      <c r="BA282" s="170"/>
      <c r="BB282" s="170"/>
      <c r="BC282" s="170"/>
      <c r="BD282" s="170"/>
      <c r="BE282" s="170"/>
      <c r="BF282" s="170"/>
      <c r="BG282" s="170"/>
      <c r="BH282" s="36"/>
      <c r="BI282" s="150" t="str" cm="1">
        <f t="array" ref="BI282">IF(A282="","",IFERROR(MATCH(1,INDEX((pjNo=A282)*(pjType="Project"),0),0),""))</f>
        <v/>
      </c>
      <c r="BJ282" s="150" t="str">
        <f>IF(D282="","",IFERROR(INDEX(tblStaff[Staff Level],MATCH(D282,tblStaff[Initials],0)),"?"))</f>
        <v>Principal</v>
      </c>
      <c r="BK282" s="151" t="str" cm="1">
        <f t="array" ref="BK282">IF(BI282="","",INDEX(pjStart,BI282))</f>
        <v/>
      </c>
      <c r="BL282" s="151" t="str" cm="1">
        <f t="array" ref="BL282">IF(BI282="","",INDEX(pjEnd,BI282))</f>
        <v/>
      </c>
      <c r="BM282" s="150">
        <f>IF(BI282="",0,IF(C282="Active",1,IF(C282="Prospective",IF(Assumptions!$B$6="Active only",0,Assumptions!$B$7),0)))</f>
        <v>0</v>
      </c>
      <c r="BN282" s="150">
        <v>2</v>
      </c>
      <c r="BO282" s="36"/>
      <c r="BP282" s="36"/>
    </row>
    <row r="283" spans="1:68" hidden="1" outlineLevel="1" x14ac:dyDescent="0.25">
      <c r="A283" s="158" t="str">
        <f t="shared" si="123"/>
        <v/>
      </c>
      <c r="B283" s="157" t="str" cm="1">
        <f t="array" ref="B283">IF(BI283="","",INDEX(pjName,BI283))</f>
        <v/>
      </c>
      <c r="C283" s="158" t="str" cm="1">
        <f t="array" ref="C283">IF(BI283="","",IF(INDEX(pjStatus,BI283)="","",INDEX(pjStatus,BI283)))</f>
        <v/>
      </c>
      <c r="D283" s="158" t="str" cm="1">
        <f t="array" ref="D283">IFERROR(INDEX(tblStaff[Initials],BN283),"")</f>
        <v>KJ</v>
      </c>
      <c r="E283" s="159" t="str" cm="1">
        <f t="array" ref="E283">IF(OR(BI283="",D283=""),"",IFERROR(SUMPRODUCT((pjNo=A283)*(pjType="Phase")*INDEX(Projects!$I$5:$O$1188,0,MATCH(D283,Projects!$I$4:$O$4,0))*pjWk),0))</f>
        <v/>
      </c>
      <c r="F283" s="159" t="str">
        <f t="shared" si="124"/>
        <v/>
      </c>
      <c r="G283" s="159" t="str">
        <f t="shared" si="125"/>
        <v/>
      </c>
      <c r="H283" s="160"/>
      <c r="I283" s="160"/>
      <c r="J283" s="160"/>
      <c r="K283" s="160"/>
      <c r="L283" s="160"/>
      <c r="M283" s="160"/>
      <c r="N283" s="160"/>
      <c r="O283" s="160"/>
      <c r="P283" s="160"/>
      <c r="Q283" s="160"/>
      <c r="R283" s="160"/>
      <c r="S283" s="160"/>
      <c r="T283" s="160"/>
      <c r="U283" s="160"/>
      <c r="V283" s="160"/>
      <c r="W283" s="160"/>
      <c r="X283" s="160"/>
      <c r="Y283" s="160"/>
      <c r="Z283" s="160"/>
      <c r="AA283" s="160"/>
      <c r="AB283" s="160"/>
      <c r="AC283" s="160"/>
      <c r="AD283" s="160"/>
      <c r="AE283" s="160"/>
      <c r="AF283" s="160"/>
      <c r="AG283" s="160"/>
      <c r="AH283" s="160"/>
      <c r="AI283" s="160"/>
      <c r="AJ283" s="160"/>
      <c r="AK283" s="160"/>
      <c r="AL283" s="160"/>
      <c r="AM283" s="160"/>
      <c r="AN283" s="160"/>
      <c r="AO283" s="160"/>
      <c r="AP283" s="160"/>
      <c r="AQ283" s="160"/>
      <c r="AR283" s="160"/>
      <c r="AS283" s="160"/>
      <c r="AT283" s="160"/>
      <c r="AU283" s="160"/>
      <c r="AV283" s="160"/>
      <c r="AW283" s="160"/>
      <c r="AX283" s="160"/>
      <c r="AY283" s="160"/>
      <c r="AZ283" s="160"/>
      <c r="BA283" s="160"/>
      <c r="BB283" s="160"/>
      <c r="BC283" s="160"/>
      <c r="BD283" s="160"/>
      <c r="BE283" s="160"/>
      <c r="BF283" s="160"/>
      <c r="BG283" s="160"/>
      <c r="BH283" s="36"/>
      <c r="BI283" s="150" t="str" cm="1">
        <f t="array" ref="BI283">IF(A283="","",IFERROR(MATCH(1,INDEX((pjNo=A283)*(pjType="Project"),0),0),""))</f>
        <v/>
      </c>
      <c r="BJ283" s="150" t="str">
        <f>IF(D283="","",IFERROR(INDEX(tblStaff[Staff Level],MATCH(D283,tblStaff[Initials],0)),"?"))</f>
        <v>Director</v>
      </c>
      <c r="BK283" s="151" t="str" cm="1">
        <f t="array" ref="BK283">IF(BI283="","",INDEX(pjStart,BI283))</f>
        <v/>
      </c>
      <c r="BL283" s="151" t="str" cm="1">
        <f t="array" ref="BL283">IF(BI283="","",INDEX(pjEnd,BI283))</f>
        <v/>
      </c>
      <c r="BM283" s="150">
        <f>IF(BI283="",0,IF(C283="Active",1,IF(C283="Prospective",IF(Assumptions!$B$6="Active only",0,Assumptions!$B$7),0)))</f>
        <v>0</v>
      </c>
      <c r="BN283" s="150">
        <v>3</v>
      </c>
      <c r="BO283" s="36"/>
      <c r="BP283" s="36"/>
    </row>
    <row r="284" spans="1:68" hidden="1" outlineLevel="1" x14ac:dyDescent="0.25">
      <c r="A284" s="158" t="str">
        <f t="shared" si="123"/>
        <v/>
      </c>
      <c r="B284" s="157" t="str" cm="1">
        <f t="array" ref="B284">IF(BI284="","",INDEX(pjName,BI284))</f>
        <v/>
      </c>
      <c r="C284" s="158" t="str" cm="1">
        <f t="array" ref="C284">IF(BI284="","",IF(INDEX(pjStatus,BI284)="","",INDEX(pjStatus,BI284)))</f>
        <v/>
      </c>
      <c r="D284" s="158" t="str" cm="1">
        <f t="array" ref="D284">IFERROR(INDEX(tblStaff[Initials],BN284),"")</f>
        <v>HL</v>
      </c>
      <c r="E284" s="159" t="str" cm="1">
        <f t="array" ref="E284">IF(OR(BI284="",D284=""),"",IFERROR(SUMPRODUCT((pjNo=A284)*(pjType="Phase")*INDEX(Projects!$I$5:$O$1188,0,MATCH(D284,Projects!$I$4:$O$4,0))*pjWk),0))</f>
        <v/>
      </c>
      <c r="F284" s="159" t="str">
        <f t="shared" si="124"/>
        <v/>
      </c>
      <c r="G284" s="159" t="str">
        <f t="shared" si="125"/>
        <v/>
      </c>
      <c r="H284" s="160"/>
      <c r="I284" s="160"/>
      <c r="J284" s="160"/>
      <c r="K284" s="160"/>
      <c r="L284" s="160"/>
      <c r="M284" s="160"/>
      <c r="N284" s="160"/>
      <c r="O284" s="160"/>
      <c r="P284" s="160"/>
      <c r="Q284" s="160"/>
      <c r="R284" s="160"/>
      <c r="S284" s="160"/>
      <c r="T284" s="160"/>
      <c r="U284" s="160"/>
      <c r="V284" s="160"/>
      <c r="W284" s="160"/>
      <c r="X284" s="160"/>
      <c r="Y284" s="160"/>
      <c r="Z284" s="160"/>
      <c r="AA284" s="160"/>
      <c r="AB284" s="160"/>
      <c r="AC284" s="160"/>
      <c r="AD284" s="160"/>
      <c r="AE284" s="160"/>
      <c r="AF284" s="160"/>
      <c r="AG284" s="160"/>
      <c r="AH284" s="160"/>
      <c r="AI284" s="160"/>
      <c r="AJ284" s="160"/>
      <c r="AK284" s="160"/>
      <c r="AL284" s="160"/>
      <c r="AM284" s="160"/>
      <c r="AN284" s="160"/>
      <c r="AO284" s="160"/>
      <c r="AP284" s="160"/>
      <c r="AQ284" s="160"/>
      <c r="AR284" s="160"/>
      <c r="AS284" s="160"/>
      <c r="AT284" s="160"/>
      <c r="AU284" s="160"/>
      <c r="AV284" s="160"/>
      <c r="AW284" s="160"/>
      <c r="AX284" s="160"/>
      <c r="AY284" s="160"/>
      <c r="AZ284" s="160"/>
      <c r="BA284" s="160"/>
      <c r="BB284" s="160"/>
      <c r="BC284" s="160"/>
      <c r="BD284" s="160"/>
      <c r="BE284" s="160"/>
      <c r="BF284" s="160"/>
      <c r="BG284" s="160"/>
      <c r="BH284" s="36"/>
      <c r="BI284" s="150" t="str" cm="1">
        <f t="array" ref="BI284">IF(A284="","",IFERROR(MATCH(1,INDEX((pjNo=A284)*(pjType="Project"),0),0),""))</f>
        <v/>
      </c>
      <c r="BJ284" s="150" t="str">
        <f>IF(D284="","",IFERROR(INDEX(tblStaff[Staff Level],MATCH(D284,tblStaff[Initials],0)),"?"))</f>
        <v>Senior Designer</v>
      </c>
      <c r="BK284" s="151" t="str" cm="1">
        <f t="array" ref="BK284">IF(BI284="","",INDEX(pjStart,BI284))</f>
        <v/>
      </c>
      <c r="BL284" s="151" t="str" cm="1">
        <f t="array" ref="BL284">IF(BI284="","",INDEX(pjEnd,BI284))</f>
        <v/>
      </c>
      <c r="BM284" s="150">
        <f>IF(BI284="",0,IF(C284="Active",1,IF(C284="Prospective",IF(Assumptions!$B$6="Active only",0,Assumptions!$B$7),0)))</f>
        <v>0</v>
      </c>
      <c r="BN284" s="150">
        <v>4</v>
      </c>
      <c r="BO284" s="36"/>
      <c r="BP284" s="36"/>
    </row>
    <row r="285" spans="1:68" hidden="1" outlineLevel="1" x14ac:dyDescent="0.25">
      <c r="A285" s="158" t="str">
        <f t="shared" si="123"/>
        <v/>
      </c>
      <c r="B285" s="157" t="str" cm="1">
        <f t="array" ref="B285">IF(BI285="","",INDEX(pjName,BI285))</f>
        <v/>
      </c>
      <c r="C285" s="158" t="str" cm="1">
        <f t="array" ref="C285">IF(BI285="","",IF(INDEX(pjStatus,BI285)="","",INDEX(pjStatus,BI285)))</f>
        <v/>
      </c>
      <c r="D285" s="158" t="str" cm="1">
        <f t="array" ref="D285">IFERROR(INDEX(tblStaff[Initials],BN285),"")</f>
        <v>EHH</v>
      </c>
      <c r="E285" s="159" t="str" cm="1">
        <f t="array" ref="E285">IF(OR(BI285="",D285=""),"",IFERROR(SUMPRODUCT((pjNo=A285)*(pjType="Phase")*INDEX(Projects!$I$5:$O$1188,0,MATCH(D285,Projects!$I$4:$O$4,0))*pjWk),0))</f>
        <v/>
      </c>
      <c r="F285" s="159" t="str">
        <f t="shared" si="124"/>
        <v/>
      </c>
      <c r="G285" s="159" t="str">
        <f t="shared" si="125"/>
        <v/>
      </c>
      <c r="H285" s="160"/>
      <c r="I285" s="160"/>
      <c r="J285" s="160"/>
      <c r="K285" s="160"/>
      <c r="L285" s="160"/>
      <c r="M285" s="160"/>
      <c r="N285" s="160"/>
      <c r="O285" s="160"/>
      <c r="P285" s="160"/>
      <c r="Q285" s="160"/>
      <c r="R285" s="160"/>
      <c r="S285" s="160"/>
      <c r="T285" s="160"/>
      <c r="U285" s="160"/>
      <c r="V285" s="160"/>
      <c r="W285" s="160"/>
      <c r="X285" s="160"/>
      <c r="Y285" s="160"/>
      <c r="Z285" s="160"/>
      <c r="AA285" s="160"/>
      <c r="AB285" s="160"/>
      <c r="AC285" s="160"/>
      <c r="AD285" s="160"/>
      <c r="AE285" s="160"/>
      <c r="AF285" s="160"/>
      <c r="AG285" s="160"/>
      <c r="AH285" s="160"/>
      <c r="AI285" s="160"/>
      <c r="AJ285" s="160"/>
      <c r="AK285" s="160"/>
      <c r="AL285" s="160"/>
      <c r="AM285" s="160"/>
      <c r="AN285" s="160"/>
      <c r="AO285" s="160"/>
      <c r="AP285" s="160"/>
      <c r="AQ285" s="160"/>
      <c r="AR285" s="160"/>
      <c r="AS285" s="160"/>
      <c r="AT285" s="160"/>
      <c r="AU285" s="160"/>
      <c r="AV285" s="160"/>
      <c r="AW285" s="160"/>
      <c r="AX285" s="160"/>
      <c r="AY285" s="160"/>
      <c r="AZ285" s="160"/>
      <c r="BA285" s="160"/>
      <c r="BB285" s="160"/>
      <c r="BC285" s="160"/>
      <c r="BD285" s="160"/>
      <c r="BE285" s="160"/>
      <c r="BF285" s="160"/>
      <c r="BG285" s="160"/>
      <c r="BH285" s="36"/>
      <c r="BI285" s="150" t="str" cm="1">
        <f t="array" ref="BI285">IF(A285="","",IFERROR(MATCH(1,INDEX((pjNo=A285)*(pjType="Project"),0),0),""))</f>
        <v/>
      </c>
      <c r="BJ285" s="150" t="str">
        <f>IF(D285="","",IFERROR(INDEX(tblStaff[Staff Level],MATCH(D285,tblStaff[Initials],0)),"?"))</f>
        <v>Mid Level Designer</v>
      </c>
      <c r="BK285" s="151" t="str" cm="1">
        <f t="array" ref="BK285">IF(BI285="","",INDEX(pjStart,BI285))</f>
        <v/>
      </c>
      <c r="BL285" s="151" t="str" cm="1">
        <f t="array" ref="BL285">IF(BI285="","",INDEX(pjEnd,BI285))</f>
        <v/>
      </c>
      <c r="BM285" s="150">
        <f>IF(BI285="",0,IF(C285="Active",1,IF(C285="Prospective",IF(Assumptions!$B$6="Active only",0,Assumptions!$B$7),0)))</f>
        <v>0</v>
      </c>
      <c r="BN285" s="150">
        <v>5</v>
      </c>
      <c r="BO285" s="36"/>
      <c r="BP285" s="36"/>
    </row>
    <row r="286" spans="1:68" hidden="1" outlineLevel="1" x14ac:dyDescent="0.25">
      <c r="A286" s="158" t="str">
        <f t="shared" si="123"/>
        <v/>
      </c>
      <c r="B286" s="157" t="str" cm="1">
        <f t="array" ref="B286">IF(BI286="","",INDEX(pjName,BI286))</f>
        <v/>
      </c>
      <c r="C286" s="158" t="str" cm="1">
        <f t="array" ref="C286">IF(BI286="","",IF(INDEX(pjStatus,BI286)="","",INDEX(pjStatus,BI286)))</f>
        <v/>
      </c>
      <c r="D286" s="158" t="str" cm="1">
        <f t="array" ref="D286">IFERROR(INDEX(tblStaff[Initials],BN286),"")</f>
        <v>KD</v>
      </c>
      <c r="E286" s="159" t="str" cm="1">
        <f t="array" ref="E286">IF(OR(BI286="",D286=""),"",IFERROR(SUMPRODUCT((pjNo=A286)*(pjType="Phase")*INDEX(Projects!$I$5:$O$1188,0,MATCH(D286,Projects!$I$4:$O$4,0))*pjWk),0))</f>
        <v/>
      </c>
      <c r="F286" s="159" t="str">
        <f t="shared" si="124"/>
        <v/>
      </c>
      <c r="G286" s="159" t="str">
        <f t="shared" si="125"/>
        <v/>
      </c>
      <c r="H286" s="160"/>
      <c r="I286" s="160"/>
      <c r="J286" s="160"/>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c r="AG286" s="160"/>
      <c r="AH286" s="160"/>
      <c r="AI286" s="160"/>
      <c r="AJ286" s="160"/>
      <c r="AK286" s="160"/>
      <c r="AL286" s="160"/>
      <c r="AM286" s="160"/>
      <c r="AN286" s="160"/>
      <c r="AO286" s="160"/>
      <c r="AP286" s="160"/>
      <c r="AQ286" s="160"/>
      <c r="AR286" s="160"/>
      <c r="AS286" s="160"/>
      <c r="AT286" s="160"/>
      <c r="AU286" s="160"/>
      <c r="AV286" s="160"/>
      <c r="AW286" s="160"/>
      <c r="AX286" s="160"/>
      <c r="AY286" s="160"/>
      <c r="AZ286" s="160"/>
      <c r="BA286" s="160"/>
      <c r="BB286" s="160"/>
      <c r="BC286" s="160"/>
      <c r="BD286" s="160"/>
      <c r="BE286" s="160"/>
      <c r="BF286" s="160"/>
      <c r="BG286" s="160"/>
      <c r="BH286" s="36"/>
      <c r="BI286" s="150" t="str" cm="1">
        <f t="array" ref="BI286">IF(A286="","",IFERROR(MATCH(1,INDEX((pjNo=A286)*(pjType="Project"),0),0),""))</f>
        <v/>
      </c>
      <c r="BJ286" s="150" t="str">
        <f>IF(D286="","",IFERROR(INDEX(tblStaff[Staff Level],MATCH(D286,tblStaff[Initials],0)),"?"))</f>
        <v>Mid Level Designer</v>
      </c>
      <c r="BK286" s="151" t="str" cm="1">
        <f t="array" ref="BK286">IF(BI286="","",INDEX(pjStart,BI286))</f>
        <v/>
      </c>
      <c r="BL286" s="151" t="str" cm="1">
        <f t="array" ref="BL286">IF(BI286="","",INDEX(pjEnd,BI286))</f>
        <v/>
      </c>
      <c r="BM286" s="150">
        <f>IF(BI286="",0,IF(C286="Active",1,IF(C286="Prospective",IF(Assumptions!$B$6="Active only",0,Assumptions!$B$7),0)))</f>
        <v>0</v>
      </c>
      <c r="BN286" s="150">
        <v>6</v>
      </c>
      <c r="BO286" s="36"/>
      <c r="BP286" s="36"/>
    </row>
    <row r="287" spans="1:68" hidden="1" outlineLevel="1" x14ac:dyDescent="0.25">
      <c r="A287" s="158" t="str">
        <f t="shared" si="123"/>
        <v/>
      </c>
      <c r="B287" s="157" t="str" cm="1">
        <f t="array" ref="B287">IF(BI287="","",INDEX(pjName,BI287))</f>
        <v/>
      </c>
      <c r="C287" s="158" t="str" cm="1">
        <f t="array" ref="C287">IF(BI287="","",IF(INDEX(pjStatus,BI287)="","",INDEX(pjStatus,BI287)))</f>
        <v/>
      </c>
      <c r="D287" s="158" t="str" cm="1">
        <f t="array" ref="D287">IFERROR(INDEX(tblStaff[Initials],BN287),"")</f>
        <v>XX</v>
      </c>
      <c r="E287" s="159" t="str" cm="1">
        <f t="array" ref="E287">IF(OR(BI287="",D287=""),"",IFERROR(SUMPRODUCT((pjNo=A287)*(pjType="Phase")*INDEX(Projects!$I$5:$O$1188,0,MATCH(D287,Projects!$I$4:$O$4,0))*pjWk),0))</f>
        <v/>
      </c>
      <c r="F287" s="159" t="str">
        <f t="shared" si="124"/>
        <v/>
      </c>
      <c r="G287" s="159" t="str">
        <f t="shared" si="125"/>
        <v/>
      </c>
      <c r="H287" s="160"/>
      <c r="I287" s="160"/>
      <c r="J287" s="160"/>
      <c r="K287" s="160"/>
      <c r="L287" s="160"/>
      <c r="M287" s="160"/>
      <c r="N287" s="160"/>
      <c r="O287" s="160"/>
      <c r="P287" s="160"/>
      <c r="Q287" s="160"/>
      <c r="R287" s="160"/>
      <c r="S287" s="160"/>
      <c r="T287" s="160"/>
      <c r="U287" s="160"/>
      <c r="V287" s="160"/>
      <c r="W287" s="160"/>
      <c r="X287" s="160"/>
      <c r="Y287" s="160"/>
      <c r="Z287" s="160"/>
      <c r="AA287" s="160"/>
      <c r="AB287" s="160"/>
      <c r="AC287" s="160"/>
      <c r="AD287" s="160"/>
      <c r="AE287" s="160"/>
      <c r="AF287" s="160"/>
      <c r="AG287" s="160"/>
      <c r="AH287" s="160"/>
      <c r="AI287" s="160"/>
      <c r="AJ287" s="160"/>
      <c r="AK287" s="160"/>
      <c r="AL287" s="160"/>
      <c r="AM287" s="160"/>
      <c r="AN287" s="160"/>
      <c r="AO287" s="160"/>
      <c r="AP287" s="160"/>
      <c r="AQ287" s="160"/>
      <c r="AR287" s="160"/>
      <c r="AS287" s="160"/>
      <c r="AT287" s="160"/>
      <c r="AU287" s="160"/>
      <c r="AV287" s="160"/>
      <c r="AW287" s="160"/>
      <c r="AX287" s="160"/>
      <c r="AY287" s="160"/>
      <c r="AZ287" s="160"/>
      <c r="BA287" s="160"/>
      <c r="BB287" s="160"/>
      <c r="BC287" s="160"/>
      <c r="BD287" s="160"/>
      <c r="BE287" s="160"/>
      <c r="BF287" s="160"/>
      <c r="BG287" s="160"/>
      <c r="BH287" s="36"/>
      <c r="BI287" s="150" t="str" cm="1">
        <f t="array" ref="BI287">IF(A287="","",IFERROR(MATCH(1,INDEX((pjNo=A287)*(pjType="Project"),0),0),""))</f>
        <v/>
      </c>
      <c r="BJ287" s="150" t="str">
        <f>IF(D287="","",IFERROR(INDEX(tblStaff[Staff Level],MATCH(D287,tblStaff[Initials],0)),"?"))</f>
        <v>Project Designer</v>
      </c>
      <c r="BK287" s="151" t="str" cm="1">
        <f t="array" ref="BK287">IF(BI287="","",INDEX(pjStart,BI287))</f>
        <v/>
      </c>
      <c r="BL287" s="151" t="str" cm="1">
        <f t="array" ref="BL287">IF(BI287="","",INDEX(pjEnd,BI287))</f>
        <v/>
      </c>
      <c r="BM287" s="150">
        <f>IF(BI287="",0,IF(C287="Active",1,IF(C287="Prospective",IF(Assumptions!$B$6="Active only",0,Assumptions!$B$7),0)))</f>
        <v>0</v>
      </c>
      <c r="BN287" s="150">
        <v>7</v>
      </c>
      <c r="BO287" s="36"/>
      <c r="BP287" s="36"/>
    </row>
    <row r="288" spans="1:68" hidden="1" outlineLevel="1" x14ac:dyDescent="0.25">
      <c r="A288" s="162" t="str">
        <f t="shared" si="123"/>
        <v/>
      </c>
      <c r="B288" s="161" t="str" cm="1">
        <f t="array" ref="B288">IF(BI288="","",INDEX(pjName,BI288))</f>
        <v/>
      </c>
      <c r="C288" s="162" t="str" cm="1">
        <f t="array" ref="C288">IF(BI288="","",IF(INDEX(pjStatus,BI288)="","",INDEX(pjStatus,BI288)))</f>
        <v/>
      </c>
      <c r="D288" s="162" t="str" cm="1">
        <f t="array" ref="D288">IFERROR(INDEX(tblStaff[Initials],BN288),"")</f>
        <v/>
      </c>
      <c r="E288" s="163" t="str" cm="1">
        <f t="array" ref="E288">IF(OR(BI288="",D288=""),"",IFERROR(SUMPRODUCT((pjNo=A288)*(pjType="Phase")*INDEX(Projects!$I$5:$O$1188,0,MATCH(D288,Projects!$I$4:$O$4,0))*pjWk),0))</f>
        <v/>
      </c>
      <c r="F288" s="163" t="str">
        <f t="shared" si="124"/>
        <v/>
      </c>
      <c r="G288" s="163" t="str">
        <f t="shared" si="125"/>
        <v/>
      </c>
      <c r="H288" s="164"/>
      <c r="I288" s="164"/>
      <c r="J288" s="164"/>
      <c r="K288" s="164"/>
      <c r="L288" s="164"/>
      <c r="M288" s="164"/>
      <c r="N288" s="164"/>
      <c r="O288" s="164"/>
      <c r="P288" s="164"/>
      <c r="Q288" s="164"/>
      <c r="R288" s="164"/>
      <c r="S288" s="164"/>
      <c r="T288" s="164"/>
      <c r="U288" s="164"/>
      <c r="V288" s="164"/>
      <c r="W288" s="164"/>
      <c r="X288" s="164"/>
      <c r="Y288" s="164"/>
      <c r="Z288" s="164"/>
      <c r="AA288" s="164"/>
      <c r="AB288" s="164"/>
      <c r="AC288" s="164"/>
      <c r="AD288" s="164"/>
      <c r="AE288" s="164"/>
      <c r="AF288" s="164"/>
      <c r="AG288" s="164"/>
      <c r="AH288" s="164"/>
      <c r="AI288" s="164"/>
      <c r="AJ288" s="164"/>
      <c r="AK288" s="164"/>
      <c r="AL288" s="164"/>
      <c r="AM288" s="164"/>
      <c r="AN288" s="164"/>
      <c r="AO288" s="164"/>
      <c r="AP288" s="164"/>
      <c r="AQ288" s="164"/>
      <c r="AR288" s="164"/>
      <c r="AS288" s="164"/>
      <c r="AT288" s="164"/>
      <c r="AU288" s="164"/>
      <c r="AV288" s="164"/>
      <c r="AW288" s="164"/>
      <c r="AX288" s="164"/>
      <c r="AY288" s="164"/>
      <c r="AZ288" s="164"/>
      <c r="BA288" s="164"/>
      <c r="BB288" s="164"/>
      <c r="BC288" s="164"/>
      <c r="BD288" s="164"/>
      <c r="BE288" s="164"/>
      <c r="BF288" s="164"/>
      <c r="BG288" s="164"/>
      <c r="BH288" s="36"/>
      <c r="BI288" s="150" t="str" cm="1">
        <f t="array" ref="BI288">IF(A288="","",IFERROR(MATCH(1,INDEX((pjNo=A288)*(pjType="Project"),0),0),""))</f>
        <v/>
      </c>
      <c r="BJ288" s="150" t="str">
        <f>IF(D288="","",IFERROR(INDEX(tblStaff[Staff Level],MATCH(D288,tblStaff[Initials],0)),"?"))</f>
        <v/>
      </c>
      <c r="BK288" s="151" t="str" cm="1">
        <f t="array" ref="BK288">IF(BI288="","",INDEX(pjStart,BI288))</f>
        <v/>
      </c>
      <c r="BL288" s="151" t="str" cm="1">
        <f t="array" ref="BL288">IF(BI288="","",INDEX(pjEnd,BI288))</f>
        <v/>
      </c>
      <c r="BM288" s="150">
        <f>IF(BI288="",0,IF(C288="Active",1,IF(C288="Prospective",IF(Assumptions!$B$6="Active only",0,Assumptions!$B$7),0)))</f>
        <v>0</v>
      </c>
      <c r="BN288" s="150">
        <v>8</v>
      </c>
      <c r="BO288" s="36"/>
      <c r="BP288" s="36"/>
    </row>
    <row r="289" spans="1:68" collapsed="1" x14ac:dyDescent="0.25">
      <c r="A289" s="171"/>
      <c r="B289" s="173" t="str">
        <f>IF(A290="","",A290&amp;" · "&amp;B290)</f>
        <v/>
      </c>
      <c r="C289" s="171" t="str">
        <f>IF(A290="","",C290)</f>
        <v/>
      </c>
      <c r="D289" s="171"/>
      <c r="E289" s="172">
        <f>SUM(E290:E297)</f>
        <v>0</v>
      </c>
      <c r="F289" s="172">
        <f>SUM(F290:F297)</f>
        <v>0</v>
      </c>
      <c r="G289" s="172" t="str">
        <f>IF(E289=0,"",E289-F289)</f>
        <v/>
      </c>
      <c r="H289" s="174">
        <f t="shared" ref="H289:AM289" si="126">SUM(H290:H297)</f>
        <v>0</v>
      </c>
      <c r="I289" s="174">
        <f t="shared" si="126"/>
        <v>0</v>
      </c>
      <c r="J289" s="174">
        <f t="shared" si="126"/>
        <v>0</v>
      </c>
      <c r="K289" s="174">
        <f t="shared" si="126"/>
        <v>0</v>
      </c>
      <c r="L289" s="174">
        <f t="shared" si="126"/>
        <v>0</v>
      </c>
      <c r="M289" s="174">
        <f t="shared" si="126"/>
        <v>0</v>
      </c>
      <c r="N289" s="174">
        <f t="shared" si="126"/>
        <v>0</v>
      </c>
      <c r="O289" s="174">
        <f t="shared" si="126"/>
        <v>0</v>
      </c>
      <c r="P289" s="174">
        <f t="shared" si="126"/>
        <v>0</v>
      </c>
      <c r="Q289" s="174">
        <f t="shared" si="126"/>
        <v>0</v>
      </c>
      <c r="R289" s="174">
        <f t="shared" si="126"/>
        <v>0</v>
      </c>
      <c r="S289" s="174">
        <f t="shared" si="126"/>
        <v>0</v>
      </c>
      <c r="T289" s="174">
        <f t="shared" si="126"/>
        <v>0</v>
      </c>
      <c r="U289" s="174">
        <f t="shared" si="126"/>
        <v>0</v>
      </c>
      <c r="V289" s="174">
        <f t="shared" si="126"/>
        <v>0</v>
      </c>
      <c r="W289" s="174">
        <f t="shared" si="126"/>
        <v>0</v>
      </c>
      <c r="X289" s="174">
        <f t="shared" si="126"/>
        <v>0</v>
      </c>
      <c r="Y289" s="174">
        <f t="shared" si="126"/>
        <v>0</v>
      </c>
      <c r="Z289" s="174">
        <f t="shared" si="126"/>
        <v>0</v>
      </c>
      <c r="AA289" s="174">
        <f t="shared" si="126"/>
        <v>0</v>
      </c>
      <c r="AB289" s="174">
        <f t="shared" si="126"/>
        <v>0</v>
      </c>
      <c r="AC289" s="174">
        <f t="shared" si="126"/>
        <v>0</v>
      </c>
      <c r="AD289" s="174">
        <f t="shared" si="126"/>
        <v>0</v>
      </c>
      <c r="AE289" s="174">
        <f t="shared" si="126"/>
        <v>0</v>
      </c>
      <c r="AF289" s="174">
        <f t="shared" si="126"/>
        <v>0</v>
      </c>
      <c r="AG289" s="174">
        <f t="shared" si="126"/>
        <v>0</v>
      </c>
      <c r="AH289" s="174">
        <f t="shared" si="126"/>
        <v>0</v>
      </c>
      <c r="AI289" s="174">
        <f t="shared" si="126"/>
        <v>0</v>
      </c>
      <c r="AJ289" s="174">
        <f t="shared" si="126"/>
        <v>0</v>
      </c>
      <c r="AK289" s="174">
        <f t="shared" si="126"/>
        <v>0</v>
      </c>
      <c r="AL289" s="174">
        <f t="shared" si="126"/>
        <v>0</v>
      </c>
      <c r="AM289" s="174">
        <f t="shared" si="126"/>
        <v>0</v>
      </c>
      <c r="AN289" s="174">
        <f t="shared" ref="AN289:BG289" si="127">SUM(AN290:AN297)</f>
        <v>0</v>
      </c>
      <c r="AO289" s="174">
        <f t="shared" si="127"/>
        <v>0</v>
      </c>
      <c r="AP289" s="174">
        <f t="shared" si="127"/>
        <v>0</v>
      </c>
      <c r="AQ289" s="174">
        <f t="shared" si="127"/>
        <v>0</v>
      </c>
      <c r="AR289" s="174">
        <f t="shared" si="127"/>
        <v>0</v>
      </c>
      <c r="AS289" s="174">
        <f t="shared" si="127"/>
        <v>0</v>
      </c>
      <c r="AT289" s="174">
        <f t="shared" si="127"/>
        <v>0</v>
      </c>
      <c r="AU289" s="174">
        <f t="shared" si="127"/>
        <v>0</v>
      </c>
      <c r="AV289" s="174">
        <f t="shared" si="127"/>
        <v>0</v>
      </c>
      <c r="AW289" s="174">
        <f t="shared" si="127"/>
        <v>0</v>
      </c>
      <c r="AX289" s="174">
        <f t="shared" si="127"/>
        <v>0</v>
      </c>
      <c r="AY289" s="174">
        <f t="shared" si="127"/>
        <v>0</v>
      </c>
      <c r="AZ289" s="174">
        <f t="shared" si="127"/>
        <v>0</v>
      </c>
      <c r="BA289" s="174">
        <f t="shared" si="127"/>
        <v>0</v>
      </c>
      <c r="BB289" s="174">
        <f t="shared" si="127"/>
        <v>0</v>
      </c>
      <c r="BC289" s="174">
        <f t="shared" si="127"/>
        <v>0</v>
      </c>
      <c r="BD289" s="174">
        <f t="shared" si="127"/>
        <v>0</v>
      </c>
      <c r="BE289" s="174">
        <f t="shared" si="127"/>
        <v>0</v>
      </c>
      <c r="BF289" s="174">
        <f t="shared" si="127"/>
        <v>0</v>
      </c>
      <c r="BG289" s="174">
        <f t="shared" si="127"/>
        <v>0</v>
      </c>
      <c r="BH289" s="36"/>
      <c r="BI289" s="150"/>
      <c r="BJ289" s="150"/>
      <c r="BK289" s="151"/>
      <c r="BL289" s="151"/>
      <c r="BM289" s="150"/>
      <c r="BN289" s="150"/>
      <c r="BO289" s="36"/>
      <c r="BP289" s="36"/>
    </row>
    <row r="290" spans="1:68" hidden="1" outlineLevel="1" x14ac:dyDescent="0.25">
      <c r="A290" s="167" t="str">
        <f t="shared" ref="A290:A297" si="128">IF(N(INDEX($BP$20:$BP$67,3))=0,"",INDEX($BP$20:$BP$67,3))</f>
        <v/>
      </c>
      <c r="B290" s="168" t="str" cm="1">
        <f t="array" ref="B290">IF(BI290="","",INDEX(pjName,BI290))</f>
        <v/>
      </c>
      <c r="C290" s="167" t="str" cm="1">
        <f t="array" ref="C290">IF(BI290="","",IF(INDEX(pjStatus,BI290)="","",INDEX(pjStatus,BI290)))</f>
        <v/>
      </c>
      <c r="D290" s="167" t="str" cm="1">
        <f t="array" ref="D290">IFERROR(INDEX(tblStaff[Initials],BN290),"")</f>
        <v>PK</v>
      </c>
      <c r="E290" s="169" t="str" cm="1">
        <f t="array" ref="E290">IF(OR(BI290="",D290=""),"",IFERROR(SUMPRODUCT((pjNo=A290)*(pjType="Phase")*INDEX(Projects!$I$5:$O$1188,0,MATCH(D290,Projects!$I$4:$O$4,0))*pjWk),0))</f>
        <v/>
      </c>
      <c r="F290" s="169" t="str">
        <f t="shared" ref="F290:F297" si="129">IF(BI290="","",SUM(H290:BG290))</f>
        <v/>
      </c>
      <c r="G290" s="169" t="str">
        <f t="shared" ref="G290:G297" si="130">IF(OR(E290="",F290=""),"",E290-F290)</f>
        <v/>
      </c>
      <c r="H290" s="170"/>
      <c r="I290" s="170"/>
      <c r="J290" s="170"/>
      <c r="K290" s="170"/>
      <c r="L290" s="170"/>
      <c r="M290" s="170"/>
      <c r="N290" s="170"/>
      <c r="O290" s="170"/>
      <c r="P290" s="170"/>
      <c r="Q290" s="170"/>
      <c r="R290" s="170"/>
      <c r="S290" s="170"/>
      <c r="T290" s="170"/>
      <c r="U290" s="170"/>
      <c r="V290" s="170"/>
      <c r="W290" s="170"/>
      <c r="X290" s="170"/>
      <c r="Y290" s="170"/>
      <c r="Z290" s="170"/>
      <c r="AA290" s="170"/>
      <c r="AB290" s="170"/>
      <c r="AC290" s="170"/>
      <c r="AD290" s="170"/>
      <c r="AE290" s="170"/>
      <c r="AF290" s="170"/>
      <c r="AG290" s="170"/>
      <c r="AH290" s="170"/>
      <c r="AI290" s="170"/>
      <c r="AJ290" s="170"/>
      <c r="AK290" s="170"/>
      <c r="AL290" s="170"/>
      <c r="AM290" s="170"/>
      <c r="AN290" s="170"/>
      <c r="AO290" s="170"/>
      <c r="AP290" s="170"/>
      <c r="AQ290" s="170"/>
      <c r="AR290" s="170"/>
      <c r="AS290" s="170"/>
      <c r="AT290" s="170"/>
      <c r="AU290" s="170"/>
      <c r="AV290" s="170"/>
      <c r="AW290" s="170"/>
      <c r="AX290" s="170"/>
      <c r="AY290" s="170"/>
      <c r="AZ290" s="170"/>
      <c r="BA290" s="170"/>
      <c r="BB290" s="170"/>
      <c r="BC290" s="170"/>
      <c r="BD290" s="170"/>
      <c r="BE290" s="170"/>
      <c r="BF290" s="170"/>
      <c r="BG290" s="170"/>
      <c r="BH290" s="36"/>
      <c r="BI290" s="150" t="str" cm="1">
        <f t="array" ref="BI290">IF(A290="","",IFERROR(MATCH(1,INDEX((pjNo=A290)*(pjType="Project"),0),0),""))</f>
        <v/>
      </c>
      <c r="BJ290" s="150" t="str">
        <f>IF(D290="","",IFERROR(INDEX(tblStaff[Staff Level],MATCH(D290,tblStaff[Initials],0)),"?"))</f>
        <v>Principal</v>
      </c>
      <c r="BK290" s="151" t="str" cm="1">
        <f t="array" ref="BK290">IF(BI290="","",INDEX(pjStart,BI290))</f>
        <v/>
      </c>
      <c r="BL290" s="151" t="str" cm="1">
        <f t="array" ref="BL290">IF(BI290="","",INDEX(pjEnd,BI290))</f>
        <v/>
      </c>
      <c r="BM290" s="150">
        <f>IF(BI290="",0,IF(C290="Active",1,IF(C290="Prospective",IF(Assumptions!$B$6="Active only",0,Assumptions!$B$7),0)))</f>
        <v>0</v>
      </c>
      <c r="BN290" s="150">
        <v>1</v>
      </c>
      <c r="BO290" s="36"/>
      <c r="BP290" s="36"/>
    </row>
    <row r="291" spans="1:68" hidden="1" outlineLevel="1" x14ac:dyDescent="0.25">
      <c r="A291" s="167" t="str">
        <f t="shared" si="128"/>
        <v/>
      </c>
      <c r="B291" s="168" t="str" cm="1">
        <f t="array" ref="B291">IF(BI291="","",INDEX(pjName,BI291))</f>
        <v/>
      </c>
      <c r="C291" s="167" t="str" cm="1">
        <f t="array" ref="C291">IF(BI291="","",IF(INDEX(pjStatus,BI291)="","",INDEX(pjStatus,BI291)))</f>
        <v/>
      </c>
      <c r="D291" s="167" t="str" cm="1">
        <f t="array" ref="D291">IFERROR(INDEX(tblStaff[Initials],BN291),"")</f>
        <v>DF</v>
      </c>
      <c r="E291" s="169" t="str" cm="1">
        <f t="array" ref="E291">IF(OR(BI291="",D291=""),"",IFERROR(SUMPRODUCT((pjNo=A291)*(pjType="Phase")*INDEX(Projects!$I$5:$O$1188,0,MATCH(D291,Projects!$I$4:$O$4,0))*pjWk),0))</f>
        <v/>
      </c>
      <c r="F291" s="169" t="str">
        <f t="shared" si="129"/>
        <v/>
      </c>
      <c r="G291" s="169" t="str">
        <f t="shared" si="130"/>
        <v/>
      </c>
      <c r="H291" s="170"/>
      <c r="I291" s="170"/>
      <c r="J291" s="170"/>
      <c r="K291" s="170"/>
      <c r="L291" s="170"/>
      <c r="M291" s="170"/>
      <c r="N291" s="170"/>
      <c r="O291" s="170"/>
      <c r="P291" s="170"/>
      <c r="Q291" s="170"/>
      <c r="R291" s="170"/>
      <c r="S291" s="170"/>
      <c r="T291" s="170"/>
      <c r="U291" s="170"/>
      <c r="V291" s="170"/>
      <c r="W291" s="170"/>
      <c r="X291" s="170"/>
      <c r="Y291" s="170"/>
      <c r="Z291" s="170"/>
      <c r="AA291" s="170"/>
      <c r="AB291" s="170"/>
      <c r="AC291" s="170"/>
      <c r="AD291" s="170"/>
      <c r="AE291" s="170"/>
      <c r="AF291" s="170"/>
      <c r="AG291" s="170"/>
      <c r="AH291" s="170"/>
      <c r="AI291" s="170"/>
      <c r="AJ291" s="170"/>
      <c r="AK291" s="170"/>
      <c r="AL291" s="170"/>
      <c r="AM291" s="170"/>
      <c r="AN291" s="170"/>
      <c r="AO291" s="170"/>
      <c r="AP291" s="170"/>
      <c r="AQ291" s="170"/>
      <c r="AR291" s="170"/>
      <c r="AS291" s="170"/>
      <c r="AT291" s="170"/>
      <c r="AU291" s="170"/>
      <c r="AV291" s="170"/>
      <c r="AW291" s="170"/>
      <c r="AX291" s="170"/>
      <c r="AY291" s="170"/>
      <c r="AZ291" s="170"/>
      <c r="BA291" s="170"/>
      <c r="BB291" s="170"/>
      <c r="BC291" s="170"/>
      <c r="BD291" s="170"/>
      <c r="BE291" s="170"/>
      <c r="BF291" s="170"/>
      <c r="BG291" s="170"/>
      <c r="BH291" s="36"/>
      <c r="BI291" s="150" t="str" cm="1">
        <f t="array" ref="BI291">IF(A291="","",IFERROR(MATCH(1,INDEX((pjNo=A291)*(pjType="Project"),0),0),""))</f>
        <v/>
      </c>
      <c r="BJ291" s="150" t="str">
        <f>IF(D291="","",IFERROR(INDEX(tblStaff[Staff Level],MATCH(D291,tblStaff[Initials],0)),"?"))</f>
        <v>Principal</v>
      </c>
      <c r="BK291" s="151" t="str" cm="1">
        <f t="array" ref="BK291">IF(BI291="","",INDEX(pjStart,BI291))</f>
        <v/>
      </c>
      <c r="BL291" s="151" t="str" cm="1">
        <f t="array" ref="BL291">IF(BI291="","",INDEX(pjEnd,BI291))</f>
        <v/>
      </c>
      <c r="BM291" s="150">
        <f>IF(BI291="",0,IF(C291="Active",1,IF(C291="Prospective",IF(Assumptions!$B$6="Active only",0,Assumptions!$B$7),0)))</f>
        <v>0</v>
      </c>
      <c r="BN291" s="150">
        <v>2</v>
      </c>
      <c r="BO291" s="36"/>
      <c r="BP291" s="36"/>
    </row>
    <row r="292" spans="1:68" hidden="1" outlineLevel="1" x14ac:dyDescent="0.25">
      <c r="A292" s="158" t="str">
        <f t="shared" si="128"/>
        <v/>
      </c>
      <c r="B292" s="157" t="str" cm="1">
        <f t="array" ref="B292">IF(BI292="","",INDEX(pjName,BI292))</f>
        <v/>
      </c>
      <c r="C292" s="158" t="str" cm="1">
        <f t="array" ref="C292">IF(BI292="","",IF(INDEX(pjStatus,BI292)="","",INDEX(pjStatus,BI292)))</f>
        <v/>
      </c>
      <c r="D292" s="158" t="str" cm="1">
        <f t="array" ref="D292">IFERROR(INDEX(tblStaff[Initials],BN292),"")</f>
        <v>KJ</v>
      </c>
      <c r="E292" s="159" t="str" cm="1">
        <f t="array" ref="E292">IF(OR(BI292="",D292=""),"",IFERROR(SUMPRODUCT((pjNo=A292)*(pjType="Phase")*INDEX(Projects!$I$5:$O$1188,0,MATCH(D292,Projects!$I$4:$O$4,0))*pjWk),0))</f>
        <v/>
      </c>
      <c r="F292" s="159" t="str">
        <f t="shared" si="129"/>
        <v/>
      </c>
      <c r="G292" s="159" t="str">
        <f t="shared" si="130"/>
        <v/>
      </c>
      <c r="H292" s="160"/>
      <c r="I292" s="160"/>
      <c r="J292" s="160"/>
      <c r="K292" s="160"/>
      <c r="L292" s="160"/>
      <c r="M292" s="160"/>
      <c r="N292" s="160"/>
      <c r="O292" s="160"/>
      <c r="P292" s="160"/>
      <c r="Q292" s="160"/>
      <c r="R292" s="160"/>
      <c r="S292" s="160"/>
      <c r="T292" s="160"/>
      <c r="U292" s="160"/>
      <c r="V292" s="160"/>
      <c r="W292" s="160"/>
      <c r="X292" s="160"/>
      <c r="Y292" s="160"/>
      <c r="Z292" s="160"/>
      <c r="AA292" s="160"/>
      <c r="AB292" s="160"/>
      <c r="AC292" s="160"/>
      <c r="AD292" s="160"/>
      <c r="AE292" s="160"/>
      <c r="AF292" s="160"/>
      <c r="AG292" s="160"/>
      <c r="AH292" s="160"/>
      <c r="AI292" s="160"/>
      <c r="AJ292" s="160"/>
      <c r="AK292" s="160"/>
      <c r="AL292" s="160"/>
      <c r="AM292" s="160"/>
      <c r="AN292" s="160"/>
      <c r="AO292" s="160"/>
      <c r="AP292" s="160"/>
      <c r="AQ292" s="160"/>
      <c r="AR292" s="160"/>
      <c r="AS292" s="160"/>
      <c r="AT292" s="160"/>
      <c r="AU292" s="160"/>
      <c r="AV292" s="160"/>
      <c r="AW292" s="160"/>
      <c r="AX292" s="160"/>
      <c r="AY292" s="160"/>
      <c r="AZ292" s="160"/>
      <c r="BA292" s="160"/>
      <c r="BB292" s="160"/>
      <c r="BC292" s="160"/>
      <c r="BD292" s="160"/>
      <c r="BE292" s="160"/>
      <c r="BF292" s="160"/>
      <c r="BG292" s="160"/>
      <c r="BH292" s="36"/>
      <c r="BI292" s="150" t="str" cm="1">
        <f t="array" ref="BI292">IF(A292="","",IFERROR(MATCH(1,INDEX((pjNo=A292)*(pjType="Project"),0),0),""))</f>
        <v/>
      </c>
      <c r="BJ292" s="150" t="str">
        <f>IF(D292="","",IFERROR(INDEX(tblStaff[Staff Level],MATCH(D292,tblStaff[Initials],0)),"?"))</f>
        <v>Director</v>
      </c>
      <c r="BK292" s="151" t="str" cm="1">
        <f t="array" ref="BK292">IF(BI292="","",INDEX(pjStart,BI292))</f>
        <v/>
      </c>
      <c r="BL292" s="151" t="str" cm="1">
        <f t="array" ref="BL292">IF(BI292="","",INDEX(pjEnd,BI292))</f>
        <v/>
      </c>
      <c r="BM292" s="150">
        <f>IF(BI292="",0,IF(C292="Active",1,IF(C292="Prospective",IF(Assumptions!$B$6="Active only",0,Assumptions!$B$7),0)))</f>
        <v>0</v>
      </c>
      <c r="BN292" s="150">
        <v>3</v>
      </c>
      <c r="BO292" s="36"/>
      <c r="BP292" s="36"/>
    </row>
    <row r="293" spans="1:68" hidden="1" outlineLevel="1" x14ac:dyDescent="0.25">
      <c r="A293" s="158" t="str">
        <f t="shared" si="128"/>
        <v/>
      </c>
      <c r="B293" s="157" t="str" cm="1">
        <f t="array" ref="B293">IF(BI293="","",INDEX(pjName,BI293))</f>
        <v/>
      </c>
      <c r="C293" s="158" t="str" cm="1">
        <f t="array" ref="C293">IF(BI293="","",IF(INDEX(pjStatus,BI293)="","",INDEX(pjStatus,BI293)))</f>
        <v/>
      </c>
      <c r="D293" s="158" t="str" cm="1">
        <f t="array" ref="D293">IFERROR(INDEX(tblStaff[Initials],BN293),"")</f>
        <v>HL</v>
      </c>
      <c r="E293" s="159" t="str" cm="1">
        <f t="array" ref="E293">IF(OR(BI293="",D293=""),"",IFERROR(SUMPRODUCT((pjNo=A293)*(pjType="Phase")*INDEX(Projects!$I$5:$O$1188,0,MATCH(D293,Projects!$I$4:$O$4,0))*pjWk),0))</f>
        <v/>
      </c>
      <c r="F293" s="159" t="str">
        <f t="shared" si="129"/>
        <v/>
      </c>
      <c r="G293" s="159" t="str">
        <f t="shared" si="130"/>
        <v/>
      </c>
      <c r="H293" s="160"/>
      <c r="I293" s="160"/>
      <c r="J293" s="160"/>
      <c r="K293" s="160"/>
      <c r="L293" s="160"/>
      <c r="M293" s="160"/>
      <c r="N293" s="160"/>
      <c r="O293" s="160"/>
      <c r="P293" s="160"/>
      <c r="Q293" s="160"/>
      <c r="R293" s="160"/>
      <c r="S293" s="160"/>
      <c r="T293" s="160"/>
      <c r="U293" s="160"/>
      <c r="V293" s="160"/>
      <c r="W293" s="160"/>
      <c r="X293" s="160"/>
      <c r="Y293" s="160"/>
      <c r="Z293" s="160"/>
      <c r="AA293" s="160"/>
      <c r="AB293" s="160"/>
      <c r="AC293" s="160"/>
      <c r="AD293" s="160"/>
      <c r="AE293" s="160"/>
      <c r="AF293" s="160"/>
      <c r="AG293" s="160"/>
      <c r="AH293" s="160"/>
      <c r="AI293" s="160"/>
      <c r="AJ293" s="160"/>
      <c r="AK293" s="160"/>
      <c r="AL293" s="160"/>
      <c r="AM293" s="160"/>
      <c r="AN293" s="160"/>
      <c r="AO293" s="160"/>
      <c r="AP293" s="160"/>
      <c r="AQ293" s="160"/>
      <c r="AR293" s="160"/>
      <c r="AS293" s="160"/>
      <c r="AT293" s="160"/>
      <c r="AU293" s="160"/>
      <c r="AV293" s="160"/>
      <c r="AW293" s="160"/>
      <c r="AX293" s="160"/>
      <c r="AY293" s="160"/>
      <c r="AZ293" s="160"/>
      <c r="BA293" s="160"/>
      <c r="BB293" s="160"/>
      <c r="BC293" s="160"/>
      <c r="BD293" s="160"/>
      <c r="BE293" s="160"/>
      <c r="BF293" s="160"/>
      <c r="BG293" s="160"/>
      <c r="BH293" s="36"/>
      <c r="BI293" s="150" t="str" cm="1">
        <f t="array" ref="BI293">IF(A293="","",IFERROR(MATCH(1,INDEX((pjNo=A293)*(pjType="Project"),0),0),""))</f>
        <v/>
      </c>
      <c r="BJ293" s="150" t="str">
        <f>IF(D293="","",IFERROR(INDEX(tblStaff[Staff Level],MATCH(D293,tblStaff[Initials],0)),"?"))</f>
        <v>Senior Designer</v>
      </c>
      <c r="BK293" s="151" t="str" cm="1">
        <f t="array" ref="BK293">IF(BI293="","",INDEX(pjStart,BI293))</f>
        <v/>
      </c>
      <c r="BL293" s="151" t="str" cm="1">
        <f t="array" ref="BL293">IF(BI293="","",INDEX(pjEnd,BI293))</f>
        <v/>
      </c>
      <c r="BM293" s="150">
        <f>IF(BI293="",0,IF(C293="Active",1,IF(C293="Prospective",IF(Assumptions!$B$6="Active only",0,Assumptions!$B$7),0)))</f>
        <v>0</v>
      </c>
      <c r="BN293" s="150">
        <v>4</v>
      </c>
      <c r="BO293" s="36"/>
      <c r="BP293" s="36"/>
    </row>
    <row r="294" spans="1:68" hidden="1" outlineLevel="1" x14ac:dyDescent="0.25">
      <c r="A294" s="158" t="str">
        <f t="shared" si="128"/>
        <v/>
      </c>
      <c r="B294" s="157" t="str" cm="1">
        <f t="array" ref="B294">IF(BI294="","",INDEX(pjName,BI294))</f>
        <v/>
      </c>
      <c r="C294" s="158" t="str" cm="1">
        <f t="array" ref="C294">IF(BI294="","",IF(INDEX(pjStatus,BI294)="","",INDEX(pjStatus,BI294)))</f>
        <v/>
      </c>
      <c r="D294" s="158" t="str" cm="1">
        <f t="array" ref="D294">IFERROR(INDEX(tblStaff[Initials],BN294),"")</f>
        <v>EHH</v>
      </c>
      <c r="E294" s="159" t="str" cm="1">
        <f t="array" ref="E294">IF(OR(BI294="",D294=""),"",IFERROR(SUMPRODUCT((pjNo=A294)*(pjType="Phase")*INDEX(Projects!$I$5:$O$1188,0,MATCH(D294,Projects!$I$4:$O$4,0))*pjWk),0))</f>
        <v/>
      </c>
      <c r="F294" s="159" t="str">
        <f t="shared" si="129"/>
        <v/>
      </c>
      <c r="G294" s="159" t="str">
        <f t="shared" si="130"/>
        <v/>
      </c>
      <c r="H294" s="160"/>
      <c r="I294" s="160"/>
      <c r="J294" s="160"/>
      <c r="K294" s="160"/>
      <c r="L294" s="160"/>
      <c r="M294" s="160"/>
      <c r="N294" s="160"/>
      <c r="O294" s="160"/>
      <c r="P294" s="160"/>
      <c r="Q294" s="160"/>
      <c r="R294" s="160"/>
      <c r="S294" s="160"/>
      <c r="T294" s="160"/>
      <c r="U294" s="160"/>
      <c r="V294" s="160"/>
      <c r="W294" s="160"/>
      <c r="X294" s="160"/>
      <c r="Y294" s="160"/>
      <c r="Z294" s="160"/>
      <c r="AA294" s="160"/>
      <c r="AB294" s="160"/>
      <c r="AC294" s="160"/>
      <c r="AD294" s="160"/>
      <c r="AE294" s="160"/>
      <c r="AF294" s="160"/>
      <c r="AG294" s="160"/>
      <c r="AH294" s="160"/>
      <c r="AI294" s="160"/>
      <c r="AJ294" s="160"/>
      <c r="AK294" s="160"/>
      <c r="AL294" s="160"/>
      <c r="AM294" s="160"/>
      <c r="AN294" s="160"/>
      <c r="AO294" s="160"/>
      <c r="AP294" s="160"/>
      <c r="AQ294" s="160"/>
      <c r="AR294" s="160"/>
      <c r="AS294" s="160"/>
      <c r="AT294" s="160"/>
      <c r="AU294" s="160"/>
      <c r="AV294" s="160"/>
      <c r="AW294" s="160"/>
      <c r="AX294" s="160"/>
      <c r="AY294" s="160"/>
      <c r="AZ294" s="160"/>
      <c r="BA294" s="160"/>
      <c r="BB294" s="160"/>
      <c r="BC294" s="160"/>
      <c r="BD294" s="160"/>
      <c r="BE294" s="160"/>
      <c r="BF294" s="160"/>
      <c r="BG294" s="160"/>
      <c r="BH294" s="36"/>
      <c r="BI294" s="150" t="str" cm="1">
        <f t="array" ref="BI294">IF(A294="","",IFERROR(MATCH(1,INDEX((pjNo=A294)*(pjType="Project"),0),0),""))</f>
        <v/>
      </c>
      <c r="BJ294" s="150" t="str">
        <f>IF(D294="","",IFERROR(INDEX(tblStaff[Staff Level],MATCH(D294,tblStaff[Initials],0)),"?"))</f>
        <v>Mid Level Designer</v>
      </c>
      <c r="BK294" s="151" t="str" cm="1">
        <f t="array" ref="BK294">IF(BI294="","",INDEX(pjStart,BI294))</f>
        <v/>
      </c>
      <c r="BL294" s="151" t="str" cm="1">
        <f t="array" ref="BL294">IF(BI294="","",INDEX(pjEnd,BI294))</f>
        <v/>
      </c>
      <c r="BM294" s="150">
        <f>IF(BI294="",0,IF(C294="Active",1,IF(C294="Prospective",IF(Assumptions!$B$6="Active only",0,Assumptions!$B$7),0)))</f>
        <v>0</v>
      </c>
      <c r="BN294" s="150">
        <v>5</v>
      </c>
      <c r="BO294" s="36"/>
      <c r="BP294" s="36"/>
    </row>
    <row r="295" spans="1:68" hidden="1" outlineLevel="1" x14ac:dyDescent="0.25">
      <c r="A295" s="158" t="str">
        <f t="shared" si="128"/>
        <v/>
      </c>
      <c r="B295" s="157" t="str" cm="1">
        <f t="array" ref="B295">IF(BI295="","",INDEX(pjName,BI295))</f>
        <v/>
      </c>
      <c r="C295" s="158" t="str" cm="1">
        <f t="array" ref="C295">IF(BI295="","",IF(INDEX(pjStatus,BI295)="","",INDEX(pjStatus,BI295)))</f>
        <v/>
      </c>
      <c r="D295" s="158" t="str" cm="1">
        <f t="array" ref="D295">IFERROR(INDEX(tblStaff[Initials],BN295),"")</f>
        <v>KD</v>
      </c>
      <c r="E295" s="159" t="str" cm="1">
        <f t="array" ref="E295">IF(OR(BI295="",D295=""),"",IFERROR(SUMPRODUCT((pjNo=A295)*(pjType="Phase")*INDEX(Projects!$I$5:$O$1188,0,MATCH(D295,Projects!$I$4:$O$4,0))*pjWk),0))</f>
        <v/>
      </c>
      <c r="F295" s="159" t="str">
        <f t="shared" si="129"/>
        <v/>
      </c>
      <c r="G295" s="159" t="str">
        <f t="shared" si="130"/>
        <v/>
      </c>
      <c r="H295" s="160"/>
      <c r="I295" s="160"/>
      <c r="J295" s="160"/>
      <c r="K295" s="160"/>
      <c r="L295" s="160"/>
      <c r="M295" s="160"/>
      <c r="N295" s="160"/>
      <c r="O295" s="160"/>
      <c r="P295" s="160"/>
      <c r="Q295" s="160"/>
      <c r="R295" s="160"/>
      <c r="S295" s="160"/>
      <c r="T295" s="160"/>
      <c r="U295" s="160"/>
      <c r="V295" s="160"/>
      <c r="W295" s="160"/>
      <c r="X295" s="160"/>
      <c r="Y295" s="160"/>
      <c r="Z295" s="160"/>
      <c r="AA295" s="160"/>
      <c r="AB295" s="160"/>
      <c r="AC295" s="160"/>
      <c r="AD295" s="160"/>
      <c r="AE295" s="160"/>
      <c r="AF295" s="160"/>
      <c r="AG295" s="160"/>
      <c r="AH295" s="160"/>
      <c r="AI295" s="160"/>
      <c r="AJ295" s="160"/>
      <c r="AK295" s="160"/>
      <c r="AL295" s="160"/>
      <c r="AM295" s="160"/>
      <c r="AN295" s="160"/>
      <c r="AO295" s="160"/>
      <c r="AP295" s="160"/>
      <c r="AQ295" s="160"/>
      <c r="AR295" s="160"/>
      <c r="AS295" s="160"/>
      <c r="AT295" s="160"/>
      <c r="AU295" s="160"/>
      <c r="AV295" s="160"/>
      <c r="AW295" s="160"/>
      <c r="AX295" s="160"/>
      <c r="AY295" s="160"/>
      <c r="AZ295" s="160"/>
      <c r="BA295" s="160"/>
      <c r="BB295" s="160"/>
      <c r="BC295" s="160"/>
      <c r="BD295" s="160"/>
      <c r="BE295" s="160"/>
      <c r="BF295" s="160"/>
      <c r="BG295" s="160"/>
      <c r="BH295" s="36"/>
      <c r="BI295" s="150" t="str" cm="1">
        <f t="array" ref="BI295">IF(A295="","",IFERROR(MATCH(1,INDEX((pjNo=A295)*(pjType="Project"),0),0),""))</f>
        <v/>
      </c>
      <c r="BJ295" s="150" t="str">
        <f>IF(D295="","",IFERROR(INDEX(tblStaff[Staff Level],MATCH(D295,tblStaff[Initials],0)),"?"))</f>
        <v>Mid Level Designer</v>
      </c>
      <c r="BK295" s="151" t="str" cm="1">
        <f t="array" ref="BK295">IF(BI295="","",INDEX(pjStart,BI295))</f>
        <v/>
      </c>
      <c r="BL295" s="151" t="str" cm="1">
        <f t="array" ref="BL295">IF(BI295="","",INDEX(pjEnd,BI295))</f>
        <v/>
      </c>
      <c r="BM295" s="150">
        <f>IF(BI295="",0,IF(C295="Active",1,IF(C295="Prospective",IF(Assumptions!$B$6="Active only",0,Assumptions!$B$7),0)))</f>
        <v>0</v>
      </c>
      <c r="BN295" s="150">
        <v>6</v>
      </c>
      <c r="BO295" s="36"/>
      <c r="BP295" s="36"/>
    </row>
    <row r="296" spans="1:68" hidden="1" outlineLevel="1" x14ac:dyDescent="0.25">
      <c r="A296" s="158" t="str">
        <f t="shared" si="128"/>
        <v/>
      </c>
      <c r="B296" s="157" t="str" cm="1">
        <f t="array" ref="B296">IF(BI296="","",INDEX(pjName,BI296))</f>
        <v/>
      </c>
      <c r="C296" s="158" t="str" cm="1">
        <f t="array" ref="C296">IF(BI296="","",IF(INDEX(pjStatus,BI296)="","",INDEX(pjStatus,BI296)))</f>
        <v/>
      </c>
      <c r="D296" s="158" t="str" cm="1">
        <f t="array" ref="D296">IFERROR(INDEX(tblStaff[Initials],BN296),"")</f>
        <v>XX</v>
      </c>
      <c r="E296" s="159" t="str" cm="1">
        <f t="array" ref="E296">IF(OR(BI296="",D296=""),"",IFERROR(SUMPRODUCT((pjNo=A296)*(pjType="Phase")*INDEX(Projects!$I$5:$O$1188,0,MATCH(D296,Projects!$I$4:$O$4,0))*pjWk),0))</f>
        <v/>
      </c>
      <c r="F296" s="159" t="str">
        <f t="shared" si="129"/>
        <v/>
      </c>
      <c r="G296" s="159" t="str">
        <f t="shared" si="130"/>
        <v/>
      </c>
      <c r="H296" s="160"/>
      <c r="I296" s="160"/>
      <c r="J296" s="160"/>
      <c r="K296" s="160"/>
      <c r="L296" s="160"/>
      <c r="M296" s="160"/>
      <c r="N296" s="160"/>
      <c r="O296" s="160"/>
      <c r="P296" s="160"/>
      <c r="Q296" s="160"/>
      <c r="R296" s="160"/>
      <c r="S296" s="160"/>
      <c r="T296" s="160"/>
      <c r="U296" s="160"/>
      <c r="V296" s="160"/>
      <c r="W296" s="160"/>
      <c r="X296" s="160"/>
      <c r="Y296" s="160"/>
      <c r="Z296" s="160"/>
      <c r="AA296" s="160"/>
      <c r="AB296" s="160"/>
      <c r="AC296" s="160"/>
      <c r="AD296" s="160"/>
      <c r="AE296" s="160"/>
      <c r="AF296" s="160"/>
      <c r="AG296" s="160"/>
      <c r="AH296" s="160"/>
      <c r="AI296" s="160"/>
      <c r="AJ296" s="160"/>
      <c r="AK296" s="160"/>
      <c r="AL296" s="160"/>
      <c r="AM296" s="160"/>
      <c r="AN296" s="160"/>
      <c r="AO296" s="160"/>
      <c r="AP296" s="160"/>
      <c r="AQ296" s="160"/>
      <c r="AR296" s="160"/>
      <c r="AS296" s="160"/>
      <c r="AT296" s="160"/>
      <c r="AU296" s="160"/>
      <c r="AV296" s="160"/>
      <c r="AW296" s="160"/>
      <c r="AX296" s="160"/>
      <c r="AY296" s="160"/>
      <c r="AZ296" s="160"/>
      <c r="BA296" s="160"/>
      <c r="BB296" s="160"/>
      <c r="BC296" s="160"/>
      <c r="BD296" s="160"/>
      <c r="BE296" s="160"/>
      <c r="BF296" s="160"/>
      <c r="BG296" s="160"/>
      <c r="BH296" s="36"/>
      <c r="BI296" s="150" t="str" cm="1">
        <f t="array" ref="BI296">IF(A296="","",IFERROR(MATCH(1,INDEX((pjNo=A296)*(pjType="Project"),0),0),""))</f>
        <v/>
      </c>
      <c r="BJ296" s="150" t="str">
        <f>IF(D296="","",IFERROR(INDEX(tblStaff[Staff Level],MATCH(D296,tblStaff[Initials],0)),"?"))</f>
        <v>Project Designer</v>
      </c>
      <c r="BK296" s="151" t="str" cm="1">
        <f t="array" ref="BK296">IF(BI296="","",INDEX(pjStart,BI296))</f>
        <v/>
      </c>
      <c r="BL296" s="151" t="str" cm="1">
        <f t="array" ref="BL296">IF(BI296="","",INDEX(pjEnd,BI296))</f>
        <v/>
      </c>
      <c r="BM296" s="150">
        <f>IF(BI296="",0,IF(C296="Active",1,IF(C296="Prospective",IF(Assumptions!$B$6="Active only",0,Assumptions!$B$7),0)))</f>
        <v>0</v>
      </c>
      <c r="BN296" s="150">
        <v>7</v>
      </c>
      <c r="BO296" s="36"/>
      <c r="BP296" s="36"/>
    </row>
    <row r="297" spans="1:68" hidden="1" outlineLevel="1" x14ac:dyDescent="0.25">
      <c r="A297" s="162" t="str">
        <f t="shared" si="128"/>
        <v/>
      </c>
      <c r="B297" s="161" t="str" cm="1">
        <f t="array" ref="B297">IF(BI297="","",INDEX(pjName,BI297))</f>
        <v/>
      </c>
      <c r="C297" s="162" t="str" cm="1">
        <f t="array" ref="C297">IF(BI297="","",IF(INDEX(pjStatus,BI297)="","",INDEX(pjStatus,BI297)))</f>
        <v/>
      </c>
      <c r="D297" s="162" t="str" cm="1">
        <f t="array" ref="D297">IFERROR(INDEX(tblStaff[Initials],BN297),"")</f>
        <v/>
      </c>
      <c r="E297" s="163" t="str" cm="1">
        <f t="array" ref="E297">IF(OR(BI297="",D297=""),"",IFERROR(SUMPRODUCT((pjNo=A297)*(pjType="Phase")*INDEX(Projects!$I$5:$O$1188,0,MATCH(D297,Projects!$I$4:$O$4,0))*pjWk),0))</f>
        <v/>
      </c>
      <c r="F297" s="163" t="str">
        <f t="shared" si="129"/>
        <v/>
      </c>
      <c r="G297" s="163" t="str">
        <f t="shared" si="130"/>
        <v/>
      </c>
      <c r="H297" s="164"/>
      <c r="I297" s="164"/>
      <c r="J297" s="164"/>
      <c r="K297" s="164"/>
      <c r="L297" s="164"/>
      <c r="M297" s="164"/>
      <c r="N297" s="164"/>
      <c r="O297" s="164"/>
      <c r="P297" s="164"/>
      <c r="Q297" s="164"/>
      <c r="R297" s="164"/>
      <c r="S297" s="164"/>
      <c r="T297" s="164"/>
      <c r="U297" s="164"/>
      <c r="V297" s="164"/>
      <c r="W297" s="164"/>
      <c r="X297" s="164"/>
      <c r="Y297" s="164"/>
      <c r="Z297" s="164"/>
      <c r="AA297" s="164"/>
      <c r="AB297" s="164"/>
      <c r="AC297" s="164"/>
      <c r="AD297" s="164"/>
      <c r="AE297" s="164"/>
      <c r="AF297" s="164"/>
      <c r="AG297" s="164"/>
      <c r="AH297" s="164"/>
      <c r="AI297" s="164"/>
      <c r="AJ297" s="164"/>
      <c r="AK297" s="164"/>
      <c r="AL297" s="164"/>
      <c r="AM297" s="164"/>
      <c r="AN297" s="164"/>
      <c r="AO297" s="164"/>
      <c r="AP297" s="164"/>
      <c r="AQ297" s="164"/>
      <c r="AR297" s="164"/>
      <c r="AS297" s="164"/>
      <c r="AT297" s="164"/>
      <c r="AU297" s="164"/>
      <c r="AV297" s="164"/>
      <c r="AW297" s="164"/>
      <c r="AX297" s="164"/>
      <c r="AY297" s="164"/>
      <c r="AZ297" s="164"/>
      <c r="BA297" s="164"/>
      <c r="BB297" s="164"/>
      <c r="BC297" s="164"/>
      <c r="BD297" s="164"/>
      <c r="BE297" s="164"/>
      <c r="BF297" s="164"/>
      <c r="BG297" s="164"/>
      <c r="BH297" s="36"/>
      <c r="BI297" s="150" t="str" cm="1">
        <f t="array" ref="BI297">IF(A297="","",IFERROR(MATCH(1,INDEX((pjNo=A297)*(pjType="Project"),0),0),""))</f>
        <v/>
      </c>
      <c r="BJ297" s="150" t="str">
        <f>IF(D297="","",IFERROR(INDEX(tblStaff[Staff Level],MATCH(D297,tblStaff[Initials],0)),"?"))</f>
        <v/>
      </c>
      <c r="BK297" s="151" t="str" cm="1">
        <f t="array" ref="BK297">IF(BI297="","",INDEX(pjStart,BI297))</f>
        <v/>
      </c>
      <c r="BL297" s="151" t="str" cm="1">
        <f t="array" ref="BL297">IF(BI297="","",INDEX(pjEnd,BI297))</f>
        <v/>
      </c>
      <c r="BM297" s="150">
        <f>IF(BI297="",0,IF(C297="Active",1,IF(C297="Prospective",IF(Assumptions!$B$6="Active only",0,Assumptions!$B$7),0)))</f>
        <v>0</v>
      </c>
      <c r="BN297" s="150">
        <v>8</v>
      </c>
      <c r="BO297" s="36"/>
      <c r="BP297" s="36"/>
    </row>
    <row r="298" spans="1:68" collapsed="1" x14ac:dyDescent="0.25">
      <c r="A298" s="171"/>
      <c r="B298" s="173" t="str">
        <f>IF(A299="","",A299&amp;" · "&amp;B299)</f>
        <v/>
      </c>
      <c r="C298" s="171" t="str">
        <f>IF(A299="","",C299)</f>
        <v/>
      </c>
      <c r="D298" s="171"/>
      <c r="E298" s="172">
        <f>SUM(E299:E306)</f>
        <v>0</v>
      </c>
      <c r="F298" s="172">
        <f>SUM(F299:F306)</f>
        <v>0</v>
      </c>
      <c r="G298" s="172" t="str">
        <f>IF(E298=0,"",E298-F298)</f>
        <v/>
      </c>
      <c r="H298" s="174">
        <f t="shared" ref="H298:AM298" si="131">SUM(H299:H306)</f>
        <v>0</v>
      </c>
      <c r="I298" s="174">
        <f t="shared" si="131"/>
        <v>0</v>
      </c>
      <c r="J298" s="174">
        <f t="shared" si="131"/>
        <v>0</v>
      </c>
      <c r="K298" s="174">
        <f t="shared" si="131"/>
        <v>0</v>
      </c>
      <c r="L298" s="174">
        <f t="shared" si="131"/>
        <v>0</v>
      </c>
      <c r="M298" s="174">
        <f t="shared" si="131"/>
        <v>0</v>
      </c>
      <c r="N298" s="174">
        <f t="shared" si="131"/>
        <v>0</v>
      </c>
      <c r="O298" s="174">
        <f t="shared" si="131"/>
        <v>0</v>
      </c>
      <c r="P298" s="174">
        <f t="shared" si="131"/>
        <v>0</v>
      </c>
      <c r="Q298" s="174">
        <f t="shared" si="131"/>
        <v>0</v>
      </c>
      <c r="R298" s="174">
        <f t="shared" si="131"/>
        <v>0</v>
      </c>
      <c r="S298" s="174">
        <f t="shared" si="131"/>
        <v>0</v>
      </c>
      <c r="T298" s="174">
        <f t="shared" si="131"/>
        <v>0</v>
      </c>
      <c r="U298" s="174">
        <f t="shared" si="131"/>
        <v>0</v>
      </c>
      <c r="V298" s="174">
        <f t="shared" si="131"/>
        <v>0</v>
      </c>
      <c r="W298" s="174">
        <f t="shared" si="131"/>
        <v>0</v>
      </c>
      <c r="X298" s="174">
        <f t="shared" si="131"/>
        <v>0</v>
      </c>
      <c r="Y298" s="174">
        <f t="shared" si="131"/>
        <v>0</v>
      </c>
      <c r="Z298" s="174">
        <f t="shared" si="131"/>
        <v>0</v>
      </c>
      <c r="AA298" s="174">
        <f t="shared" si="131"/>
        <v>0</v>
      </c>
      <c r="AB298" s="174">
        <f t="shared" si="131"/>
        <v>0</v>
      </c>
      <c r="AC298" s="174">
        <f t="shared" si="131"/>
        <v>0</v>
      </c>
      <c r="AD298" s="174">
        <f t="shared" si="131"/>
        <v>0</v>
      </c>
      <c r="AE298" s="174">
        <f t="shared" si="131"/>
        <v>0</v>
      </c>
      <c r="AF298" s="174">
        <f t="shared" si="131"/>
        <v>0</v>
      </c>
      <c r="AG298" s="174">
        <f t="shared" si="131"/>
        <v>0</v>
      </c>
      <c r="AH298" s="174">
        <f t="shared" si="131"/>
        <v>0</v>
      </c>
      <c r="AI298" s="174">
        <f t="shared" si="131"/>
        <v>0</v>
      </c>
      <c r="AJ298" s="174">
        <f t="shared" si="131"/>
        <v>0</v>
      </c>
      <c r="AK298" s="174">
        <f t="shared" si="131"/>
        <v>0</v>
      </c>
      <c r="AL298" s="174">
        <f t="shared" si="131"/>
        <v>0</v>
      </c>
      <c r="AM298" s="174">
        <f t="shared" si="131"/>
        <v>0</v>
      </c>
      <c r="AN298" s="174">
        <f t="shared" ref="AN298:BG298" si="132">SUM(AN299:AN306)</f>
        <v>0</v>
      </c>
      <c r="AO298" s="174">
        <f t="shared" si="132"/>
        <v>0</v>
      </c>
      <c r="AP298" s="174">
        <f t="shared" si="132"/>
        <v>0</v>
      </c>
      <c r="AQ298" s="174">
        <f t="shared" si="132"/>
        <v>0</v>
      </c>
      <c r="AR298" s="174">
        <f t="shared" si="132"/>
        <v>0</v>
      </c>
      <c r="AS298" s="174">
        <f t="shared" si="132"/>
        <v>0</v>
      </c>
      <c r="AT298" s="174">
        <f t="shared" si="132"/>
        <v>0</v>
      </c>
      <c r="AU298" s="174">
        <f t="shared" si="132"/>
        <v>0</v>
      </c>
      <c r="AV298" s="174">
        <f t="shared" si="132"/>
        <v>0</v>
      </c>
      <c r="AW298" s="174">
        <f t="shared" si="132"/>
        <v>0</v>
      </c>
      <c r="AX298" s="174">
        <f t="shared" si="132"/>
        <v>0</v>
      </c>
      <c r="AY298" s="174">
        <f t="shared" si="132"/>
        <v>0</v>
      </c>
      <c r="AZ298" s="174">
        <f t="shared" si="132"/>
        <v>0</v>
      </c>
      <c r="BA298" s="174">
        <f t="shared" si="132"/>
        <v>0</v>
      </c>
      <c r="BB298" s="174">
        <f t="shared" si="132"/>
        <v>0</v>
      </c>
      <c r="BC298" s="174">
        <f t="shared" si="132"/>
        <v>0</v>
      </c>
      <c r="BD298" s="174">
        <f t="shared" si="132"/>
        <v>0</v>
      </c>
      <c r="BE298" s="174">
        <f t="shared" si="132"/>
        <v>0</v>
      </c>
      <c r="BF298" s="174">
        <f t="shared" si="132"/>
        <v>0</v>
      </c>
      <c r="BG298" s="174">
        <f t="shared" si="132"/>
        <v>0</v>
      </c>
      <c r="BH298" s="36"/>
      <c r="BI298" s="150"/>
      <c r="BJ298" s="150"/>
      <c r="BK298" s="151"/>
      <c r="BL298" s="151"/>
      <c r="BM298" s="150"/>
      <c r="BN298" s="150"/>
      <c r="BO298" s="36"/>
      <c r="BP298" s="36"/>
    </row>
    <row r="299" spans="1:68" hidden="1" outlineLevel="1" x14ac:dyDescent="0.25">
      <c r="A299" s="167" t="str">
        <f t="shared" ref="A299:A306" si="133">IF(N(INDEX($BP$20:$BP$67,4))=0,"",INDEX($BP$20:$BP$67,4))</f>
        <v/>
      </c>
      <c r="B299" s="168" t="str" cm="1">
        <f t="array" ref="B299">IF(BI299="","",INDEX(pjName,BI299))</f>
        <v/>
      </c>
      <c r="C299" s="167" t="str" cm="1">
        <f t="array" ref="C299">IF(BI299="","",IF(INDEX(pjStatus,BI299)="","",INDEX(pjStatus,BI299)))</f>
        <v/>
      </c>
      <c r="D299" s="167" t="str" cm="1">
        <f t="array" ref="D299">IFERROR(INDEX(tblStaff[Initials],BN299),"")</f>
        <v>PK</v>
      </c>
      <c r="E299" s="169" t="str" cm="1">
        <f t="array" ref="E299">IF(OR(BI299="",D299=""),"",IFERROR(SUMPRODUCT((pjNo=A299)*(pjType="Phase")*INDEX(Projects!$I$5:$O$1188,0,MATCH(D299,Projects!$I$4:$O$4,0))*pjWk),0))</f>
        <v/>
      </c>
      <c r="F299" s="169" t="str">
        <f t="shared" ref="F299:F306" si="134">IF(BI299="","",SUM(H299:BG299))</f>
        <v/>
      </c>
      <c r="G299" s="169" t="str">
        <f t="shared" ref="G299:G306" si="135">IF(OR(E299="",F299=""),"",E299-F299)</f>
        <v/>
      </c>
      <c r="H299" s="170"/>
      <c r="I299" s="170"/>
      <c r="J299" s="170"/>
      <c r="K299" s="170"/>
      <c r="L299" s="170"/>
      <c r="M299" s="170"/>
      <c r="N299" s="170"/>
      <c r="O299" s="170"/>
      <c r="P299" s="170"/>
      <c r="Q299" s="170"/>
      <c r="R299" s="170"/>
      <c r="S299" s="170"/>
      <c r="T299" s="170"/>
      <c r="U299" s="170"/>
      <c r="V299" s="170"/>
      <c r="W299" s="170"/>
      <c r="X299" s="170"/>
      <c r="Y299" s="170"/>
      <c r="Z299" s="170"/>
      <c r="AA299" s="170"/>
      <c r="AB299" s="170"/>
      <c r="AC299" s="170"/>
      <c r="AD299" s="170"/>
      <c r="AE299" s="170"/>
      <c r="AF299" s="170"/>
      <c r="AG299" s="170"/>
      <c r="AH299" s="170"/>
      <c r="AI299" s="170"/>
      <c r="AJ299" s="170"/>
      <c r="AK299" s="170"/>
      <c r="AL299" s="170"/>
      <c r="AM299" s="170"/>
      <c r="AN299" s="170"/>
      <c r="AO299" s="170"/>
      <c r="AP299" s="170"/>
      <c r="AQ299" s="170"/>
      <c r="AR299" s="170"/>
      <c r="AS299" s="170"/>
      <c r="AT299" s="170"/>
      <c r="AU299" s="170"/>
      <c r="AV299" s="170"/>
      <c r="AW299" s="170"/>
      <c r="AX299" s="170"/>
      <c r="AY299" s="170"/>
      <c r="AZ299" s="170"/>
      <c r="BA299" s="170"/>
      <c r="BB299" s="170"/>
      <c r="BC299" s="170"/>
      <c r="BD299" s="170"/>
      <c r="BE299" s="170"/>
      <c r="BF299" s="170"/>
      <c r="BG299" s="170"/>
      <c r="BH299" s="36"/>
      <c r="BI299" s="150" t="str" cm="1">
        <f t="array" ref="BI299">IF(A299="","",IFERROR(MATCH(1,INDEX((pjNo=A299)*(pjType="Project"),0),0),""))</f>
        <v/>
      </c>
      <c r="BJ299" s="150" t="str">
        <f>IF(D299="","",IFERROR(INDEX(tblStaff[Staff Level],MATCH(D299,tblStaff[Initials],0)),"?"))</f>
        <v>Principal</v>
      </c>
      <c r="BK299" s="151" t="str" cm="1">
        <f t="array" ref="BK299">IF(BI299="","",INDEX(pjStart,BI299))</f>
        <v/>
      </c>
      <c r="BL299" s="151" t="str" cm="1">
        <f t="array" ref="BL299">IF(BI299="","",INDEX(pjEnd,BI299))</f>
        <v/>
      </c>
      <c r="BM299" s="150">
        <f>IF(BI299="",0,IF(C299="Active",1,IF(C299="Prospective",IF(Assumptions!$B$6="Active only",0,Assumptions!$B$7),0)))</f>
        <v>0</v>
      </c>
      <c r="BN299" s="150">
        <v>1</v>
      </c>
      <c r="BO299" s="36"/>
      <c r="BP299" s="36"/>
    </row>
    <row r="300" spans="1:68" hidden="1" outlineLevel="1" x14ac:dyDescent="0.25">
      <c r="A300" s="167" t="str">
        <f t="shared" si="133"/>
        <v/>
      </c>
      <c r="B300" s="168" t="str" cm="1">
        <f t="array" ref="B300">IF(BI300="","",INDEX(pjName,BI300))</f>
        <v/>
      </c>
      <c r="C300" s="167" t="str" cm="1">
        <f t="array" ref="C300">IF(BI300="","",IF(INDEX(pjStatus,BI300)="","",INDEX(pjStatus,BI300)))</f>
        <v/>
      </c>
      <c r="D300" s="167" t="str" cm="1">
        <f t="array" ref="D300">IFERROR(INDEX(tblStaff[Initials],BN300),"")</f>
        <v>DF</v>
      </c>
      <c r="E300" s="169" t="str" cm="1">
        <f t="array" ref="E300">IF(OR(BI300="",D300=""),"",IFERROR(SUMPRODUCT((pjNo=A300)*(pjType="Phase")*INDEX(Projects!$I$5:$O$1188,0,MATCH(D300,Projects!$I$4:$O$4,0))*pjWk),0))</f>
        <v/>
      </c>
      <c r="F300" s="169" t="str">
        <f t="shared" si="134"/>
        <v/>
      </c>
      <c r="G300" s="169" t="str">
        <f t="shared" si="135"/>
        <v/>
      </c>
      <c r="H300" s="170"/>
      <c r="I300" s="170"/>
      <c r="J300" s="170"/>
      <c r="K300" s="170"/>
      <c r="L300" s="170"/>
      <c r="M300" s="170"/>
      <c r="N300" s="170"/>
      <c r="O300" s="170"/>
      <c r="P300" s="170"/>
      <c r="Q300" s="170"/>
      <c r="R300" s="170"/>
      <c r="S300" s="170"/>
      <c r="T300" s="170"/>
      <c r="U300" s="170"/>
      <c r="V300" s="170"/>
      <c r="W300" s="170"/>
      <c r="X300" s="170"/>
      <c r="Y300" s="170"/>
      <c r="Z300" s="170"/>
      <c r="AA300" s="170"/>
      <c r="AB300" s="170"/>
      <c r="AC300" s="170"/>
      <c r="AD300" s="170"/>
      <c r="AE300" s="170"/>
      <c r="AF300" s="170"/>
      <c r="AG300" s="170"/>
      <c r="AH300" s="170"/>
      <c r="AI300" s="170"/>
      <c r="AJ300" s="170"/>
      <c r="AK300" s="170"/>
      <c r="AL300" s="170"/>
      <c r="AM300" s="170"/>
      <c r="AN300" s="170"/>
      <c r="AO300" s="170"/>
      <c r="AP300" s="170"/>
      <c r="AQ300" s="170"/>
      <c r="AR300" s="170"/>
      <c r="AS300" s="170"/>
      <c r="AT300" s="170"/>
      <c r="AU300" s="170"/>
      <c r="AV300" s="170"/>
      <c r="AW300" s="170"/>
      <c r="AX300" s="170"/>
      <c r="AY300" s="170"/>
      <c r="AZ300" s="170"/>
      <c r="BA300" s="170"/>
      <c r="BB300" s="170"/>
      <c r="BC300" s="170"/>
      <c r="BD300" s="170"/>
      <c r="BE300" s="170"/>
      <c r="BF300" s="170"/>
      <c r="BG300" s="170"/>
      <c r="BH300" s="36"/>
      <c r="BI300" s="150" t="str" cm="1">
        <f t="array" ref="BI300">IF(A300="","",IFERROR(MATCH(1,INDEX((pjNo=A300)*(pjType="Project"),0),0),""))</f>
        <v/>
      </c>
      <c r="BJ300" s="150" t="str">
        <f>IF(D300="","",IFERROR(INDEX(tblStaff[Staff Level],MATCH(D300,tblStaff[Initials],0)),"?"))</f>
        <v>Principal</v>
      </c>
      <c r="BK300" s="151" t="str" cm="1">
        <f t="array" ref="BK300">IF(BI300="","",INDEX(pjStart,BI300))</f>
        <v/>
      </c>
      <c r="BL300" s="151" t="str" cm="1">
        <f t="array" ref="BL300">IF(BI300="","",INDEX(pjEnd,BI300))</f>
        <v/>
      </c>
      <c r="BM300" s="150">
        <f>IF(BI300="",0,IF(C300="Active",1,IF(C300="Prospective",IF(Assumptions!$B$6="Active only",0,Assumptions!$B$7),0)))</f>
        <v>0</v>
      </c>
      <c r="BN300" s="150">
        <v>2</v>
      </c>
      <c r="BO300" s="36"/>
      <c r="BP300" s="36"/>
    </row>
    <row r="301" spans="1:68" hidden="1" outlineLevel="1" x14ac:dyDescent="0.25">
      <c r="A301" s="158" t="str">
        <f t="shared" si="133"/>
        <v/>
      </c>
      <c r="B301" s="157" t="str" cm="1">
        <f t="array" ref="B301">IF(BI301="","",INDEX(pjName,BI301))</f>
        <v/>
      </c>
      <c r="C301" s="158" t="str" cm="1">
        <f t="array" ref="C301">IF(BI301="","",IF(INDEX(pjStatus,BI301)="","",INDEX(pjStatus,BI301)))</f>
        <v/>
      </c>
      <c r="D301" s="158" t="str" cm="1">
        <f t="array" ref="D301">IFERROR(INDEX(tblStaff[Initials],BN301),"")</f>
        <v>KJ</v>
      </c>
      <c r="E301" s="159" t="str" cm="1">
        <f t="array" ref="E301">IF(OR(BI301="",D301=""),"",IFERROR(SUMPRODUCT((pjNo=A301)*(pjType="Phase")*INDEX(Projects!$I$5:$O$1188,0,MATCH(D301,Projects!$I$4:$O$4,0))*pjWk),0))</f>
        <v/>
      </c>
      <c r="F301" s="159" t="str">
        <f t="shared" si="134"/>
        <v/>
      </c>
      <c r="G301" s="159" t="str">
        <f t="shared" si="135"/>
        <v/>
      </c>
      <c r="H301" s="160"/>
      <c r="I301" s="160"/>
      <c r="J301" s="160"/>
      <c r="K301" s="160"/>
      <c r="L301" s="160"/>
      <c r="M301" s="160"/>
      <c r="N301" s="160"/>
      <c r="O301" s="160"/>
      <c r="P301" s="160"/>
      <c r="Q301" s="160"/>
      <c r="R301" s="160"/>
      <c r="S301" s="160"/>
      <c r="T301" s="160"/>
      <c r="U301" s="160"/>
      <c r="V301" s="160"/>
      <c r="W301" s="160"/>
      <c r="X301" s="160"/>
      <c r="Y301" s="160"/>
      <c r="Z301" s="160"/>
      <c r="AA301" s="160"/>
      <c r="AB301" s="160"/>
      <c r="AC301" s="160"/>
      <c r="AD301" s="160"/>
      <c r="AE301" s="160"/>
      <c r="AF301" s="160"/>
      <c r="AG301" s="160"/>
      <c r="AH301" s="160"/>
      <c r="AI301" s="160"/>
      <c r="AJ301" s="160"/>
      <c r="AK301" s="160"/>
      <c r="AL301" s="160"/>
      <c r="AM301" s="160"/>
      <c r="AN301" s="160"/>
      <c r="AO301" s="160"/>
      <c r="AP301" s="160"/>
      <c r="AQ301" s="160"/>
      <c r="AR301" s="160"/>
      <c r="AS301" s="160"/>
      <c r="AT301" s="160"/>
      <c r="AU301" s="160"/>
      <c r="AV301" s="160"/>
      <c r="AW301" s="160"/>
      <c r="AX301" s="160"/>
      <c r="AY301" s="160"/>
      <c r="AZ301" s="160"/>
      <c r="BA301" s="160"/>
      <c r="BB301" s="160"/>
      <c r="BC301" s="160"/>
      <c r="BD301" s="160"/>
      <c r="BE301" s="160"/>
      <c r="BF301" s="160"/>
      <c r="BG301" s="160"/>
      <c r="BH301" s="36"/>
      <c r="BI301" s="150" t="str" cm="1">
        <f t="array" ref="BI301">IF(A301="","",IFERROR(MATCH(1,INDEX((pjNo=A301)*(pjType="Project"),0),0),""))</f>
        <v/>
      </c>
      <c r="BJ301" s="150" t="str">
        <f>IF(D301="","",IFERROR(INDEX(tblStaff[Staff Level],MATCH(D301,tblStaff[Initials],0)),"?"))</f>
        <v>Director</v>
      </c>
      <c r="BK301" s="151" t="str" cm="1">
        <f t="array" ref="BK301">IF(BI301="","",INDEX(pjStart,BI301))</f>
        <v/>
      </c>
      <c r="BL301" s="151" t="str" cm="1">
        <f t="array" ref="BL301">IF(BI301="","",INDEX(pjEnd,BI301))</f>
        <v/>
      </c>
      <c r="BM301" s="150">
        <f>IF(BI301="",0,IF(C301="Active",1,IF(C301="Prospective",IF(Assumptions!$B$6="Active only",0,Assumptions!$B$7),0)))</f>
        <v>0</v>
      </c>
      <c r="BN301" s="150">
        <v>3</v>
      </c>
      <c r="BO301" s="36"/>
      <c r="BP301" s="36"/>
    </row>
    <row r="302" spans="1:68" hidden="1" outlineLevel="1" x14ac:dyDescent="0.25">
      <c r="A302" s="158" t="str">
        <f t="shared" si="133"/>
        <v/>
      </c>
      <c r="B302" s="157" t="str" cm="1">
        <f t="array" ref="B302">IF(BI302="","",INDEX(pjName,BI302))</f>
        <v/>
      </c>
      <c r="C302" s="158" t="str" cm="1">
        <f t="array" ref="C302">IF(BI302="","",IF(INDEX(pjStatus,BI302)="","",INDEX(pjStatus,BI302)))</f>
        <v/>
      </c>
      <c r="D302" s="158" t="str" cm="1">
        <f t="array" ref="D302">IFERROR(INDEX(tblStaff[Initials],BN302),"")</f>
        <v>HL</v>
      </c>
      <c r="E302" s="159" t="str" cm="1">
        <f t="array" ref="E302">IF(OR(BI302="",D302=""),"",IFERROR(SUMPRODUCT((pjNo=A302)*(pjType="Phase")*INDEX(Projects!$I$5:$O$1188,0,MATCH(D302,Projects!$I$4:$O$4,0))*pjWk),0))</f>
        <v/>
      </c>
      <c r="F302" s="159" t="str">
        <f t="shared" si="134"/>
        <v/>
      </c>
      <c r="G302" s="159" t="str">
        <f t="shared" si="135"/>
        <v/>
      </c>
      <c r="H302" s="160"/>
      <c r="I302" s="160"/>
      <c r="J302" s="160"/>
      <c r="K302" s="160"/>
      <c r="L302" s="160"/>
      <c r="M302" s="160"/>
      <c r="N302" s="160"/>
      <c r="O302" s="160"/>
      <c r="P302" s="160"/>
      <c r="Q302" s="160"/>
      <c r="R302" s="160"/>
      <c r="S302" s="160"/>
      <c r="T302" s="160"/>
      <c r="U302" s="160"/>
      <c r="V302" s="160"/>
      <c r="W302" s="160"/>
      <c r="X302" s="160"/>
      <c r="Y302" s="160"/>
      <c r="Z302" s="160"/>
      <c r="AA302" s="160"/>
      <c r="AB302" s="160"/>
      <c r="AC302" s="160"/>
      <c r="AD302" s="160"/>
      <c r="AE302" s="160"/>
      <c r="AF302" s="160"/>
      <c r="AG302" s="160"/>
      <c r="AH302" s="160"/>
      <c r="AI302" s="160"/>
      <c r="AJ302" s="160"/>
      <c r="AK302" s="160"/>
      <c r="AL302" s="160"/>
      <c r="AM302" s="160"/>
      <c r="AN302" s="160"/>
      <c r="AO302" s="160"/>
      <c r="AP302" s="160"/>
      <c r="AQ302" s="160"/>
      <c r="AR302" s="160"/>
      <c r="AS302" s="160"/>
      <c r="AT302" s="160"/>
      <c r="AU302" s="160"/>
      <c r="AV302" s="160"/>
      <c r="AW302" s="160"/>
      <c r="AX302" s="160"/>
      <c r="AY302" s="160"/>
      <c r="AZ302" s="160"/>
      <c r="BA302" s="160"/>
      <c r="BB302" s="160"/>
      <c r="BC302" s="160"/>
      <c r="BD302" s="160"/>
      <c r="BE302" s="160"/>
      <c r="BF302" s="160"/>
      <c r="BG302" s="160"/>
      <c r="BH302" s="36"/>
      <c r="BI302" s="150" t="str" cm="1">
        <f t="array" ref="BI302">IF(A302="","",IFERROR(MATCH(1,INDEX((pjNo=A302)*(pjType="Project"),0),0),""))</f>
        <v/>
      </c>
      <c r="BJ302" s="150" t="str">
        <f>IF(D302="","",IFERROR(INDEX(tblStaff[Staff Level],MATCH(D302,tblStaff[Initials],0)),"?"))</f>
        <v>Senior Designer</v>
      </c>
      <c r="BK302" s="151" t="str" cm="1">
        <f t="array" ref="BK302">IF(BI302="","",INDEX(pjStart,BI302))</f>
        <v/>
      </c>
      <c r="BL302" s="151" t="str" cm="1">
        <f t="array" ref="BL302">IF(BI302="","",INDEX(pjEnd,BI302))</f>
        <v/>
      </c>
      <c r="BM302" s="150">
        <f>IF(BI302="",0,IF(C302="Active",1,IF(C302="Prospective",IF(Assumptions!$B$6="Active only",0,Assumptions!$B$7),0)))</f>
        <v>0</v>
      </c>
      <c r="BN302" s="150">
        <v>4</v>
      </c>
      <c r="BO302" s="36"/>
      <c r="BP302" s="36"/>
    </row>
    <row r="303" spans="1:68" hidden="1" outlineLevel="1" x14ac:dyDescent="0.25">
      <c r="A303" s="158" t="str">
        <f t="shared" si="133"/>
        <v/>
      </c>
      <c r="B303" s="157" t="str" cm="1">
        <f t="array" ref="B303">IF(BI303="","",INDEX(pjName,BI303))</f>
        <v/>
      </c>
      <c r="C303" s="158" t="str" cm="1">
        <f t="array" ref="C303">IF(BI303="","",IF(INDEX(pjStatus,BI303)="","",INDEX(pjStatus,BI303)))</f>
        <v/>
      </c>
      <c r="D303" s="158" t="str" cm="1">
        <f t="array" ref="D303">IFERROR(INDEX(tblStaff[Initials],BN303),"")</f>
        <v>EHH</v>
      </c>
      <c r="E303" s="159" t="str" cm="1">
        <f t="array" ref="E303">IF(OR(BI303="",D303=""),"",IFERROR(SUMPRODUCT((pjNo=A303)*(pjType="Phase")*INDEX(Projects!$I$5:$O$1188,0,MATCH(D303,Projects!$I$4:$O$4,0))*pjWk),0))</f>
        <v/>
      </c>
      <c r="F303" s="159" t="str">
        <f t="shared" si="134"/>
        <v/>
      </c>
      <c r="G303" s="159" t="str">
        <f t="shared" si="135"/>
        <v/>
      </c>
      <c r="H303" s="160"/>
      <c r="I303" s="160"/>
      <c r="J303" s="160"/>
      <c r="K303" s="160"/>
      <c r="L303" s="160"/>
      <c r="M303" s="160"/>
      <c r="N303" s="160"/>
      <c r="O303" s="160"/>
      <c r="P303" s="160"/>
      <c r="Q303" s="160"/>
      <c r="R303" s="160"/>
      <c r="S303" s="160"/>
      <c r="T303" s="160"/>
      <c r="U303" s="160"/>
      <c r="V303" s="160"/>
      <c r="W303" s="160"/>
      <c r="X303" s="160"/>
      <c r="Y303" s="160"/>
      <c r="Z303" s="160"/>
      <c r="AA303" s="160"/>
      <c r="AB303" s="160"/>
      <c r="AC303" s="160"/>
      <c r="AD303" s="160"/>
      <c r="AE303" s="160"/>
      <c r="AF303" s="160"/>
      <c r="AG303" s="160"/>
      <c r="AH303" s="160"/>
      <c r="AI303" s="160"/>
      <c r="AJ303" s="160"/>
      <c r="AK303" s="160"/>
      <c r="AL303" s="160"/>
      <c r="AM303" s="160"/>
      <c r="AN303" s="160"/>
      <c r="AO303" s="160"/>
      <c r="AP303" s="160"/>
      <c r="AQ303" s="160"/>
      <c r="AR303" s="160"/>
      <c r="AS303" s="160"/>
      <c r="AT303" s="160"/>
      <c r="AU303" s="160"/>
      <c r="AV303" s="160"/>
      <c r="AW303" s="160"/>
      <c r="AX303" s="160"/>
      <c r="AY303" s="160"/>
      <c r="AZ303" s="160"/>
      <c r="BA303" s="160"/>
      <c r="BB303" s="160"/>
      <c r="BC303" s="160"/>
      <c r="BD303" s="160"/>
      <c r="BE303" s="160"/>
      <c r="BF303" s="160"/>
      <c r="BG303" s="160"/>
      <c r="BH303" s="36"/>
      <c r="BI303" s="150" t="str" cm="1">
        <f t="array" ref="BI303">IF(A303="","",IFERROR(MATCH(1,INDEX((pjNo=A303)*(pjType="Project"),0),0),""))</f>
        <v/>
      </c>
      <c r="BJ303" s="150" t="str">
        <f>IF(D303="","",IFERROR(INDEX(tblStaff[Staff Level],MATCH(D303,tblStaff[Initials],0)),"?"))</f>
        <v>Mid Level Designer</v>
      </c>
      <c r="BK303" s="151" t="str" cm="1">
        <f t="array" ref="BK303">IF(BI303="","",INDEX(pjStart,BI303))</f>
        <v/>
      </c>
      <c r="BL303" s="151" t="str" cm="1">
        <f t="array" ref="BL303">IF(BI303="","",INDEX(pjEnd,BI303))</f>
        <v/>
      </c>
      <c r="BM303" s="150">
        <f>IF(BI303="",0,IF(C303="Active",1,IF(C303="Prospective",IF(Assumptions!$B$6="Active only",0,Assumptions!$B$7),0)))</f>
        <v>0</v>
      </c>
      <c r="BN303" s="150">
        <v>5</v>
      </c>
      <c r="BO303" s="36"/>
      <c r="BP303" s="36"/>
    </row>
    <row r="304" spans="1:68" hidden="1" outlineLevel="1" x14ac:dyDescent="0.25">
      <c r="A304" s="158" t="str">
        <f t="shared" si="133"/>
        <v/>
      </c>
      <c r="B304" s="157" t="str" cm="1">
        <f t="array" ref="B304">IF(BI304="","",INDEX(pjName,BI304))</f>
        <v/>
      </c>
      <c r="C304" s="158" t="str" cm="1">
        <f t="array" ref="C304">IF(BI304="","",IF(INDEX(pjStatus,BI304)="","",INDEX(pjStatus,BI304)))</f>
        <v/>
      </c>
      <c r="D304" s="158" t="str" cm="1">
        <f t="array" ref="D304">IFERROR(INDEX(tblStaff[Initials],BN304),"")</f>
        <v>KD</v>
      </c>
      <c r="E304" s="159" t="str" cm="1">
        <f t="array" ref="E304">IF(OR(BI304="",D304=""),"",IFERROR(SUMPRODUCT((pjNo=A304)*(pjType="Phase")*INDEX(Projects!$I$5:$O$1188,0,MATCH(D304,Projects!$I$4:$O$4,0))*pjWk),0))</f>
        <v/>
      </c>
      <c r="F304" s="159" t="str">
        <f t="shared" si="134"/>
        <v/>
      </c>
      <c r="G304" s="159" t="str">
        <f t="shared" si="135"/>
        <v/>
      </c>
      <c r="H304" s="160"/>
      <c r="I304" s="160"/>
      <c r="J304" s="160"/>
      <c r="K304" s="160"/>
      <c r="L304" s="160"/>
      <c r="M304" s="160"/>
      <c r="N304" s="160"/>
      <c r="O304" s="160"/>
      <c r="P304" s="160"/>
      <c r="Q304" s="160"/>
      <c r="R304" s="160"/>
      <c r="S304" s="160"/>
      <c r="T304" s="160"/>
      <c r="U304" s="160"/>
      <c r="V304" s="160"/>
      <c r="W304" s="160"/>
      <c r="X304" s="160"/>
      <c r="Y304" s="160"/>
      <c r="Z304" s="160"/>
      <c r="AA304" s="160"/>
      <c r="AB304" s="160"/>
      <c r="AC304" s="160"/>
      <c r="AD304" s="160"/>
      <c r="AE304" s="160"/>
      <c r="AF304" s="160"/>
      <c r="AG304" s="160"/>
      <c r="AH304" s="160"/>
      <c r="AI304" s="160"/>
      <c r="AJ304" s="160"/>
      <c r="AK304" s="160"/>
      <c r="AL304" s="160"/>
      <c r="AM304" s="160"/>
      <c r="AN304" s="160"/>
      <c r="AO304" s="160"/>
      <c r="AP304" s="160"/>
      <c r="AQ304" s="160"/>
      <c r="AR304" s="160"/>
      <c r="AS304" s="160"/>
      <c r="AT304" s="160"/>
      <c r="AU304" s="160"/>
      <c r="AV304" s="160"/>
      <c r="AW304" s="160"/>
      <c r="AX304" s="160"/>
      <c r="AY304" s="160"/>
      <c r="AZ304" s="160"/>
      <c r="BA304" s="160"/>
      <c r="BB304" s="160"/>
      <c r="BC304" s="160"/>
      <c r="BD304" s="160"/>
      <c r="BE304" s="160"/>
      <c r="BF304" s="160"/>
      <c r="BG304" s="160"/>
      <c r="BH304" s="36"/>
      <c r="BI304" s="150" t="str" cm="1">
        <f t="array" ref="BI304">IF(A304="","",IFERROR(MATCH(1,INDEX((pjNo=A304)*(pjType="Project"),0),0),""))</f>
        <v/>
      </c>
      <c r="BJ304" s="150" t="str">
        <f>IF(D304="","",IFERROR(INDEX(tblStaff[Staff Level],MATCH(D304,tblStaff[Initials],0)),"?"))</f>
        <v>Mid Level Designer</v>
      </c>
      <c r="BK304" s="151" t="str" cm="1">
        <f t="array" ref="BK304">IF(BI304="","",INDEX(pjStart,BI304))</f>
        <v/>
      </c>
      <c r="BL304" s="151" t="str" cm="1">
        <f t="array" ref="BL304">IF(BI304="","",INDEX(pjEnd,BI304))</f>
        <v/>
      </c>
      <c r="BM304" s="150">
        <f>IF(BI304="",0,IF(C304="Active",1,IF(C304="Prospective",IF(Assumptions!$B$6="Active only",0,Assumptions!$B$7),0)))</f>
        <v>0</v>
      </c>
      <c r="BN304" s="150">
        <v>6</v>
      </c>
      <c r="BO304" s="36"/>
      <c r="BP304" s="36"/>
    </row>
    <row r="305" spans="1:68" hidden="1" outlineLevel="1" x14ac:dyDescent="0.25">
      <c r="A305" s="158" t="str">
        <f t="shared" si="133"/>
        <v/>
      </c>
      <c r="B305" s="157" t="str" cm="1">
        <f t="array" ref="B305">IF(BI305="","",INDEX(pjName,BI305))</f>
        <v/>
      </c>
      <c r="C305" s="158" t="str" cm="1">
        <f t="array" ref="C305">IF(BI305="","",IF(INDEX(pjStatus,BI305)="","",INDEX(pjStatus,BI305)))</f>
        <v/>
      </c>
      <c r="D305" s="158" t="str" cm="1">
        <f t="array" ref="D305">IFERROR(INDEX(tblStaff[Initials],BN305),"")</f>
        <v>XX</v>
      </c>
      <c r="E305" s="159" t="str" cm="1">
        <f t="array" ref="E305">IF(OR(BI305="",D305=""),"",IFERROR(SUMPRODUCT((pjNo=A305)*(pjType="Phase")*INDEX(Projects!$I$5:$O$1188,0,MATCH(D305,Projects!$I$4:$O$4,0))*pjWk),0))</f>
        <v/>
      </c>
      <c r="F305" s="159" t="str">
        <f t="shared" si="134"/>
        <v/>
      </c>
      <c r="G305" s="159" t="str">
        <f t="shared" si="135"/>
        <v/>
      </c>
      <c r="H305" s="160"/>
      <c r="I305" s="160"/>
      <c r="J305" s="160"/>
      <c r="K305" s="160"/>
      <c r="L305" s="160"/>
      <c r="M305" s="160"/>
      <c r="N305" s="160"/>
      <c r="O305" s="160"/>
      <c r="P305" s="160"/>
      <c r="Q305" s="160"/>
      <c r="R305" s="160"/>
      <c r="S305" s="160"/>
      <c r="T305" s="160"/>
      <c r="U305" s="160"/>
      <c r="V305" s="160"/>
      <c r="W305" s="160"/>
      <c r="X305" s="160"/>
      <c r="Y305" s="160"/>
      <c r="Z305" s="160"/>
      <c r="AA305" s="160"/>
      <c r="AB305" s="160"/>
      <c r="AC305" s="160"/>
      <c r="AD305" s="160"/>
      <c r="AE305" s="160"/>
      <c r="AF305" s="160"/>
      <c r="AG305" s="160"/>
      <c r="AH305" s="160"/>
      <c r="AI305" s="160"/>
      <c r="AJ305" s="160"/>
      <c r="AK305" s="160"/>
      <c r="AL305" s="160"/>
      <c r="AM305" s="160"/>
      <c r="AN305" s="160"/>
      <c r="AO305" s="160"/>
      <c r="AP305" s="160"/>
      <c r="AQ305" s="160"/>
      <c r="AR305" s="160"/>
      <c r="AS305" s="160"/>
      <c r="AT305" s="160"/>
      <c r="AU305" s="160"/>
      <c r="AV305" s="160"/>
      <c r="AW305" s="160"/>
      <c r="AX305" s="160"/>
      <c r="AY305" s="160"/>
      <c r="AZ305" s="160"/>
      <c r="BA305" s="160"/>
      <c r="BB305" s="160"/>
      <c r="BC305" s="160"/>
      <c r="BD305" s="160"/>
      <c r="BE305" s="160"/>
      <c r="BF305" s="160"/>
      <c r="BG305" s="160"/>
      <c r="BH305" s="36"/>
      <c r="BI305" s="150" t="str" cm="1">
        <f t="array" ref="BI305">IF(A305="","",IFERROR(MATCH(1,INDEX((pjNo=A305)*(pjType="Project"),0),0),""))</f>
        <v/>
      </c>
      <c r="BJ305" s="150" t="str">
        <f>IF(D305="","",IFERROR(INDEX(tblStaff[Staff Level],MATCH(D305,tblStaff[Initials],0)),"?"))</f>
        <v>Project Designer</v>
      </c>
      <c r="BK305" s="151" t="str" cm="1">
        <f t="array" ref="BK305">IF(BI305="","",INDEX(pjStart,BI305))</f>
        <v/>
      </c>
      <c r="BL305" s="151" t="str" cm="1">
        <f t="array" ref="BL305">IF(BI305="","",INDEX(pjEnd,BI305))</f>
        <v/>
      </c>
      <c r="BM305" s="150">
        <f>IF(BI305="",0,IF(C305="Active",1,IF(C305="Prospective",IF(Assumptions!$B$6="Active only",0,Assumptions!$B$7),0)))</f>
        <v>0</v>
      </c>
      <c r="BN305" s="150">
        <v>7</v>
      </c>
      <c r="BO305" s="36"/>
      <c r="BP305" s="36"/>
    </row>
    <row r="306" spans="1:68" hidden="1" outlineLevel="1" x14ac:dyDescent="0.25">
      <c r="A306" s="162" t="str">
        <f t="shared" si="133"/>
        <v/>
      </c>
      <c r="B306" s="161" t="str" cm="1">
        <f t="array" ref="B306">IF(BI306="","",INDEX(pjName,BI306))</f>
        <v/>
      </c>
      <c r="C306" s="162" t="str" cm="1">
        <f t="array" ref="C306">IF(BI306="","",IF(INDEX(pjStatus,BI306)="","",INDEX(pjStatus,BI306)))</f>
        <v/>
      </c>
      <c r="D306" s="162" t="str" cm="1">
        <f t="array" ref="D306">IFERROR(INDEX(tblStaff[Initials],BN306),"")</f>
        <v/>
      </c>
      <c r="E306" s="163" t="str" cm="1">
        <f t="array" ref="E306">IF(OR(BI306="",D306=""),"",IFERROR(SUMPRODUCT((pjNo=A306)*(pjType="Phase")*INDEX(Projects!$I$5:$O$1188,0,MATCH(D306,Projects!$I$4:$O$4,0))*pjWk),0))</f>
        <v/>
      </c>
      <c r="F306" s="163" t="str">
        <f t="shared" si="134"/>
        <v/>
      </c>
      <c r="G306" s="163" t="str">
        <f t="shared" si="135"/>
        <v/>
      </c>
      <c r="H306" s="164"/>
      <c r="I306" s="164"/>
      <c r="J306" s="164"/>
      <c r="K306" s="164"/>
      <c r="L306" s="164"/>
      <c r="M306" s="164"/>
      <c r="N306" s="164"/>
      <c r="O306" s="164"/>
      <c r="P306" s="164"/>
      <c r="Q306" s="164"/>
      <c r="R306" s="164"/>
      <c r="S306" s="164"/>
      <c r="T306" s="164"/>
      <c r="U306" s="164"/>
      <c r="V306" s="164"/>
      <c r="W306" s="164"/>
      <c r="X306" s="164"/>
      <c r="Y306" s="164"/>
      <c r="Z306" s="164"/>
      <c r="AA306" s="164"/>
      <c r="AB306" s="164"/>
      <c r="AC306" s="164"/>
      <c r="AD306" s="164"/>
      <c r="AE306" s="164"/>
      <c r="AF306" s="164"/>
      <c r="AG306" s="164"/>
      <c r="AH306" s="164"/>
      <c r="AI306" s="164"/>
      <c r="AJ306" s="164"/>
      <c r="AK306" s="164"/>
      <c r="AL306" s="164"/>
      <c r="AM306" s="164"/>
      <c r="AN306" s="164"/>
      <c r="AO306" s="164"/>
      <c r="AP306" s="164"/>
      <c r="AQ306" s="164"/>
      <c r="AR306" s="164"/>
      <c r="AS306" s="164"/>
      <c r="AT306" s="164"/>
      <c r="AU306" s="164"/>
      <c r="AV306" s="164"/>
      <c r="AW306" s="164"/>
      <c r="AX306" s="164"/>
      <c r="AY306" s="164"/>
      <c r="AZ306" s="164"/>
      <c r="BA306" s="164"/>
      <c r="BB306" s="164"/>
      <c r="BC306" s="164"/>
      <c r="BD306" s="164"/>
      <c r="BE306" s="164"/>
      <c r="BF306" s="164"/>
      <c r="BG306" s="164"/>
      <c r="BH306" s="36"/>
      <c r="BI306" s="150" t="str" cm="1">
        <f t="array" ref="BI306">IF(A306="","",IFERROR(MATCH(1,INDEX((pjNo=A306)*(pjType="Project"),0),0),""))</f>
        <v/>
      </c>
      <c r="BJ306" s="150" t="str">
        <f>IF(D306="","",IFERROR(INDEX(tblStaff[Staff Level],MATCH(D306,tblStaff[Initials],0)),"?"))</f>
        <v/>
      </c>
      <c r="BK306" s="151" t="str" cm="1">
        <f t="array" ref="BK306">IF(BI306="","",INDEX(pjStart,BI306))</f>
        <v/>
      </c>
      <c r="BL306" s="151" t="str" cm="1">
        <f t="array" ref="BL306">IF(BI306="","",INDEX(pjEnd,BI306))</f>
        <v/>
      </c>
      <c r="BM306" s="150">
        <f>IF(BI306="",0,IF(C306="Active",1,IF(C306="Prospective",IF(Assumptions!$B$6="Active only",0,Assumptions!$B$7),0)))</f>
        <v>0</v>
      </c>
      <c r="BN306" s="150">
        <v>8</v>
      </c>
      <c r="BO306" s="36"/>
      <c r="BP306" s="36"/>
    </row>
    <row r="307" spans="1:68" collapsed="1" x14ac:dyDescent="0.25">
      <c r="A307" s="171"/>
      <c r="B307" s="173" t="str">
        <f>IF(A308="","",A308&amp;" · "&amp;B308)</f>
        <v/>
      </c>
      <c r="C307" s="171" t="str">
        <f>IF(A308="","",C308)</f>
        <v/>
      </c>
      <c r="D307" s="171"/>
      <c r="E307" s="172">
        <f>SUM(E308:E315)</f>
        <v>0</v>
      </c>
      <c r="F307" s="172">
        <f>SUM(F308:F315)</f>
        <v>0</v>
      </c>
      <c r="G307" s="172" t="str">
        <f>IF(E307=0,"",E307-F307)</f>
        <v/>
      </c>
      <c r="H307" s="174">
        <f t="shared" ref="H307:AM307" si="136">SUM(H308:H315)</f>
        <v>0</v>
      </c>
      <c r="I307" s="174">
        <f t="shared" si="136"/>
        <v>0</v>
      </c>
      <c r="J307" s="174">
        <f t="shared" si="136"/>
        <v>0</v>
      </c>
      <c r="K307" s="174">
        <f t="shared" si="136"/>
        <v>0</v>
      </c>
      <c r="L307" s="174">
        <f t="shared" si="136"/>
        <v>0</v>
      </c>
      <c r="M307" s="174">
        <f t="shared" si="136"/>
        <v>0</v>
      </c>
      <c r="N307" s="174">
        <f t="shared" si="136"/>
        <v>0</v>
      </c>
      <c r="O307" s="174">
        <f t="shared" si="136"/>
        <v>0</v>
      </c>
      <c r="P307" s="174">
        <f t="shared" si="136"/>
        <v>0</v>
      </c>
      <c r="Q307" s="174">
        <f t="shared" si="136"/>
        <v>0</v>
      </c>
      <c r="R307" s="174">
        <f t="shared" si="136"/>
        <v>0</v>
      </c>
      <c r="S307" s="174">
        <f t="shared" si="136"/>
        <v>0</v>
      </c>
      <c r="T307" s="174">
        <f t="shared" si="136"/>
        <v>0</v>
      </c>
      <c r="U307" s="174">
        <f t="shared" si="136"/>
        <v>0</v>
      </c>
      <c r="V307" s="174">
        <f t="shared" si="136"/>
        <v>0</v>
      </c>
      <c r="W307" s="174">
        <f t="shared" si="136"/>
        <v>0</v>
      </c>
      <c r="X307" s="174">
        <f t="shared" si="136"/>
        <v>0</v>
      </c>
      <c r="Y307" s="174">
        <f t="shared" si="136"/>
        <v>0</v>
      </c>
      <c r="Z307" s="174">
        <f t="shared" si="136"/>
        <v>0</v>
      </c>
      <c r="AA307" s="174">
        <f t="shared" si="136"/>
        <v>0</v>
      </c>
      <c r="AB307" s="174">
        <f t="shared" si="136"/>
        <v>0</v>
      </c>
      <c r="AC307" s="174">
        <f t="shared" si="136"/>
        <v>0</v>
      </c>
      <c r="AD307" s="174">
        <f t="shared" si="136"/>
        <v>0</v>
      </c>
      <c r="AE307" s="174">
        <f t="shared" si="136"/>
        <v>0</v>
      </c>
      <c r="AF307" s="174">
        <f t="shared" si="136"/>
        <v>0</v>
      </c>
      <c r="AG307" s="174">
        <f t="shared" si="136"/>
        <v>0</v>
      </c>
      <c r="AH307" s="174">
        <f t="shared" si="136"/>
        <v>0</v>
      </c>
      <c r="AI307" s="174">
        <f t="shared" si="136"/>
        <v>0</v>
      </c>
      <c r="AJ307" s="174">
        <f t="shared" si="136"/>
        <v>0</v>
      </c>
      <c r="AK307" s="174">
        <f t="shared" si="136"/>
        <v>0</v>
      </c>
      <c r="AL307" s="174">
        <f t="shared" si="136"/>
        <v>0</v>
      </c>
      <c r="AM307" s="174">
        <f t="shared" si="136"/>
        <v>0</v>
      </c>
      <c r="AN307" s="174">
        <f t="shared" ref="AN307:BG307" si="137">SUM(AN308:AN315)</f>
        <v>0</v>
      </c>
      <c r="AO307" s="174">
        <f t="shared" si="137"/>
        <v>0</v>
      </c>
      <c r="AP307" s="174">
        <f t="shared" si="137"/>
        <v>0</v>
      </c>
      <c r="AQ307" s="174">
        <f t="shared" si="137"/>
        <v>0</v>
      </c>
      <c r="AR307" s="174">
        <f t="shared" si="137"/>
        <v>0</v>
      </c>
      <c r="AS307" s="174">
        <f t="shared" si="137"/>
        <v>0</v>
      </c>
      <c r="AT307" s="174">
        <f t="shared" si="137"/>
        <v>0</v>
      </c>
      <c r="AU307" s="174">
        <f t="shared" si="137"/>
        <v>0</v>
      </c>
      <c r="AV307" s="174">
        <f t="shared" si="137"/>
        <v>0</v>
      </c>
      <c r="AW307" s="174">
        <f t="shared" si="137"/>
        <v>0</v>
      </c>
      <c r="AX307" s="174">
        <f t="shared" si="137"/>
        <v>0</v>
      </c>
      <c r="AY307" s="174">
        <f t="shared" si="137"/>
        <v>0</v>
      </c>
      <c r="AZ307" s="174">
        <f t="shared" si="137"/>
        <v>0</v>
      </c>
      <c r="BA307" s="174">
        <f t="shared" si="137"/>
        <v>0</v>
      </c>
      <c r="BB307" s="174">
        <f t="shared" si="137"/>
        <v>0</v>
      </c>
      <c r="BC307" s="174">
        <f t="shared" si="137"/>
        <v>0</v>
      </c>
      <c r="BD307" s="174">
        <f t="shared" si="137"/>
        <v>0</v>
      </c>
      <c r="BE307" s="174">
        <f t="shared" si="137"/>
        <v>0</v>
      </c>
      <c r="BF307" s="174">
        <f t="shared" si="137"/>
        <v>0</v>
      </c>
      <c r="BG307" s="174">
        <f t="shared" si="137"/>
        <v>0</v>
      </c>
      <c r="BH307" s="36"/>
      <c r="BI307" s="150"/>
      <c r="BJ307" s="150"/>
      <c r="BK307" s="151"/>
      <c r="BL307" s="151"/>
      <c r="BM307" s="150"/>
      <c r="BN307" s="150"/>
      <c r="BO307" s="36"/>
      <c r="BP307" s="36"/>
    </row>
    <row r="308" spans="1:68" hidden="1" outlineLevel="1" x14ac:dyDescent="0.25">
      <c r="A308" s="167" t="str">
        <f t="shared" ref="A308:A315" si="138">IF(N(INDEX($BP$20:$BP$67,5))=0,"",INDEX($BP$20:$BP$67,5))</f>
        <v/>
      </c>
      <c r="B308" s="168" t="str" cm="1">
        <f t="array" ref="B308">IF(BI308="","",INDEX(pjName,BI308))</f>
        <v/>
      </c>
      <c r="C308" s="167" t="str" cm="1">
        <f t="array" ref="C308">IF(BI308="","",IF(INDEX(pjStatus,BI308)="","",INDEX(pjStatus,BI308)))</f>
        <v/>
      </c>
      <c r="D308" s="167" t="str" cm="1">
        <f t="array" ref="D308">IFERROR(INDEX(tblStaff[Initials],BN308),"")</f>
        <v>PK</v>
      </c>
      <c r="E308" s="169" t="str" cm="1">
        <f t="array" ref="E308">IF(OR(BI308="",D308=""),"",IFERROR(SUMPRODUCT((pjNo=A308)*(pjType="Phase")*INDEX(Projects!$I$5:$O$1188,0,MATCH(D308,Projects!$I$4:$O$4,0))*pjWk),0))</f>
        <v/>
      </c>
      <c r="F308" s="169" t="str">
        <f t="shared" ref="F308:F315" si="139">IF(BI308="","",SUM(H308:BG308))</f>
        <v/>
      </c>
      <c r="G308" s="169" t="str">
        <f t="shared" ref="G308:G315" si="140">IF(OR(E308="",F308=""),"",E308-F308)</f>
        <v/>
      </c>
      <c r="H308" s="170"/>
      <c r="I308" s="170"/>
      <c r="J308" s="170"/>
      <c r="K308" s="170"/>
      <c r="L308" s="170"/>
      <c r="M308" s="170"/>
      <c r="N308" s="170"/>
      <c r="O308" s="170"/>
      <c r="P308" s="170"/>
      <c r="Q308" s="170"/>
      <c r="R308" s="170"/>
      <c r="S308" s="170"/>
      <c r="T308" s="170"/>
      <c r="U308" s="170"/>
      <c r="V308" s="170"/>
      <c r="W308" s="170"/>
      <c r="X308" s="170"/>
      <c r="Y308" s="170"/>
      <c r="Z308" s="170"/>
      <c r="AA308" s="170"/>
      <c r="AB308" s="170"/>
      <c r="AC308" s="170"/>
      <c r="AD308" s="170"/>
      <c r="AE308" s="170"/>
      <c r="AF308" s="170"/>
      <c r="AG308" s="170"/>
      <c r="AH308" s="170"/>
      <c r="AI308" s="170"/>
      <c r="AJ308" s="170"/>
      <c r="AK308" s="170"/>
      <c r="AL308" s="170"/>
      <c r="AM308" s="170"/>
      <c r="AN308" s="170"/>
      <c r="AO308" s="170"/>
      <c r="AP308" s="170"/>
      <c r="AQ308" s="170"/>
      <c r="AR308" s="170"/>
      <c r="AS308" s="170"/>
      <c r="AT308" s="170"/>
      <c r="AU308" s="170"/>
      <c r="AV308" s="170"/>
      <c r="AW308" s="170"/>
      <c r="AX308" s="170"/>
      <c r="AY308" s="170"/>
      <c r="AZ308" s="170"/>
      <c r="BA308" s="170"/>
      <c r="BB308" s="170"/>
      <c r="BC308" s="170"/>
      <c r="BD308" s="170"/>
      <c r="BE308" s="170"/>
      <c r="BF308" s="170"/>
      <c r="BG308" s="170"/>
      <c r="BH308" s="36"/>
      <c r="BI308" s="150" t="str" cm="1">
        <f t="array" ref="BI308">IF(A308="","",IFERROR(MATCH(1,INDEX((pjNo=A308)*(pjType="Project"),0),0),""))</f>
        <v/>
      </c>
      <c r="BJ308" s="150" t="str">
        <f>IF(D308="","",IFERROR(INDEX(tblStaff[Staff Level],MATCH(D308,tblStaff[Initials],0)),"?"))</f>
        <v>Principal</v>
      </c>
      <c r="BK308" s="151" t="str" cm="1">
        <f t="array" ref="BK308">IF(BI308="","",INDEX(pjStart,BI308))</f>
        <v/>
      </c>
      <c r="BL308" s="151" t="str" cm="1">
        <f t="array" ref="BL308">IF(BI308="","",INDEX(pjEnd,BI308))</f>
        <v/>
      </c>
      <c r="BM308" s="150">
        <f>IF(BI308="",0,IF(C308="Active",1,IF(C308="Prospective",IF(Assumptions!$B$6="Active only",0,Assumptions!$B$7),0)))</f>
        <v>0</v>
      </c>
      <c r="BN308" s="150">
        <v>1</v>
      </c>
      <c r="BO308" s="36"/>
      <c r="BP308" s="36"/>
    </row>
    <row r="309" spans="1:68" hidden="1" outlineLevel="1" x14ac:dyDescent="0.25">
      <c r="A309" s="167" t="str">
        <f t="shared" si="138"/>
        <v/>
      </c>
      <c r="B309" s="168" t="str" cm="1">
        <f t="array" ref="B309">IF(BI309="","",INDEX(pjName,BI309))</f>
        <v/>
      </c>
      <c r="C309" s="167" t="str" cm="1">
        <f t="array" ref="C309">IF(BI309="","",IF(INDEX(pjStatus,BI309)="","",INDEX(pjStatus,BI309)))</f>
        <v/>
      </c>
      <c r="D309" s="167" t="str" cm="1">
        <f t="array" ref="D309">IFERROR(INDEX(tblStaff[Initials],BN309),"")</f>
        <v>DF</v>
      </c>
      <c r="E309" s="169" t="str" cm="1">
        <f t="array" ref="E309">IF(OR(BI309="",D309=""),"",IFERROR(SUMPRODUCT((pjNo=A309)*(pjType="Phase")*INDEX(Projects!$I$5:$O$1188,0,MATCH(D309,Projects!$I$4:$O$4,0))*pjWk),0))</f>
        <v/>
      </c>
      <c r="F309" s="169" t="str">
        <f t="shared" si="139"/>
        <v/>
      </c>
      <c r="G309" s="169" t="str">
        <f t="shared" si="140"/>
        <v/>
      </c>
      <c r="H309" s="170"/>
      <c r="I309" s="170"/>
      <c r="J309" s="170"/>
      <c r="K309" s="170"/>
      <c r="L309" s="170"/>
      <c r="M309" s="170"/>
      <c r="N309" s="170"/>
      <c r="O309" s="170"/>
      <c r="P309" s="170"/>
      <c r="Q309" s="170"/>
      <c r="R309" s="170"/>
      <c r="S309" s="170"/>
      <c r="T309" s="170"/>
      <c r="U309" s="170"/>
      <c r="V309" s="170"/>
      <c r="W309" s="170"/>
      <c r="X309" s="170"/>
      <c r="Y309" s="170"/>
      <c r="Z309" s="170"/>
      <c r="AA309" s="170"/>
      <c r="AB309" s="170"/>
      <c r="AC309" s="170"/>
      <c r="AD309" s="170"/>
      <c r="AE309" s="170"/>
      <c r="AF309" s="170"/>
      <c r="AG309" s="170"/>
      <c r="AH309" s="170"/>
      <c r="AI309" s="170"/>
      <c r="AJ309" s="170"/>
      <c r="AK309" s="170"/>
      <c r="AL309" s="170"/>
      <c r="AM309" s="170"/>
      <c r="AN309" s="170"/>
      <c r="AO309" s="170"/>
      <c r="AP309" s="170"/>
      <c r="AQ309" s="170"/>
      <c r="AR309" s="170"/>
      <c r="AS309" s="170"/>
      <c r="AT309" s="170"/>
      <c r="AU309" s="170"/>
      <c r="AV309" s="170"/>
      <c r="AW309" s="170"/>
      <c r="AX309" s="170"/>
      <c r="AY309" s="170"/>
      <c r="AZ309" s="170"/>
      <c r="BA309" s="170"/>
      <c r="BB309" s="170"/>
      <c r="BC309" s="170"/>
      <c r="BD309" s="170"/>
      <c r="BE309" s="170"/>
      <c r="BF309" s="170"/>
      <c r="BG309" s="170"/>
      <c r="BH309" s="36"/>
      <c r="BI309" s="150" t="str" cm="1">
        <f t="array" ref="BI309">IF(A309="","",IFERROR(MATCH(1,INDEX((pjNo=A309)*(pjType="Project"),0),0),""))</f>
        <v/>
      </c>
      <c r="BJ309" s="150" t="str">
        <f>IF(D309="","",IFERROR(INDEX(tblStaff[Staff Level],MATCH(D309,tblStaff[Initials],0)),"?"))</f>
        <v>Principal</v>
      </c>
      <c r="BK309" s="151" t="str" cm="1">
        <f t="array" ref="BK309">IF(BI309="","",INDEX(pjStart,BI309))</f>
        <v/>
      </c>
      <c r="BL309" s="151" t="str" cm="1">
        <f t="array" ref="BL309">IF(BI309="","",INDEX(pjEnd,BI309))</f>
        <v/>
      </c>
      <c r="BM309" s="150">
        <f>IF(BI309="",0,IF(C309="Active",1,IF(C309="Prospective",IF(Assumptions!$B$6="Active only",0,Assumptions!$B$7),0)))</f>
        <v>0</v>
      </c>
      <c r="BN309" s="150">
        <v>2</v>
      </c>
      <c r="BO309" s="36"/>
      <c r="BP309" s="36"/>
    </row>
    <row r="310" spans="1:68" hidden="1" outlineLevel="1" x14ac:dyDescent="0.25">
      <c r="A310" s="158" t="str">
        <f t="shared" si="138"/>
        <v/>
      </c>
      <c r="B310" s="157" t="str" cm="1">
        <f t="array" ref="B310">IF(BI310="","",INDEX(pjName,BI310))</f>
        <v/>
      </c>
      <c r="C310" s="158" t="str" cm="1">
        <f t="array" ref="C310">IF(BI310="","",IF(INDEX(pjStatus,BI310)="","",INDEX(pjStatus,BI310)))</f>
        <v/>
      </c>
      <c r="D310" s="158" t="str" cm="1">
        <f t="array" ref="D310">IFERROR(INDEX(tblStaff[Initials],BN310),"")</f>
        <v>KJ</v>
      </c>
      <c r="E310" s="159" t="str" cm="1">
        <f t="array" ref="E310">IF(OR(BI310="",D310=""),"",IFERROR(SUMPRODUCT((pjNo=A310)*(pjType="Phase")*INDEX(Projects!$I$5:$O$1188,0,MATCH(D310,Projects!$I$4:$O$4,0))*pjWk),0))</f>
        <v/>
      </c>
      <c r="F310" s="159" t="str">
        <f t="shared" si="139"/>
        <v/>
      </c>
      <c r="G310" s="159" t="str">
        <f t="shared" si="140"/>
        <v/>
      </c>
      <c r="H310" s="160"/>
      <c r="I310" s="160"/>
      <c r="J310" s="160"/>
      <c r="K310" s="160"/>
      <c r="L310" s="160"/>
      <c r="M310" s="160"/>
      <c r="N310" s="160"/>
      <c r="O310" s="160"/>
      <c r="P310" s="160"/>
      <c r="Q310" s="160"/>
      <c r="R310" s="160"/>
      <c r="S310" s="160"/>
      <c r="T310" s="160"/>
      <c r="U310" s="160"/>
      <c r="V310" s="160"/>
      <c r="W310" s="160"/>
      <c r="X310" s="160"/>
      <c r="Y310" s="160"/>
      <c r="Z310" s="160"/>
      <c r="AA310" s="160"/>
      <c r="AB310" s="160"/>
      <c r="AC310" s="160"/>
      <c r="AD310" s="160"/>
      <c r="AE310" s="160"/>
      <c r="AF310" s="160"/>
      <c r="AG310" s="160"/>
      <c r="AH310" s="160"/>
      <c r="AI310" s="160"/>
      <c r="AJ310" s="160"/>
      <c r="AK310" s="160"/>
      <c r="AL310" s="160"/>
      <c r="AM310" s="160"/>
      <c r="AN310" s="160"/>
      <c r="AO310" s="160"/>
      <c r="AP310" s="160"/>
      <c r="AQ310" s="160"/>
      <c r="AR310" s="160"/>
      <c r="AS310" s="160"/>
      <c r="AT310" s="160"/>
      <c r="AU310" s="160"/>
      <c r="AV310" s="160"/>
      <c r="AW310" s="160"/>
      <c r="AX310" s="160"/>
      <c r="AY310" s="160"/>
      <c r="AZ310" s="160"/>
      <c r="BA310" s="160"/>
      <c r="BB310" s="160"/>
      <c r="BC310" s="160"/>
      <c r="BD310" s="160"/>
      <c r="BE310" s="160"/>
      <c r="BF310" s="160"/>
      <c r="BG310" s="160"/>
      <c r="BH310" s="36"/>
      <c r="BI310" s="150" t="str" cm="1">
        <f t="array" ref="BI310">IF(A310="","",IFERROR(MATCH(1,INDEX((pjNo=A310)*(pjType="Project"),0),0),""))</f>
        <v/>
      </c>
      <c r="BJ310" s="150" t="str">
        <f>IF(D310="","",IFERROR(INDEX(tblStaff[Staff Level],MATCH(D310,tblStaff[Initials],0)),"?"))</f>
        <v>Director</v>
      </c>
      <c r="BK310" s="151" t="str" cm="1">
        <f t="array" ref="BK310">IF(BI310="","",INDEX(pjStart,BI310))</f>
        <v/>
      </c>
      <c r="BL310" s="151" t="str" cm="1">
        <f t="array" ref="BL310">IF(BI310="","",INDEX(pjEnd,BI310))</f>
        <v/>
      </c>
      <c r="BM310" s="150">
        <f>IF(BI310="",0,IF(C310="Active",1,IF(C310="Prospective",IF(Assumptions!$B$6="Active only",0,Assumptions!$B$7),0)))</f>
        <v>0</v>
      </c>
      <c r="BN310" s="150">
        <v>3</v>
      </c>
      <c r="BO310" s="36"/>
      <c r="BP310" s="36"/>
    </row>
    <row r="311" spans="1:68" hidden="1" outlineLevel="1" x14ac:dyDescent="0.25">
      <c r="A311" s="158" t="str">
        <f t="shared" si="138"/>
        <v/>
      </c>
      <c r="B311" s="157" t="str" cm="1">
        <f t="array" ref="B311">IF(BI311="","",INDEX(pjName,BI311))</f>
        <v/>
      </c>
      <c r="C311" s="158" t="str" cm="1">
        <f t="array" ref="C311">IF(BI311="","",IF(INDEX(pjStatus,BI311)="","",INDEX(pjStatus,BI311)))</f>
        <v/>
      </c>
      <c r="D311" s="158" t="str" cm="1">
        <f t="array" ref="D311">IFERROR(INDEX(tblStaff[Initials],BN311),"")</f>
        <v>HL</v>
      </c>
      <c r="E311" s="159" t="str" cm="1">
        <f t="array" ref="E311">IF(OR(BI311="",D311=""),"",IFERROR(SUMPRODUCT((pjNo=A311)*(pjType="Phase")*INDEX(Projects!$I$5:$O$1188,0,MATCH(D311,Projects!$I$4:$O$4,0))*pjWk),0))</f>
        <v/>
      </c>
      <c r="F311" s="159" t="str">
        <f t="shared" si="139"/>
        <v/>
      </c>
      <c r="G311" s="159" t="str">
        <f t="shared" si="140"/>
        <v/>
      </c>
      <c r="H311" s="160"/>
      <c r="I311" s="160"/>
      <c r="J311" s="160"/>
      <c r="K311" s="160"/>
      <c r="L311" s="160"/>
      <c r="M311" s="160"/>
      <c r="N311" s="160"/>
      <c r="O311" s="160"/>
      <c r="P311" s="160"/>
      <c r="Q311" s="160"/>
      <c r="R311" s="160"/>
      <c r="S311" s="160"/>
      <c r="T311" s="160"/>
      <c r="U311" s="160"/>
      <c r="V311" s="160"/>
      <c r="W311" s="160"/>
      <c r="X311" s="160"/>
      <c r="Y311" s="160"/>
      <c r="Z311" s="160"/>
      <c r="AA311" s="160"/>
      <c r="AB311" s="160"/>
      <c r="AC311" s="160"/>
      <c r="AD311" s="160"/>
      <c r="AE311" s="160"/>
      <c r="AF311" s="160"/>
      <c r="AG311" s="160"/>
      <c r="AH311" s="160"/>
      <c r="AI311" s="160"/>
      <c r="AJ311" s="160"/>
      <c r="AK311" s="160"/>
      <c r="AL311" s="160"/>
      <c r="AM311" s="160"/>
      <c r="AN311" s="160"/>
      <c r="AO311" s="160"/>
      <c r="AP311" s="160"/>
      <c r="AQ311" s="160"/>
      <c r="AR311" s="160"/>
      <c r="AS311" s="160"/>
      <c r="AT311" s="160"/>
      <c r="AU311" s="160"/>
      <c r="AV311" s="160"/>
      <c r="AW311" s="160"/>
      <c r="AX311" s="160"/>
      <c r="AY311" s="160"/>
      <c r="AZ311" s="160"/>
      <c r="BA311" s="160"/>
      <c r="BB311" s="160"/>
      <c r="BC311" s="160"/>
      <c r="BD311" s="160"/>
      <c r="BE311" s="160"/>
      <c r="BF311" s="160"/>
      <c r="BG311" s="160"/>
      <c r="BH311" s="36"/>
      <c r="BI311" s="150" t="str" cm="1">
        <f t="array" ref="BI311">IF(A311="","",IFERROR(MATCH(1,INDEX((pjNo=A311)*(pjType="Project"),0),0),""))</f>
        <v/>
      </c>
      <c r="BJ311" s="150" t="str">
        <f>IF(D311="","",IFERROR(INDEX(tblStaff[Staff Level],MATCH(D311,tblStaff[Initials],0)),"?"))</f>
        <v>Senior Designer</v>
      </c>
      <c r="BK311" s="151" t="str" cm="1">
        <f t="array" ref="BK311">IF(BI311="","",INDEX(pjStart,BI311))</f>
        <v/>
      </c>
      <c r="BL311" s="151" t="str" cm="1">
        <f t="array" ref="BL311">IF(BI311="","",INDEX(pjEnd,BI311))</f>
        <v/>
      </c>
      <c r="BM311" s="150">
        <f>IF(BI311="",0,IF(C311="Active",1,IF(C311="Prospective",IF(Assumptions!$B$6="Active only",0,Assumptions!$B$7),0)))</f>
        <v>0</v>
      </c>
      <c r="BN311" s="150">
        <v>4</v>
      </c>
      <c r="BO311" s="36"/>
      <c r="BP311" s="36"/>
    </row>
    <row r="312" spans="1:68" hidden="1" outlineLevel="1" x14ac:dyDescent="0.25">
      <c r="A312" s="158" t="str">
        <f t="shared" si="138"/>
        <v/>
      </c>
      <c r="B312" s="157" t="str" cm="1">
        <f t="array" ref="B312">IF(BI312="","",INDEX(pjName,BI312))</f>
        <v/>
      </c>
      <c r="C312" s="158" t="str" cm="1">
        <f t="array" ref="C312">IF(BI312="","",IF(INDEX(pjStatus,BI312)="","",INDEX(pjStatus,BI312)))</f>
        <v/>
      </c>
      <c r="D312" s="158" t="str" cm="1">
        <f t="array" ref="D312">IFERROR(INDEX(tblStaff[Initials],BN312),"")</f>
        <v>EHH</v>
      </c>
      <c r="E312" s="159" t="str" cm="1">
        <f t="array" ref="E312">IF(OR(BI312="",D312=""),"",IFERROR(SUMPRODUCT((pjNo=A312)*(pjType="Phase")*INDEX(Projects!$I$5:$O$1188,0,MATCH(D312,Projects!$I$4:$O$4,0))*pjWk),0))</f>
        <v/>
      </c>
      <c r="F312" s="159" t="str">
        <f t="shared" si="139"/>
        <v/>
      </c>
      <c r="G312" s="159" t="str">
        <f t="shared" si="140"/>
        <v/>
      </c>
      <c r="H312" s="160"/>
      <c r="I312" s="160"/>
      <c r="J312" s="160"/>
      <c r="K312" s="160"/>
      <c r="L312" s="160"/>
      <c r="M312" s="160"/>
      <c r="N312" s="160"/>
      <c r="O312" s="160"/>
      <c r="P312" s="160"/>
      <c r="Q312" s="160"/>
      <c r="R312" s="160"/>
      <c r="S312" s="160"/>
      <c r="T312" s="160"/>
      <c r="U312" s="160"/>
      <c r="V312" s="160"/>
      <c r="W312" s="160"/>
      <c r="X312" s="160"/>
      <c r="Y312" s="160"/>
      <c r="Z312" s="160"/>
      <c r="AA312" s="160"/>
      <c r="AB312" s="160"/>
      <c r="AC312" s="160"/>
      <c r="AD312" s="160"/>
      <c r="AE312" s="160"/>
      <c r="AF312" s="160"/>
      <c r="AG312" s="160"/>
      <c r="AH312" s="160"/>
      <c r="AI312" s="160"/>
      <c r="AJ312" s="160"/>
      <c r="AK312" s="160"/>
      <c r="AL312" s="160"/>
      <c r="AM312" s="160"/>
      <c r="AN312" s="160"/>
      <c r="AO312" s="160"/>
      <c r="AP312" s="160"/>
      <c r="AQ312" s="160"/>
      <c r="AR312" s="160"/>
      <c r="AS312" s="160"/>
      <c r="AT312" s="160"/>
      <c r="AU312" s="160"/>
      <c r="AV312" s="160"/>
      <c r="AW312" s="160"/>
      <c r="AX312" s="160"/>
      <c r="AY312" s="160"/>
      <c r="AZ312" s="160"/>
      <c r="BA312" s="160"/>
      <c r="BB312" s="160"/>
      <c r="BC312" s="160"/>
      <c r="BD312" s="160"/>
      <c r="BE312" s="160"/>
      <c r="BF312" s="160"/>
      <c r="BG312" s="160"/>
      <c r="BH312" s="36"/>
      <c r="BI312" s="150" t="str" cm="1">
        <f t="array" ref="BI312">IF(A312="","",IFERROR(MATCH(1,INDEX((pjNo=A312)*(pjType="Project"),0),0),""))</f>
        <v/>
      </c>
      <c r="BJ312" s="150" t="str">
        <f>IF(D312="","",IFERROR(INDEX(tblStaff[Staff Level],MATCH(D312,tblStaff[Initials],0)),"?"))</f>
        <v>Mid Level Designer</v>
      </c>
      <c r="BK312" s="151" t="str" cm="1">
        <f t="array" ref="BK312">IF(BI312="","",INDEX(pjStart,BI312))</f>
        <v/>
      </c>
      <c r="BL312" s="151" t="str" cm="1">
        <f t="array" ref="BL312">IF(BI312="","",INDEX(pjEnd,BI312))</f>
        <v/>
      </c>
      <c r="BM312" s="150">
        <f>IF(BI312="",0,IF(C312="Active",1,IF(C312="Prospective",IF(Assumptions!$B$6="Active only",0,Assumptions!$B$7),0)))</f>
        <v>0</v>
      </c>
      <c r="BN312" s="150">
        <v>5</v>
      </c>
      <c r="BO312" s="36"/>
      <c r="BP312" s="36"/>
    </row>
    <row r="313" spans="1:68" hidden="1" outlineLevel="1" x14ac:dyDescent="0.25">
      <c r="A313" s="158" t="str">
        <f t="shared" si="138"/>
        <v/>
      </c>
      <c r="B313" s="157" t="str" cm="1">
        <f t="array" ref="B313">IF(BI313="","",INDEX(pjName,BI313))</f>
        <v/>
      </c>
      <c r="C313" s="158" t="str" cm="1">
        <f t="array" ref="C313">IF(BI313="","",IF(INDEX(pjStatus,BI313)="","",INDEX(pjStatus,BI313)))</f>
        <v/>
      </c>
      <c r="D313" s="158" t="str" cm="1">
        <f t="array" ref="D313">IFERROR(INDEX(tblStaff[Initials],BN313),"")</f>
        <v>KD</v>
      </c>
      <c r="E313" s="159" t="str" cm="1">
        <f t="array" ref="E313">IF(OR(BI313="",D313=""),"",IFERROR(SUMPRODUCT((pjNo=A313)*(pjType="Phase")*INDEX(Projects!$I$5:$O$1188,0,MATCH(D313,Projects!$I$4:$O$4,0))*pjWk),0))</f>
        <v/>
      </c>
      <c r="F313" s="159" t="str">
        <f t="shared" si="139"/>
        <v/>
      </c>
      <c r="G313" s="159" t="str">
        <f t="shared" si="140"/>
        <v/>
      </c>
      <c r="H313" s="160"/>
      <c r="I313" s="160"/>
      <c r="J313" s="160"/>
      <c r="K313" s="160"/>
      <c r="L313" s="160"/>
      <c r="M313" s="160"/>
      <c r="N313" s="160"/>
      <c r="O313" s="160"/>
      <c r="P313" s="160"/>
      <c r="Q313" s="160"/>
      <c r="R313" s="160"/>
      <c r="S313" s="160"/>
      <c r="T313" s="160"/>
      <c r="U313" s="160"/>
      <c r="V313" s="160"/>
      <c r="W313" s="160"/>
      <c r="X313" s="160"/>
      <c r="Y313" s="160"/>
      <c r="Z313" s="160"/>
      <c r="AA313" s="160"/>
      <c r="AB313" s="160"/>
      <c r="AC313" s="160"/>
      <c r="AD313" s="160"/>
      <c r="AE313" s="160"/>
      <c r="AF313" s="160"/>
      <c r="AG313" s="160"/>
      <c r="AH313" s="160"/>
      <c r="AI313" s="160"/>
      <c r="AJ313" s="160"/>
      <c r="AK313" s="160"/>
      <c r="AL313" s="160"/>
      <c r="AM313" s="160"/>
      <c r="AN313" s="160"/>
      <c r="AO313" s="160"/>
      <c r="AP313" s="160"/>
      <c r="AQ313" s="160"/>
      <c r="AR313" s="160"/>
      <c r="AS313" s="160"/>
      <c r="AT313" s="160"/>
      <c r="AU313" s="160"/>
      <c r="AV313" s="160"/>
      <c r="AW313" s="160"/>
      <c r="AX313" s="160"/>
      <c r="AY313" s="160"/>
      <c r="AZ313" s="160"/>
      <c r="BA313" s="160"/>
      <c r="BB313" s="160"/>
      <c r="BC313" s="160"/>
      <c r="BD313" s="160"/>
      <c r="BE313" s="160"/>
      <c r="BF313" s="160"/>
      <c r="BG313" s="160"/>
      <c r="BH313" s="36"/>
      <c r="BI313" s="150" t="str" cm="1">
        <f t="array" ref="BI313">IF(A313="","",IFERROR(MATCH(1,INDEX((pjNo=A313)*(pjType="Project"),0),0),""))</f>
        <v/>
      </c>
      <c r="BJ313" s="150" t="str">
        <f>IF(D313="","",IFERROR(INDEX(tblStaff[Staff Level],MATCH(D313,tblStaff[Initials],0)),"?"))</f>
        <v>Mid Level Designer</v>
      </c>
      <c r="BK313" s="151" t="str" cm="1">
        <f t="array" ref="BK313">IF(BI313="","",INDEX(pjStart,BI313))</f>
        <v/>
      </c>
      <c r="BL313" s="151" t="str" cm="1">
        <f t="array" ref="BL313">IF(BI313="","",INDEX(pjEnd,BI313))</f>
        <v/>
      </c>
      <c r="BM313" s="150">
        <f>IF(BI313="",0,IF(C313="Active",1,IF(C313="Prospective",IF(Assumptions!$B$6="Active only",0,Assumptions!$B$7),0)))</f>
        <v>0</v>
      </c>
      <c r="BN313" s="150">
        <v>6</v>
      </c>
      <c r="BO313" s="36"/>
      <c r="BP313" s="36"/>
    </row>
    <row r="314" spans="1:68" hidden="1" outlineLevel="1" x14ac:dyDescent="0.25">
      <c r="A314" s="158" t="str">
        <f t="shared" si="138"/>
        <v/>
      </c>
      <c r="B314" s="157" t="str" cm="1">
        <f t="array" ref="B314">IF(BI314="","",INDEX(pjName,BI314))</f>
        <v/>
      </c>
      <c r="C314" s="158" t="str" cm="1">
        <f t="array" ref="C314">IF(BI314="","",IF(INDEX(pjStatus,BI314)="","",INDEX(pjStatus,BI314)))</f>
        <v/>
      </c>
      <c r="D314" s="158" t="str" cm="1">
        <f t="array" ref="D314">IFERROR(INDEX(tblStaff[Initials],BN314),"")</f>
        <v>XX</v>
      </c>
      <c r="E314" s="159" t="str" cm="1">
        <f t="array" ref="E314">IF(OR(BI314="",D314=""),"",IFERROR(SUMPRODUCT((pjNo=A314)*(pjType="Phase")*INDEX(Projects!$I$5:$O$1188,0,MATCH(D314,Projects!$I$4:$O$4,0))*pjWk),0))</f>
        <v/>
      </c>
      <c r="F314" s="159" t="str">
        <f t="shared" si="139"/>
        <v/>
      </c>
      <c r="G314" s="159" t="str">
        <f t="shared" si="140"/>
        <v/>
      </c>
      <c r="H314" s="160"/>
      <c r="I314" s="160"/>
      <c r="J314" s="160"/>
      <c r="K314" s="160"/>
      <c r="L314" s="160"/>
      <c r="M314" s="160"/>
      <c r="N314" s="160"/>
      <c r="O314" s="160"/>
      <c r="P314" s="160"/>
      <c r="Q314" s="160"/>
      <c r="R314" s="160"/>
      <c r="S314" s="160"/>
      <c r="T314" s="160"/>
      <c r="U314" s="160"/>
      <c r="V314" s="160"/>
      <c r="W314" s="160"/>
      <c r="X314" s="160"/>
      <c r="Y314" s="160"/>
      <c r="Z314" s="160"/>
      <c r="AA314" s="160"/>
      <c r="AB314" s="160"/>
      <c r="AC314" s="160"/>
      <c r="AD314" s="160"/>
      <c r="AE314" s="160"/>
      <c r="AF314" s="160"/>
      <c r="AG314" s="160"/>
      <c r="AH314" s="160"/>
      <c r="AI314" s="160"/>
      <c r="AJ314" s="160"/>
      <c r="AK314" s="160"/>
      <c r="AL314" s="160"/>
      <c r="AM314" s="160"/>
      <c r="AN314" s="160"/>
      <c r="AO314" s="160"/>
      <c r="AP314" s="160"/>
      <c r="AQ314" s="160"/>
      <c r="AR314" s="160"/>
      <c r="AS314" s="160"/>
      <c r="AT314" s="160"/>
      <c r="AU314" s="160"/>
      <c r="AV314" s="160"/>
      <c r="AW314" s="160"/>
      <c r="AX314" s="160"/>
      <c r="AY314" s="160"/>
      <c r="AZ314" s="160"/>
      <c r="BA314" s="160"/>
      <c r="BB314" s="160"/>
      <c r="BC314" s="160"/>
      <c r="BD314" s="160"/>
      <c r="BE314" s="160"/>
      <c r="BF314" s="160"/>
      <c r="BG314" s="160"/>
      <c r="BH314" s="36"/>
      <c r="BI314" s="150" t="str" cm="1">
        <f t="array" ref="BI314">IF(A314="","",IFERROR(MATCH(1,INDEX((pjNo=A314)*(pjType="Project"),0),0),""))</f>
        <v/>
      </c>
      <c r="BJ314" s="150" t="str">
        <f>IF(D314="","",IFERROR(INDEX(tblStaff[Staff Level],MATCH(D314,tblStaff[Initials],0)),"?"))</f>
        <v>Project Designer</v>
      </c>
      <c r="BK314" s="151" t="str" cm="1">
        <f t="array" ref="BK314">IF(BI314="","",INDEX(pjStart,BI314))</f>
        <v/>
      </c>
      <c r="BL314" s="151" t="str" cm="1">
        <f t="array" ref="BL314">IF(BI314="","",INDEX(pjEnd,BI314))</f>
        <v/>
      </c>
      <c r="BM314" s="150">
        <f>IF(BI314="",0,IF(C314="Active",1,IF(C314="Prospective",IF(Assumptions!$B$6="Active only",0,Assumptions!$B$7),0)))</f>
        <v>0</v>
      </c>
      <c r="BN314" s="150">
        <v>7</v>
      </c>
      <c r="BO314" s="36"/>
      <c r="BP314" s="36"/>
    </row>
    <row r="315" spans="1:68" hidden="1" outlineLevel="1" x14ac:dyDescent="0.25">
      <c r="A315" s="162" t="str">
        <f t="shared" si="138"/>
        <v/>
      </c>
      <c r="B315" s="161" t="str" cm="1">
        <f t="array" ref="B315">IF(BI315="","",INDEX(pjName,BI315))</f>
        <v/>
      </c>
      <c r="C315" s="162" t="str" cm="1">
        <f t="array" ref="C315">IF(BI315="","",IF(INDEX(pjStatus,BI315)="","",INDEX(pjStatus,BI315)))</f>
        <v/>
      </c>
      <c r="D315" s="162" t="str" cm="1">
        <f t="array" ref="D315">IFERROR(INDEX(tblStaff[Initials],BN315),"")</f>
        <v/>
      </c>
      <c r="E315" s="163" t="str" cm="1">
        <f t="array" ref="E315">IF(OR(BI315="",D315=""),"",IFERROR(SUMPRODUCT((pjNo=A315)*(pjType="Phase")*INDEX(Projects!$I$5:$O$1188,0,MATCH(D315,Projects!$I$4:$O$4,0))*pjWk),0))</f>
        <v/>
      </c>
      <c r="F315" s="163" t="str">
        <f t="shared" si="139"/>
        <v/>
      </c>
      <c r="G315" s="163" t="str">
        <f t="shared" si="140"/>
        <v/>
      </c>
      <c r="H315" s="164"/>
      <c r="I315" s="164"/>
      <c r="J315" s="164"/>
      <c r="K315" s="164"/>
      <c r="L315" s="164"/>
      <c r="M315" s="164"/>
      <c r="N315" s="164"/>
      <c r="O315" s="164"/>
      <c r="P315" s="164"/>
      <c r="Q315" s="164"/>
      <c r="R315" s="164"/>
      <c r="S315" s="164"/>
      <c r="T315" s="164"/>
      <c r="U315" s="164"/>
      <c r="V315" s="164"/>
      <c r="W315" s="164"/>
      <c r="X315" s="164"/>
      <c r="Y315" s="164"/>
      <c r="Z315" s="164"/>
      <c r="AA315" s="164"/>
      <c r="AB315" s="164"/>
      <c r="AC315" s="164"/>
      <c r="AD315" s="164"/>
      <c r="AE315" s="164"/>
      <c r="AF315" s="164"/>
      <c r="AG315" s="164"/>
      <c r="AH315" s="164"/>
      <c r="AI315" s="164"/>
      <c r="AJ315" s="164"/>
      <c r="AK315" s="164"/>
      <c r="AL315" s="164"/>
      <c r="AM315" s="164"/>
      <c r="AN315" s="164"/>
      <c r="AO315" s="164"/>
      <c r="AP315" s="164"/>
      <c r="AQ315" s="164"/>
      <c r="AR315" s="164"/>
      <c r="AS315" s="164"/>
      <c r="AT315" s="164"/>
      <c r="AU315" s="164"/>
      <c r="AV315" s="164"/>
      <c r="AW315" s="164"/>
      <c r="AX315" s="164"/>
      <c r="AY315" s="164"/>
      <c r="AZ315" s="164"/>
      <c r="BA315" s="164"/>
      <c r="BB315" s="164"/>
      <c r="BC315" s="164"/>
      <c r="BD315" s="164"/>
      <c r="BE315" s="164"/>
      <c r="BF315" s="164"/>
      <c r="BG315" s="164"/>
      <c r="BH315" s="36"/>
      <c r="BI315" s="150" t="str" cm="1">
        <f t="array" ref="BI315">IF(A315="","",IFERROR(MATCH(1,INDEX((pjNo=A315)*(pjType="Project"),0),0),""))</f>
        <v/>
      </c>
      <c r="BJ315" s="150" t="str">
        <f>IF(D315="","",IFERROR(INDEX(tblStaff[Staff Level],MATCH(D315,tblStaff[Initials],0)),"?"))</f>
        <v/>
      </c>
      <c r="BK315" s="151" t="str" cm="1">
        <f t="array" ref="BK315">IF(BI315="","",INDEX(pjStart,BI315))</f>
        <v/>
      </c>
      <c r="BL315" s="151" t="str" cm="1">
        <f t="array" ref="BL315">IF(BI315="","",INDEX(pjEnd,BI315))</f>
        <v/>
      </c>
      <c r="BM315" s="150">
        <f>IF(BI315="",0,IF(C315="Active",1,IF(C315="Prospective",IF(Assumptions!$B$6="Active only",0,Assumptions!$B$7),0)))</f>
        <v>0</v>
      </c>
      <c r="BN315" s="150">
        <v>8</v>
      </c>
      <c r="BO315" s="36"/>
      <c r="BP315" s="36"/>
    </row>
    <row r="316" spans="1:68" collapsed="1" x14ac:dyDescent="0.25">
      <c r="A316" s="171"/>
      <c r="B316" s="173" t="str">
        <f>IF(A317="","",A317&amp;" · "&amp;B317)</f>
        <v/>
      </c>
      <c r="C316" s="171" t="str">
        <f>IF(A317="","",C317)</f>
        <v/>
      </c>
      <c r="D316" s="171"/>
      <c r="E316" s="172">
        <f>SUM(E317:E324)</f>
        <v>0</v>
      </c>
      <c r="F316" s="172">
        <f>SUM(F317:F324)</f>
        <v>0</v>
      </c>
      <c r="G316" s="172" t="str">
        <f>IF(E316=0,"",E316-F316)</f>
        <v/>
      </c>
      <c r="H316" s="174">
        <f t="shared" ref="H316:AM316" si="141">SUM(H317:H324)</f>
        <v>0</v>
      </c>
      <c r="I316" s="174">
        <f t="shared" si="141"/>
        <v>0</v>
      </c>
      <c r="J316" s="174">
        <f t="shared" si="141"/>
        <v>0</v>
      </c>
      <c r="K316" s="174">
        <f t="shared" si="141"/>
        <v>0</v>
      </c>
      <c r="L316" s="174">
        <f t="shared" si="141"/>
        <v>0</v>
      </c>
      <c r="M316" s="174">
        <f t="shared" si="141"/>
        <v>0</v>
      </c>
      <c r="N316" s="174">
        <f t="shared" si="141"/>
        <v>0</v>
      </c>
      <c r="O316" s="174">
        <f t="shared" si="141"/>
        <v>0</v>
      </c>
      <c r="P316" s="174">
        <f t="shared" si="141"/>
        <v>0</v>
      </c>
      <c r="Q316" s="174">
        <f t="shared" si="141"/>
        <v>0</v>
      </c>
      <c r="R316" s="174">
        <f t="shared" si="141"/>
        <v>0</v>
      </c>
      <c r="S316" s="174">
        <f t="shared" si="141"/>
        <v>0</v>
      </c>
      <c r="T316" s="174">
        <f t="shared" si="141"/>
        <v>0</v>
      </c>
      <c r="U316" s="174">
        <f t="shared" si="141"/>
        <v>0</v>
      </c>
      <c r="V316" s="174">
        <f t="shared" si="141"/>
        <v>0</v>
      </c>
      <c r="W316" s="174">
        <f t="shared" si="141"/>
        <v>0</v>
      </c>
      <c r="X316" s="174">
        <f t="shared" si="141"/>
        <v>0</v>
      </c>
      <c r="Y316" s="174">
        <f t="shared" si="141"/>
        <v>0</v>
      </c>
      <c r="Z316" s="174">
        <f t="shared" si="141"/>
        <v>0</v>
      </c>
      <c r="AA316" s="174">
        <f t="shared" si="141"/>
        <v>0</v>
      </c>
      <c r="AB316" s="174">
        <f t="shared" si="141"/>
        <v>0</v>
      </c>
      <c r="AC316" s="174">
        <f t="shared" si="141"/>
        <v>0</v>
      </c>
      <c r="AD316" s="174">
        <f t="shared" si="141"/>
        <v>0</v>
      </c>
      <c r="AE316" s="174">
        <f t="shared" si="141"/>
        <v>0</v>
      </c>
      <c r="AF316" s="174">
        <f t="shared" si="141"/>
        <v>0</v>
      </c>
      <c r="AG316" s="174">
        <f t="shared" si="141"/>
        <v>0</v>
      </c>
      <c r="AH316" s="174">
        <f t="shared" si="141"/>
        <v>0</v>
      </c>
      <c r="AI316" s="174">
        <f t="shared" si="141"/>
        <v>0</v>
      </c>
      <c r="AJ316" s="174">
        <f t="shared" si="141"/>
        <v>0</v>
      </c>
      <c r="AK316" s="174">
        <f t="shared" si="141"/>
        <v>0</v>
      </c>
      <c r="AL316" s="174">
        <f t="shared" si="141"/>
        <v>0</v>
      </c>
      <c r="AM316" s="174">
        <f t="shared" si="141"/>
        <v>0</v>
      </c>
      <c r="AN316" s="174">
        <f t="shared" ref="AN316:BG316" si="142">SUM(AN317:AN324)</f>
        <v>0</v>
      </c>
      <c r="AO316" s="174">
        <f t="shared" si="142"/>
        <v>0</v>
      </c>
      <c r="AP316" s="174">
        <f t="shared" si="142"/>
        <v>0</v>
      </c>
      <c r="AQ316" s="174">
        <f t="shared" si="142"/>
        <v>0</v>
      </c>
      <c r="AR316" s="174">
        <f t="shared" si="142"/>
        <v>0</v>
      </c>
      <c r="AS316" s="174">
        <f t="shared" si="142"/>
        <v>0</v>
      </c>
      <c r="AT316" s="174">
        <f t="shared" si="142"/>
        <v>0</v>
      </c>
      <c r="AU316" s="174">
        <f t="shared" si="142"/>
        <v>0</v>
      </c>
      <c r="AV316" s="174">
        <f t="shared" si="142"/>
        <v>0</v>
      </c>
      <c r="AW316" s="174">
        <f t="shared" si="142"/>
        <v>0</v>
      </c>
      <c r="AX316" s="174">
        <f t="shared" si="142"/>
        <v>0</v>
      </c>
      <c r="AY316" s="174">
        <f t="shared" si="142"/>
        <v>0</v>
      </c>
      <c r="AZ316" s="174">
        <f t="shared" si="142"/>
        <v>0</v>
      </c>
      <c r="BA316" s="174">
        <f t="shared" si="142"/>
        <v>0</v>
      </c>
      <c r="BB316" s="174">
        <f t="shared" si="142"/>
        <v>0</v>
      </c>
      <c r="BC316" s="174">
        <f t="shared" si="142"/>
        <v>0</v>
      </c>
      <c r="BD316" s="174">
        <f t="shared" si="142"/>
        <v>0</v>
      </c>
      <c r="BE316" s="174">
        <f t="shared" si="142"/>
        <v>0</v>
      </c>
      <c r="BF316" s="174">
        <f t="shared" si="142"/>
        <v>0</v>
      </c>
      <c r="BG316" s="174">
        <f t="shared" si="142"/>
        <v>0</v>
      </c>
      <c r="BH316" s="36"/>
      <c r="BI316" s="150"/>
      <c r="BJ316" s="150"/>
      <c r="BK316" s="151"/>
      <c r="BL316" s="151"/>
      <c r="BM316" s="150"/>
      <c r="BN316" s="150"/>
      <c r="BO316" s="36"/>
      <c r="BP316" s="36"/>
    </row>
    <row r="317" spans="1:68" hidden="1" outlineLevel="1" x14ac:dyDescent="0.25">
      <c r="A317" s="167" t="str">
        <f t="shared" ref="A317:A324" si="143">IF(N(INDEX($BP$20:$BP$67,6))=0,"",INDEX($BP$20:$BP$67,6))</f>
        <v/>
      </c>
      <c r="B317" s="168" t="str" cm="1">
        <f t="array" ref="B317">IF(BI317="","",INDEX(pjName,BI317))</f>
        <v/>
      </c>
      <c r="C317" s="167" t="str" cm="1">
        <f t="array" ref="C317">IF(BI317="","",IF(INDEX(pjStatus,BI317)="","",INDEX(pjStatus,BI317)))</f>
        <v/>
      </c>
      <c r="D317" s="167" t="str" cm="1">
        <f t="array" ref="D317">IFERROR(INDEX(tblStaff[Initials],BN317),"")</f>
        <v>PK</v>
      </c>
      <c r="E317" s="169" t="str" cm="1">
        <f t="array" ref="E317">IF(OR(BI317="",D317=""),"",IFERROR(SUMPRODUCT((pjNo=A317)*(pjType="Phase")*INDEX(Projects!$I$5:$O$1188,0,MATCH(D317,Projects!$I$4:$O$4,0))*pjWk),0))</f>
        <v/>
      </c>
      <c r="F317" s="169" t="str">
        <f t="shared" ref="F317:F324" si="144">IF(BI317="","",SUM(H317:BG317))</f>
        <v/>
      </c>
      <c r="G317" s="169" t="str">
        <f t="shared" ref="G317:G324" si="145">IF(OR(E317="",F317=""),"",E317-F317)</f>
        <v/>
      </c>
      <c r="H317" s="170"/>
      <c r="I317" s="170"/>
      <c r="J317" s="170"/>
      <c r="K317" s="170"/>
      <c r="L317" s="170"/>
      <c r="M317" s="170"/>
      <c r="N317" s="170"/>
      <c r="O317" s="170"/>
      <c r="P317" s="170"/>
      <c r="Q317" s="170"/>
      <c r="R317" s="170"/>
      <c r="S317" s="170"/>
      <c r="T317" s="170"/>
      <c r="U317" s="170"/>
      <c r="V317" s="170"/>
      <c r="W317" s="170"/>
      <c r="X317" s="170"/>
      <c r="Y317" s="170"/>
      <c r="Z317" s="170"/>
      <c r="AA317" s="170"/>
      <c r="AB317" s="170"/>
      <c r="AC317" s="170"/>
      <c r="AD317" s="170"/>
      <c r="AE317" s="170"/>
      <c r="AF317" s="170"/>
      <c r="AG317" s="170"/>
      <c r="AH317" s="170"/>
      <c r="AI317" s="170"/>
      <c r="AJ317" s="170"/>
      <c r="AK317" s="170"/>
      <c r="AL317" s="170"/>
      <c r="AM317" s="170"/>
      <c r="AN317" s="170"/>
      <c r="AO317" s="170"/>
      <c r="AP317" s="170"/>
      <c r="AQ317" s="170"/>
      <c r="AR317" s="170"/>
      <c r="AS317" s="170"/>
      <c r="AT317" s="170"/>
      <c r="AU317" s="170"/>
      <c r="AV317" s="170"/>
      <c r="AW317" s="170"/>
      <c r="AX317" s="170"/>
      <c r="AY317" s="170"/>
      <c r="AZ317" s="170"/>
      <c r="BA317" s="170"/>
      <c r="BB317" s="170"/>
      <c r="BC317" s="170"/>
      <c r="BD317" s="170"/>
      <c r="BE317" s="170"/>
      <c r="BF317" s="170"/>
      <c r="BG317" s="170"/>
      <c r="BH317" s="36"/>
      <c r="BI317" s="150" t="str" cm="1">
        <f t="array" ref="BI317">IF(A317="","",IFERROR(MATCH(1,INDEX((pjNo=A317)*(pjType="Project"),0),0),""))</f>
        <v/>
      </c>
      <c r="BJ317" s="150" t="str">
        <f>IF(D317="","",IFERROR(INDEX(tblStaff[Staff Level],MATCH(D317,tblStaff[Initials],0)),"?"))</f>
        <v>Principal</v>
      </c>
      <c r="BK317" s="151" t="str" cm="1">
        <f t="array" ref="BK317">IF(BI317="","",INDEX(pjStart,BI317))</f>
        <v/>
      </c>
      <c r="BL317" s="151" t="str" cm="1">
        <f t="array" ref="BL317">IF(BI317="","",INDEX(pjEnd,BI317))</f>
        <v/>
      </c>
      <c r="BM317" s="150">
        <f>IF(BI317="",0,IF(C317="Active",1,IF(C317="Prospective",IF(Assumptions!$B$6="Active only",0,Assumptions!$B$7),0)))</f>
        <v>0</v>
      </c>
      <c r="BN317" s="150">
        <v>1</v>
      </c>
      <c r="BO317" s="36"/>
      <c r="BP317" s="36"/>
    </row>
    <row r="318" spans="1:68" hidden="1" outlineLevel="1" x14ac:dyDescent="0.25">
      <c r="A318" s="167" t="str">
        <f t="shared" si="143"/>
        <v/>
      </c>
      <c r="B318" s="168" t="str" cm="1">
        <f t="array" ref="B318">IF(BI318="","",INDEX(pjName,BI318))</f>
        <v/>
      </c>
      <c r="C318" s="167" t="str" cm="1">
        <f t="array" ref="C318">IF(BI318="","",IF(INDEX(pjStatus,BI318)="","",INDEX(pjStatus,BI318)))</f>
        <v/>
      </c>
      <c r="D318" s="167" t="str" cm="1">
        <f t="array" ref="D318">IFERROR(INDEX(tblStaff[Initials],BN318),"")</f>
        <v>DF</v>
      </c>
      <c r="E318" s="169" t="str" cm="1">
        <f t="array" ref="E318">IF(OR(BI318="",D318=""),"",IFERROR(SUMPRODUCT((pjNo=A318)*(pjType="Phase")*INDEX(Projects!$I$5:$O$1188,0,MATCH(D318,Projects!$I$4:$O$4,0))*pjWk),0))</f>
        <v/>
      </c>
      <c r="F318" s="169" t="str">
        <f t="shared" si="144"/>
        <v/>
      </c>
      <c r="G318" s="169" t="str">
        <f t="shared" si="145"/>
        <v/>
      </c>
      <c r="H318" s="170"/>
      <c r="I318" s="170"/>
      <c r="J318" s="170"/>
      <c r="K318" s="170"/>
      <c r="L318" s="170"/>
      <c r="M318" s="170"/>
      <c r="N318" s="170"/>
      <c r="O318" s="170"/>
      <c r="P318" s="170"/>
      <c r="Q318" s="170"/>
      <c r="R318" s="170"/>
      <c r="S318" s="170"/>
      <c r="T318" s="170"/>
      <c r="U318" s="170"/>
      <c r="V318" s="170"/>
      <c r="W318" s="170"/>
      <c r="X318" s="170"/>
      <c r="Y318" s="170"/>
      <c r="Z318" s="170"/>
      <c r="AA318" s="170"/>
      <c r="AB318" s="170"/>
      <c r="AC318" s="170"/>
      <c r="AD318" s="170"/>
      <c r="AE318" s="170"/>
      <c r="AF318" s="170"/>
      <c r="AG318" s="170"/>
      <c r="AH318" s="170"/>
      <c r="AI318" s="170"/>
      <c r="AJ318" s="170"/>
      <c r="AK318" s="170"/>
      <c r="AL318" s="170"/>
      <c r="AM318" s="170"/>
      <c r="AN318" s="170"/>
      <c r="AO318" s="170"/>
      <c r="AP318" s="170"/>
      <c r="AQ318" s="170"/>
      <c r="AR318" s="170"/>
      <c r="AS318" s="170"/>
      <c r="AT318" s="170"/>
      <c r="AU318" s="170"/>
      <c r="AV318" s="170"/>
      <c r="AW318" s="170"/>
      <c r="AX318" s="170"/>
      <c r="AY318" s="170"/>
      <c r="AZ318" s="170"/>
      <c r="BA318" s="170"/>
      <c r="BB318" s="170"/>
      <c r="BC318" s="170"/>
      <c r="BD318" s="170"/>
      <c r="BE318" s="170"/>
      <c r="BF318" s="170"/>
      <c r="BG318" s="170"/>
      <c r="BH318" s="36"/>
      <c r="BI318" s="150" t="str" cm="1">
        <f t="array" ref="BI318">IF(A318="","",IFERROR(MATCH(1,INDEX((pjNo=A318)*(pjType="Project"),0),0),""))</f>
        <v/>
      </c>
      <c r="BJ318" s="150" t="str">
        <f>IF(D318="","",IFERROR(INDEX(tblStaff[Staff Level],MATCH(D318,tblStaff[Initials],0)),"?"))</f>
        <v>Principal</v>
      </c>
      <c r="BK318" s="151" t="str" cm="1">
        <f t="array" ref="BK318">IF(BI318="","",INDEX(pjStart,BI318))</f>
        <v/>
      </c>
      <c r="BL318" s="151" t="str" cm="1">
        <f t="array" ref="BL318">IF(BI318="","",INDEX(pjEnd,BI318))</f>
        <v/>
      </c>
      <c r="BM318" s="150">
        <f>IF(BI318="",0,IF(C318="Active",1,IF(C318="Prospective",IF(Assumptions!$B$6="Active only",0,Assumptions!$B$7),0)))</f>
        <v>0</v>
      </c>
      <c r="BN318" s="150">
        <v>2</v>
      </c>
      <c r="BO318" s="36"/>
      <c r="BP318" s="36"/>
    </row>
    <row r="319" spans="1:68" hidden="1" outlineLevel="1" x14ac:dyDescent="0.25">
      <c r="A319" s="158" t="str">
        <f t="shared" si="143"/>
        <v/>
      </c>
      <c r="B319" s="157" t="str" cm="1">
        <f t="array" ref="B319">IF(BI319="","",INDEX(pjName,BI319))</f>
        <v/>
      </c>
      <c r="C319" s="158" t="str" cm="1">
        <f t="array" ref="C319">IF(BI319="","",IF(INDEX(pjStatus,BI319)="","",INDEX(pjStatus,BI319)))</f>
        <v/>
      </c>
      <c r="D319" s="158" t="str" cm="1">
        <f t="array" ref="D319">IFERROR(INDEX(tblStaff[Initials],BN319),"")</f>
        <v>KJ</v>
      </c>
      <c r="E319" s="159" t="str" cm="1">
        <f t="array" ref="E319">IF(OR(BI319="",D319=""),"",IFERROR(SUMPRODUCT((pjNo=A319)*(pjType="Phase")*INDEX(Projects!$I$5:$O$1188,0,MATCH(D319,Projects!$I$4:$O$4,0))*pjWk),0))</f>
        <v/>
      </c>
      <c r="F319" s="159" t="str">
        <f t="shared" si="144"/>
        <v/>
      </c>
      <c r="G319" s="159" t="str">
        <f t="shared" si="145"/>
        <v/>
      </c>
      <c r="H319" s="160"/>
      <c r="I319" s="160"/>
      <c r="J319" s="160"/>
      <c r="K319" s="160"/>
      <c r="L319" s="160"/>
      <c r="M319" s="160"/>
      <c r="N319" s="160"/>
      <c r="O319" s="160"/>
      <c r="P319" s="160"/>
      <c r="Q319" s="160"/>
      <c r="R319" s="160"/>
      <c r="S319" s="160"/>
      <c r="T319" s="160"/>
      <c r="U319" s="160"/>
      <c r="V319" s="160"/>
      <c r="W319" s="160"/>
      <c r="X319" s="160"/>
      <c r="Y319" s="160"/>
      <c r="Z319" s="160"/>
      <c r="AA319" s="160"/>
      <c r="AB319" s="160"/>
      <c r="AC319" s="160"/>
      <c r="AD319" s="160"/>
      <c r="AE319" s="160"/>
      <c r="AF319" s="160"/>
      <c r="AG319" s="160"/>
      <c r="AH319" s="160"/>
      <c r="AI319" s="160"/>
      <c r="AJ319" s="160"/>
      <c r="AK319" s="160"/>
      <c r="AL319" s="160"/>
      <c r="AM319" s="160"/>
      <c r="AN319" s="160"/>
      <c r="AO319" s="160"/>
      <c r="AP319" s="160"/>
      <c r="AQ319" s="160"/>
      <c r="AR319" s="160"/>
      <c r="AS319" s="160"/>
      <c r="AT319" s="160"/>
      <c r="AU319" s="160"/>
      <c r="AV319" s="160"/>
      <c r="AW319" s="160"/>
      <c r="AX319" s="160"/>
      <c r="AY319" s="160"/>
      <c r="AZ319" s="160"/>
      <c r="BA319" s="160"/>
      <c r="BB319" s="160"/>
      <c r="BC319" s="160"/>
      <c r="BD319" s="160"/>
      <c r="BE319" s="160"/>
      <c r="BF319" s="160"/>
      <c r="BG319" s="160"/>
      <c r="BH319" s="36"/>
      <c r="BI319" s="150" t="str" cm="1">
        <f t="array" ref="BI319">IF(A319="","",IFERROR(MATCH(1,INDEX((pjNo=A319)*(pjType="Project"),0),0),""))</f>
        <v/>
      </c>
      <c r="BJ319" s="150" t="str">
        <f>IF(D319="","",IFERROR(INDEX(tblStaff[Staff Level],MATCH(D319,tblStaff[Initials],0)),"?"))</f>
        <v>Director</v>
      </c>
      <c r="BK319" s="151" t="str" cm="1">
        <f t="array" ref="BK319">IF(BI319="","",INDEX(pjStart,BI319))</f>
        <v/>
      </c>
      <c r="BL319" s="151" t="str" cm="1">
        <f t="array" ref="BL319">IF(BI319="","",INDEX(pjEnd,BI319))</f>
        <v/>
      </c>
      <c r="BM319" s="150">
        <f>IF(BI319="",0,IF(C319="Active",1,IF(C319="Prospective",IF(Assumptions!$B$6="Active only",0,Assumptions!$B$7),0)))</f>
        <v>0</v>
      </c>
      <c r="BN319" s="150">
        <v>3</v>
      </c>
      <c r="BO319" s="36"/>
      <c r="BP319" s="36"/>
    </row>
    <row r="320" spans="1:68" hidden="1" outlineLevel="1" x14ac:dyDescent="0.25">
      <c r="A320" s="158" t="str">
        <f t="shared" si="143"/>
        <v/>
      </c>
      <c r="B320" s="157" t="str" cm="1">
        <f t="array" ref="B320">IF(BI320="","",INDEX(pjName,BI320))</f>
        <v/>
      </c>
      <c r="C320" s="158" t="str" cm="1">
        <f t="array" ref="C320">IF(BI320="","",IF(INDEX(pjStatus,BI320)="","",INDEX(pjStatus,BI320)))</f>
        <v/>
      </c>
      <c r="D320" s="158" t="str" cm="1">
        <f t="array" ref="D320">IFERROR(INDEX(tblStaff[Initials],BN320),"")</f>
        <v>HL</v>
      </c>
      <c r="E320" s="159" t="str" cm="1">
        <f t="array" ref="E320">IF(OR(BI320="",D320=""),"",IFERROR(SUMPRODUCT((pjNo=A320)*(pjType="Phase")*INDEX(Projects!$I$5:$O$1188,0,MATCH(D320,Projects!$I$4:$O$4,0))*pjWk),0))</f>
        <v/>
      </c>
      <c r="F320" s="159" t="str">
        <f t="shared" si="144"/>
        <v/>
      </c>
      <c r="G320" s="159" t="str">
        <f t="shared" si="145"/>
        <v/>
      </c>
      <c r="H320" s="160"/>
      <c r="I320" s="160"/>
      <c r="J320" s="160"/>
      <c r="K320" s="160"/>
      <c r="L320" s="160"/>
      <c r="M320" s="160"/>
      <c r="N320" s="160"/>
      <c r="O320" s="160"/>
      <c r="P320" s="160"/>
      <c r="Q320" s="160"/>
      <c r="R320" s="160"/>
      <c r="S320" s="160"/>
      <c r="T320" s="160"/>
      <c r="U320" s="160"/>
      <c r="V320" s="160"/>
      <c r="W320" s="160"/>
      <c r="X320" s="160"/>
      <c r="Y320" s="160"/>
      <c r="Z320" s="160"/>
      <c r="AA320" s="160"/>
      <c r="AB320" s="160"/>
      <c r="AC320" s="160"/>
      <c r="AD320" s="160"/>
      <c r="AE320" s="160"/>
      <c r="AF320" s="160"/>
      <c r="AG320" s="160"/>
      <c r="AH320" s="160"/>
      <c r="AI320" s="160"/>
      <c r="AJ320" s="160"/>
      <c r="AK320" s="160"/>
      <c r="AL320" s="160"/>
      <c r="AM320" s="160"/>
      <c r="AN320" s="160"/>
      <c r="AO320" s="160"/>
      <c r="AP320" s="160"/>
      <c r="AQ320" s="160"/>
      <c r="AR320" s="160"/>
      <c r="AS320" s="160"/>
      <c r="AT320" s="160"/>
      <c r="AU320" s="160"/>
      <c r="AV320" s="160"/>
      <c r="AW320" s="160"/>
      <c r="AX320" s="160"/>
      <c r="AY320" s="160"/>
      <c r="AZ320" s="160"/>
      <c r="BA320" s="160"/>
      <c r="BB320" s="160"/>
      <c r="BC320" s="160"/>
      <c r="BD320" s="160"/>
      <c r="BE320" s="160"/>
      <c r="BF320" s="160"/>
      <c r="BG320" s="160"/>
      <c r="BH320" s="36"/>
      <c r="BI320" s="150" t="str" cm="1">
        <f t="array" ref="BI320">IF(A320="","",IFERROR(MATCH(1,INDEX((pjNo=A320)*(pjType="Project"),0),0),""))</f>
        <v/>
      </c>
      <c r="BJ320" s="150" t="str">
        <f>IF(D320="","",IFERROR(INDEX(tblStaff[Staff Level],MATCH(D320,tblStaff[Initials],0)),"?"))</f>
        <v>Senior Designer</v>
      </c>
      <c r="BK320" s="151" t="str" cm="1">
        <f t="array" ref="BK320">IF(BI320="","",INDEX(pjStart,BI320))</f>
        <v/>
      </c>
      <c r="BL320" s="151" t="str" cm="1">
        <f t="array" ref="BL320">IF(BI320="","",INDEX(pjEnd,BI320))</f>
        <v/>
      </c>
      <c r="BM320" s="150">
        <f>IF(BI320="",0,IF(C320="Active",1,IF(C320="Prospective",IF(Assumptions!$B$6="Active only",0,Assumptions!$B$7),0)))</f>
        <v>0</v>
      </c>
      <c r="BN320" s="150">
        <v>4</v>
      </c>
      <c r="BO320" s="36"/>
      <c r="BP320" s="36"/>
    </row>
    <row r="321" spans="1:68" hidden="1" outlineLevel="1" x14ac:dyDescent="0.25">
      <c r="A321" s="158" t="str">
        <f t="shared" si="143"/>
        <v/>
      </c>
      <c r="B321" s="157" t="str" cm="1">
        <f t="array" ref="B321">IF(BI321="","",INDEX(pjName,BI321))</f>
        <v/>
      </c>
      <c r="C321" s="158" t="str" cm="1">
        <f t="array" ref="C321">IF(BI321="","",IF(INDEX(pjStatus,BI321)="","",INDEX(pjStatus,BI321)))</f>
        <v/>
      </c>
      <c r="D321" s="158" t="str" cm="1">
        <f t="array" ref="D321">IFERROR(INDEX(tblStaff[Initials],BN321),"")</f>
        <v>EHH</v>
      </c>
      <c r="E321" s="159" t="str" cm="1">
        <f t="array" ref="E321">IF(OR(BI321="",D321=""),"",IFERROR(SUMPRODUCT((pjNo=A321)*(pjType="Phase")*INDEX(Projects!$I$5:$O$1188,0,MATCH(D321,Projects!$I$4:$O$4,0))*pjWk),0))</f>
        <v/>
      </c>
      <c r="F321" s="159" t="str">
        <f t="shared" si="144"/>
        <v/>
      </c>
      <c r="G321" s="159" t="str">
        <f t="shared" si="145"/>
        <v/>
      </c>
      <c r="H321" s="160"/>
      <c r="I321" s="160"/>
      <c r="J321" s="160"/>
      <c r="K321" s="160"/>
      <c r="L321" s="160"/>
      <c r="M321" s="160"/>
      <c r="N321" s="160"/>
      <c r="O321" s="160"/>
      <c r="P321" s="160"/>
      <c r="Q321" s="160"/>
      <c r="R321" s="160"/>
      <c r="S321" s="160"/>
      <c r="T321" s="160"/>
      <c r="U321" s="160"/>
      <c r="V321" s="160"/>
      <c r="W321" s="160"/>
      <c r="X321" s="160"/>
      <c r="Y321" s="160"/>
      <c r="Z321" s="160"/>
      <c r="AA321" s="160"/>
      <c r="AB321" s="160"/>
      <c r="AC321" s="160"/>
      <c r="AD321" s="160"/>
      <c r="AE321" s="160"/>
      <c r="AF321" s="160"/>
      <c r="AG321" s="160"/>
      <c r="AH321" s="160"/>
      <c r="AI321" s="160"/>
      <c r="AJ321" s="160"/>
      <c r="AK321" s="160"/>
      <c r="AL321" s="160"/>
      <c r="AM321" s="160"/>
      <c r="AN321" s="160"/>
      <c r="AO321" s="160"/>
      <c r="AP321" s="160"/>
      <c r="AQ321" s="160"/>
      <c r="AR321" s="160"/>
      <c r="AS321" s="160"/>
      <c r="AT321" s="160"/>
      <c r="AU321" s="160"/>
      <c r="AV321" s="160"/>
      <c r="AW321" s="160"/>
      <c r="AX321" s="160"/>
      <c r="AY321" s="160"/>
      <c r="AZ321" s="160"/>
      <c r="BA321" s="160"/>
      <c r="BB321" s="160"/>
      <c r="BC321" s="160"/>
      <c r="BD321" s="160"/>
      <c r="BE321" s="160"/>
      <c r="BF321" s="160"/>
      <c r="BG321" s="160"/>
      <c r="BH321" s="36"/>
      <c r="BI321" s="150" t="str" cm="1">
        <f t="array" ref="BI321">IF(A321="","",IFERROR(MATCH(1,INDEX((pjNo=A321)*(pjType="Project"),0),0),""))</f>
        <v/>
      </c>
      <c r="BJ321" s="150" t="str">
        <f>IF(D321="","",IFERROR(INDEX(tblStaff[Staff Level],MATCH(D321,tblStaff[Initials],0)),"?"))</f>
        <v>Mid Level Designer</v>
      </c>
      <c r="BK321" s="151" t="str" cm="1">
        <f t="array" ref="BK321">IF(BI321="","",INDEX(pjStart,BI321))</f>
        <v/>
      </c>
      <c r="BL321" s="151" t="str" cm="1">
        <f t="array" ref="BL321">IF(BI321="","",INDEX(pjEnd,BI321))</f>
        <v/>
      </c>
      <c r="BM321" s="150">
        <f>IF(BI321="",0,IF(C321="Active",1,IF(C321="Prospective",IF(Assumptions!$B$6="Active only",0,Assumptions!$B$7),0)))</f>
        <v>0</v>
      </c>
      <c r="BN321" s="150">
        <v>5</v>
      </c>
      <c r="BO321" s="36"/>
      <c r="BP321" s="36"/>
    </row>
    <row r="322" spans="1:68" hidden="1" outlineLevel="1" x14ac:dyDescent="0.25">
      <c r="A322" s="158" t="str">
        <f t="shared" si="143"/>
        <v/>
      </c>
      <c r="B322" s="157" t="str" cm="1">
        <f t="array" ref="B322">IF(BI322="","",INDEX(pjName,BI322))</f>
        <v/>
      </c>
      <c r="C322" s="158" t="str" cm="1">
        <f t="array" ref="C322">IF(BI322="","",IF(INDEX(pjStatus,BI322)="","",INDEX(pjStatus,BI322)))</f>
        <v/>
      </c>
      <c r="D322" s="158" t="str" cm="1">
        <f t="array" ref="D322">IFERROR(INDEX(tblStaff[Initials],BN322),"")</f>
        <v>KD</v>
      </c>
      <c r="E322" s="159" t="str" cm="1">
        <f t="array" ref="E322">IF(OR(BI322="",D322=""),"",IFERROR(SUMPRODUCT((pjNo=A322)*(pjType="Phase")*INDEX(Projects!$I$5:$O$1188,0,MATCH(D322,Projects!$I$4:$O$4,0))*pjWk),0))</f>
        <v/>
      </c>
      <c r="F322" s="159" t="str">
        <f t="shared" si="144"/>
        <v/>
      </c>
      <c r="G322" s="159" t="str">
        <f t="shared" si="145"/>
        <v/>
      </c>
      <c r="H322" s="160"/>
      <c r="I322" s="160"/>
      <c r="J322" s="160"/>
      <c r="K322" s="160"/>
      <c r="L322" s="160"/>
      <c r="M322" s="160"/>
      <c r="N322" s="160"/>
      <c r="O322" s="160"/>
      <c r="P322" s="160"/>
      <c r="Q322" s="160"/>
      <c r="R322" s="160"/>
      <c r="S322" s="160"/>
      <c r="T322" s="160"/>
      <c r="U322" s="160"/>
      <c r="V322" s="160"/>
      <c r="W322" s="160"/>
      <c r="X322" s="160"/>
      <c r="Y322" s="160"/>
      <c r="Z322" s="160"/>
      <c r="AA322" s="160"/>
      <c r="AB322" s="160"/>
      <c r="AC322" s="160"/>
      <c r="AD322" s="160"/>
      <c r="AE322" s="160"/>
      <c r="AF322" s="160"/>
      <c r="AG322" s="160"/>
      <c r="AH322" s="160"/>
      <c r="AI322" s="160"/>
      <c r="AJ322" s="160"/>
      <c r="AK322" s="160"/>
      <c r="AL322" s="160"/>
      <c r="AM322" s="160"/>
      <c r="AN322" s="160"/>
      <c r="AO322" s="160"/>
      <c r="AP322" s="160"/>
      <c r="AQ322" s="160"/>
      <c r="AR322" s="160"/>
      <c r="AS322" s="160"/>
      <c r="AT322" s="160"/>
      <c r="AU322" s="160"/>
      <c r="AV322" s="160"/>
      <c r="AW322" s="160"/>
      <c r="AX322" s="160"/>
      <c r="AY322" s="160"/>
      <c r="AZ322" s="160"/>
      <c r="BA322" s="160"/>
      <c r="BB322" s="160"/>
      <c r="BC322" s="160"/>
      <c r="BD322" s="160"/>
      <c r="BE322" s="160"/>
      <c r="BF322" s="160"/>
      <c r="BG322" s="160"/>
      <c r="BH322" s="36"/>
      <c r="BI322" s="150" t="str" cm="1">
        <f t="array" ref="BI322">IF(A322="","",IFERROR(MATCH(1,INDEX((pjNo=A322)*(pjType="Project"),0),0),""))</f>
        <v/>
      </c>
      <c r="BJ322" s="150" t="str">
        <f>IF(D322="","",IFERROR(INDEX(tblStaff[Staff Level],MATCH(D322,tblStaff[Initials],0)),"?"))</f>
        <v>Mid Level Designer</v>
      </c>
      <c r="BK322" s="151" t="str" cm="1">
        <f t="array" ref="BK322">IF(BI322="","",INDEX(pjStart,BI322))</f>
        <v/>
      </c>
      <c r="BL322" s="151" t="str" cm="1">
        <f t="array" ref="BL322">IF(BI322="","",INDEX(pjEnd,BI322))</f>
        <v/>
      </c>
      <c r="BM322" s="150">
        <f>IF(BI322="",0,IF(C322="Active",1,IF(C322="Prospective",IF(Assumptions!$B$6="Active only",0,Assumptions!$B$7),0)))</f>
        <v>0</v>
      </c>
      <c r="BN322" s="150">
        <v>6</v>
      </c>
      <c r="BO322" s="36"/>
      <c r="BP322" s="36"/>
    </row>
    <row r="323" spans="1:68" hidden="1" outlineLevel="1" x14ac:dyDescent="0.25">
      <c r="A323" s="158" t="str">
        <f t="shared" si="143"/>
        <v/>
      </c>
      <c r="B323" s="157" t="str" cm="1">
        <f t="array" ref="B323">IF(BI323="","",INDEX(pjName,BI323))</f>
        <v/>
      </c>
      <c r="C323" s="158" t="str" cm="1">
        <f t="array" ref="C323">IF(BI323="","",IF(INDEX(pjStatus,BI323)="","",INDEX(pjStatus,BI323)))</f>
        <v/>
      </c>
      <c r="D323" s="158" t="str" cm="1">
        <f t="array" ref="D323">IFERROR(INDEX(tblStaff[Initials],BN323),"")</f>
        <v>XX</v>
      </c>
      <c r="E323" s="159" t="str" cm="1">
        <f t="array" ref="E323">IF(OR(BI323="",D323=""),"",IFERROR(SUMPRODUCT((pjNo=A323)*(pjType="Phase")*INDEX(Projects!$I$5:$O$1188,0,MATCH(D323,Projects!$I$4:$O$4,0))*pjWk),0))</f>
        <v/>
      </c>
      <c r="F323" s="159" t="str">
        <f t="shared" si="144"/>
        <v/>
      </c>
      <c r="G323" s="159" t="str">
        <f t="shared" si="145"/>
        <v/>
      </c>
      <c r="H323" s="160"/>
      <c r="I323" s="160"/>
      <c r="J323" s="160"/>
      <c r="K323" s="160"/>
      <c r="L323" s="160"/>
      <c r="M323" s="160"/>
      <c r="N323" s="160"/>
      <c r="O323" s="160"/>
      <c r="P323" s="160"/>
      <c r="Q323" s="160"/>
      <c r="R323" s="160"/>
      <c r="S323" s="160"/>
      <c r="T323" s="160"/>
      <c r="U323" s="160"/>
      <c r="V323" s="160"/>
      <c r="W323" s="160"/>
      <c r="X323" s="160"/>
      <c r="Y323" s="160"/>
      <c r="Z323" s="160"/>
      <c r="AA323" s="160"/>
      <c r="AB323" s="160"/>
      <c r="AC323" s="160"/>
      <c r="AD323" s="160"/>
      <c r="AE323" s="160"/>
      <c r="AF323" s="160"/>
      <c r="AG323" s="160"/>
      <c r="AH323" s="160"/>
      <c r="AI323" s="160"/>
      <c r="AJ323" s="160"/>
      <c r="AK323" s="160"/>
      <c r="AL323" s="160"/>
      <c r="AM323" s="160"/>
      <c r="AN323" s="160"/>
      <c r="AO323" s="160"/>
      <c r="AP323" s="160"/>
      <c r="AQ323" s="160"/>
      <c r="AR323" s="160"/>
      <c r="AS323" s="160"/>
      <c r="AT323" s="160"/>
      <c r="AU323" s="160"/>
      <c r="AV323" s="160"/>
      <c r="AW323" s="160"/>
      <c r="AX323" s="160"/>
      <c r="AY323" s="160"/>
      <c r="AZ323" s="160"/>
      <c r="BA323" s="160"/>
      <c r="BB323" s="160"/>
      <c r="BC323" s="160"/>
      <c r="BD323" s="160"/>
      <c r="BE323" s="160"/>
      <c r="BF323" s="160"/>
      <c r="BG323" s="160"/>
      <c r="BH323" s="36"/>
      <c r="BI323" s="150" t="str" cm="1">
        <f t="array" ref="BI323">IF(A323="","",IFERROR(MATCH(1,INDEX((pjNo=A323)*(pjType="Project"),0),0),""))</f>
        <v/>
      </c>
      <c r="BJ323" s="150" t="str">
        <f>IF(D323="","",IFERROR(INDEX(tblStaff[Staff Level],MATCH(D323,tblStaff[Initials],0)),"?"))</f>
        <v>Project Designer</v>
      </c>
      <c r="BK323" s="151" t="str" cm="1">
        <f t="array" ref="BK323">IF(BI323="","",INDEX(pjStart,BI323))</f>
        <v/>
      </c>
      <c r="BL323" s="151" t="str" cm="1">
        <f t="array" ref="BL323">IF(BI323="","",INDEX(pjEnd,BI323))</f>
        <v/>
      </c>
      <c r="BM323" s="150">
        <f>IF(BI323="",0,IF(C323="Active",1,IF(C323="Prospective",IF(Assumptions!$B$6="Active only",0,Assumptions!$B$7),0)))</f>
        <v>0</v>
      </c>
      <c r="BN323" s="150">
        <v>7</v>
      </c>
      <c r="BO323" s="36"/>
      <c r="BP323" s="36"/>
    </row>
    <row r="324" spans="1:68" hidden="1" outlineLevel="1" x14ac:dyDescent="0.25">
      <c r="A324" s="162" t="str">
        <f t="shared" si="143"/>
        <v/>
      </c>
      <c r="B324" s="161" t="str" cm="1">
        <f t="array" ref="B324">IF(BI324="","",INDEX(pjName,BI324))</f>
        <v/>
      </c>
      <c r="C324" s="162" t="str" cm="1">
        <f t="array" ref="C324">IF(BI324="","",IF(INDEX(pjStatus,BI324)="","",INDEX(pjStatus,BI324)))</f>
        <v/>
      </c>
      <c r="D324" s="162" t="str" cm="1">
        <f t="array" ref="D324">IFERROR(INDEX(tblStaff[Initials],BN324),"")</f>
        <v/>
      </c>
      <c r="E324" s="163" t="str" cm="1">
        <f t="array" ref="E324">IF(OR(BI324="",D324=""),"",IFERROR(SUMPRODUCT((pjNo=A324)*(pjType="Phase")*INDEX(Projects!$I$5:$O$1188,0,MATCH(D324,Projects!$I$4:$O$4,0))*pjWk),0))</f>
        <v/>
      </c>
      <c r="F324" s="163" t="str">
        <f t="shared" si="144"/>
        <v/>
      </c>
      <c r="G324" s="163" t="str">
        <f t="shared" si="145"/>
        <v/>
      </c>
      <c r="H324" s="164"/>
      <c r="I324" s="164"/>
      <c r="J324" s="164"/>
      <c r="K324" s="164"/>
      <c r="L324" s="164"/>
      <c r="M324" s="164"/>
      <c r="N324" s="164"/>
      <c r="O324" s="164"/>
      <c r="P324" s="164"/>
      <c r="Q324" s="164"/>
      <c r="R324" s="164"/>
      <c r="S324" s="164"/>
      <c r="T324" s="164"/>
      <c r="U324" s="164"/>
      <c r="V324" s="164"/>
      <c r="W324" s="164"/>
      <c r="X324" s="164"/>
      <c r="Y324" s="164"/>
      <c r="Z324" s="164"/>
      <c r="AA324" s="164"/>
      <c r="AB324" s="164"/>
      <c r="AC324" s="164"/>
      <c r="AD324" s="164"/>
      <c r="AE324" s="164"/>
      <c r="AF324" s="164"/>
      <c r="AG324" s="164"/>
      <c r="AH324" s="164"/>
      <c r="AI324" s="164"/>
      <c r="AJ324" s="164"/>
      <c r="AK324" s="164"/>
      <c r="AL324" s="164"/>
      <c r="AM324" s="164"/>
      <c r="AN324" s="164"/>
      <c r="AO324" s="164"/>
      <c r="AP324" s="164"/>
      <c r="AQ324" s="164"/>
      <c r="AR324" s="164"/>
      <c r="AS324" s="164"/>
      <c r="AT324" s="164"/>
      <c r="AU324" s="164"/>
      <c r="AV324" s="164"/>
      <c r="AW324" s="164"/>
      <c r="AX324" s="164"/>
      <c r="AY324" s="164"/>
      <c r="AZ324" s="164"/>
      <c r="BA324" s="164"/>
      <c r="BB324" s="164"/>
      <c r="BC324" s="164"/>
      <c r="BD324" s="164"/>
      <c r="BE324" s="164"/>
      <c r="BF324" s="164"/>
      <c r="BG324" s="164"/>
      <c r="BH324" s="36"/>
      <c r="BI324" s="150" t="str" cm="1">
        <f t="array" ref="BI324">IF(A324="","",IFERROR(MATCH(1,INDEX((pjNo=A324)*(pjType="Project"),0),0),""))</f>
        <v/>
      </c>
      <c r="BJ324" s="150" t="str">
        <f>IF(D324="","",IFERROR(INDEX(tblStaff[Staff Level],MATCH(D324,tblStaff[Initials],0)),"?"))</f>
        <v/>
      </c>
      <c r="BK324" s="151" t="str" cm="1">
        <f t="array" ref="BK324">IF(BI324="","",INDEX(pjStart,BI324))</f>
        <v/>
      </c>
      <c r="BL324" s="151" t="str" cm="1">
        <f t="array" ref="BL324">IF(BI324="","",INDEX(pjEnd,BI324))</f>
        <v/>
      </c>
      <c r="BM324" s="150">
        <f>IF(BI324="",0,IF(C324="Active",1,IF(C324="Prospective",IF(Assumptions!$B$6="Active only",0,Assumptions!$B$7),0)))</f>
        <v>0</v>
      </c>
      <c r="BN324" s="150">
        <v>8</v>
      </c>
      <c r="BO324" s="36"/>
      <c r="BP324" s="36"/>
    </row>
    <row r="325" spans="1:68" collapsed="1" x14ac:dyDescent="0.25">
      <c r="A325" s="171"/>
      <c r="B325" s="173" t="str">
        <f>IF(A326="","",A326&amp;" · "&amp;B326)</f>
        <v/>
      </c>
      <c r="C325" s="171" t="str">
        <f>IF(A326="","",C326)</f>
        <v/>
      </c>
      <c r="D325" s="171"/>
      <c r="E325" s="172">
        <f>SUM(E326:E333)</f>
        <v>0</v>
      </c>
      <c r="F325" s="172">
        <f>SUM(F326:F333)</f>
        <v>0</v>
      </c>
      <c r="G325" s="172" t="str">
        <f>IF(E325=0,"",E325-F325)</f>
        <v/>
      </c>
      <c r="H325" s="174">
        <f t="shared" ref="H325:AM325" si="146">SUM(H326:H333)</f>
        <v>0</v>
      </c>
      <c r="I325" s="174">
        <f t="shared" si="146"/>
        <v>0</v>
      </c>
      <c r="J325" s="174">
        <f t="shared" si="146"/>
        <v>0</v>
      </c>
      <c r="K325" s="174">
        <f t="shared" si="146"/>
        <v>0</v>
      </c>
      <c r="L325" s="174">
        <f t="shared" si="146"/>
        <v>0</v>
      </c>
      <c r="M325" s="174">
        <f t="shared" si="146"/>
        <v>0</v>
      </c>
      <c r="N325" s="174">
        <f t="shared" si="146"/>
        <v>0</v>
      </c>
      <c r="O325" s="174">
        <f t="shared" si="146"/>
        <v>0</v>
      </c>
      <c r="P325" s="174">
        <f t="shared" si="146"/>
        <v>0</v>
      </c>
      <c r="Q325" s="174">
        <f t="shared" si="146"/>
        <v>0</v>
      </c>
      <c r="R325" s="174">
        <f t="shared" si="146"/>
        <v>0</v>
      </c>
      <c r="S325" s="174">
        <f t="shared" si="146"/>
        <v>0</v>
      </c>
      <c r="T325" s="174">
        <f t="shared" si="146"/>
        <v>0</v>
      </c>
      <c r="U325" s="174">
        <f t="shared" si="146"/>
        <v>0</v>
      </c>
      <c r="V325" s="174">
        <f t="shared" si="146"/>
        <v>0</v>
      </c>
      <c r="W325" s="174">
        <f t="shared" si="146"/>
        <v>0</v>
      </c>
      <c r="X325" s="174">
        <f t="shared" si="146"/>
        <v>0</v>
      </c>
      <c r="Y325" s="174">
        <f t="shared" si="146"/>
        <v>0</v>
      </c>
      <c r="Z325" s="174">
        <f t="shared" si="146"/>
        <v>0</v>
      </c>
      <c r="AA325" s="174">
        <f t="shared" si="146"/>
        <v>0</v>
      </c>
      <c r="AB325" s="174">
        <f t="shared" si="146"/>
        <v>0</v>
      </c>
      <c r="AC325" s="174">
        <f t="shared" si="146"/>
        <v>0</v>
      </c>
      <c r="AD325" s="174">
        <f t="shared" si="146"/>
        <v>0</v>
      </c>
      <c r="AE325" s="174">
        <f t="shared" si="146"/>
        <v>0</v>
      </c>
      <c r="AF325" s="174">
        <f t="shared" si="146"/>
        <v>0</v>
      </c>
      <c r="AG325" s="174">
        <f t="shared" si="146"/>
        <v>0</v>
      </c>
      <c r="AH325" s="174">
        <f t="shared" si="146"/>
        <v>0</v>
      </c>
      <c r="AI325" s="174">
        <f t="shared" si="146"/>
        <v>0</v>
      </c>
      <c r="AJ325" s="174">
        <f t="shared" si="146"/>
        <v>0</v>
      </c>
      <c r="AK325" s="174">
        <f t="shared" si="146"/>
        <v>0</v>
      </c>
      <c r="AL325" s="174">
        <f t="shared" si="146"/>
        <v>0</v>
      </c>
      <c r="AM325" s="174">
        <f t="shared" si="146"/>
        <v>0</v>
      </c>
      <c r="AN325" s="174">
        <f t="shared" ref="AN325:BG325" si="147">SUM(AN326:AN333)</f>
        <v>0</v>
      </c>
      <c r="AO325" s="174">
        <f t="shared" si="147"/>
        <v>0</v>
      </c>
      <c r="AP325" s="174">
        <f t="shared" si="147"/>
        <v>0</v>
      </c>
      <c r="AQ325" s="174">
        <f t="shared" si="147"/>
        <v>0</v>
      </c>
      <c r="AR325" s="174">
        <f t="shared" si="147"/>
        <v>0</v>
      </c>
      <c r="AS325" s="174">
        <f t="shared" si="147"/>
        <v>0</v>
      </c>
      <c r="AT325" s="174">
        <f t="shared" si="147"/>
        <v>0</v>
      </c>
      <c r="AU325" s="174">
        <f t="shared" si="147"/>
        <v>0</v>
      </c>
      <c r="AV325" s="174">
        <f t="shared" si="147"/>
        <v>0</v>
      </c>
      <c r="AW325" s="174">
        <f t="shared" si="147"/>
        <v>0</v>
      </c>
      <c r="AX325" s="174">
        <f t="shared" si="147"/>
        <v>0</v>
      </c>
      <c r="AY325" s="174">
        <f t="shared" si="147"/>
        <v>0</v>
      </c>
      <c r="AZ325" s="174">
        <f t="shared" si="147"/>
        <v>0</v>
      </c>
      <c r="BA325" s="174">
        <f t="shared" si="147"/>
        <v>0</v>
      </c>
      <c r="BB325" s="174">
        <f t="shared" si="147"/>
        <v>0</v>
      </c>
      <c r="BC325" s="174">
        <f t="shared" si="147"/>
        <v>0</v>
      </c>
      <c r="BD325" s="174">
        <f t="shared" si="147"/>
        <v>0</v>
      </c>
      <c r="BE325" s="174">
        <f t="shared" si="147"/>
        <v>0</v>
      </c>
      <c r="BF325" s="174">
        <f t="shared" si="147"/>
        <v>0</v>
      </c>
      <c r="BG325" s="174">
        <f t="shared" si="147"/>
        <v>0</v>
      </c>
      <c r="BH325" s="36"/>
      <c r="BI325" s="150"/>
      <c r="BJ325" s="150"/>
      <c r="BK325" s="151"/>
      <c r="BL325" s="151"/>
      <c r="BM325" s="150"/>
      <c r="BN325" s="150"/>
      <c r="BO325" s="36"/>
      <c r="BP325" s="36"/>
    </row>
    <row r="326" spans="1:68" hidden="1" outlineLevel="1" x14ac:dyDescent="0.25">
      <c r="A326" s="167" t="str">
        <f t="shared" ref="A326:A333" si="148">IF(N(INDEX($BP$20:$BP$67,7))=0,"",INDEX($BP$20:$BP$67,7))</f>
        <v/>
      </c>
      <c r="B326" s="168" t="str" cm="1">
        <f t="array" ref="B326">IF(BI326="","",INDEX(pjName,BI326))</f>
        <v/>
      </c>
      <c r="C326" s="167" t="str" cm="1">
        <f t="array" ref="C326">IF(BI326="","",IF(INDEX(pjStatus,BI326)="","",INDEX(pjStatus,BI326)))</f>
        <v/>
      </c>
      <c r="D326" s="167" t="str" cm="1">
        <f t="array" ref="D326">IFERROR(INDEX(tblStaff[Initials],BN326),"")</f>
        <v>PK</v>
      </c>
      <c r="E326" s="169" t="str" cm="1">
        <f t="array" ref="E326">IF(OR(BI326="",D326=""),"",IFERROR(SUMPRODUCT((pjNo=A326)*(pjType="Phase")*INDEX(Projects!$I$5:$O$1188,0,MATCH(D326,Projects!$I$4:$O$4,0))*pjWk),0))</f>
        <v/>
      </c>
      <c r="F326" s="169" t="str">
        <f t="shared" ref="F326:F333" si="149">IF(BI326="","",SUM(H326:BG326))</f>
        <v/>
      </c>
      <c r="G326" s="169" t="str">
        <f t="shared" ref="G326:G333" si="150">IF(OR(E326="",F326=""),"",E326-F326)</f>
        <v/>
      </c>
      <c r="H326" s="170"/>
      <c r="I326" s="170"/>
      <c r="J326" s="170"/>
      <c r="K326" s="170"/>
      <c r="L326" s="170"/>
      <c r="M326" s="170"/>
      <c r="N326" s="170"/>
      <c r="O326" s="170"/>
      <c r="P326" s="170"/>
      <c r="Q326" s="170"/>
      <c r="R326" s="170"/>
      <c r="S326" s="170"/>
      <c r="T326" s="170"/>
      <c r="U326" s="170"/>
      <c r="V326" s="170"/>
      <c r="W326" s="170"/>
      <c r="X326" s="170"/>
      <c r="Y326" s="170"/>
      <c r="Z326" s="170"/>
      <c r="AA326" s="170"/>
      <c r="AB326" s="170"/>
      <c r="AC326" s="170"/>
      <c r="AD326" s="170"/>
      <c r="AE326" s="170"/>
      <c r="AF326" s="170"/>
      <c r="AG326" s="170"/>
      <c r="AH326" s="170"/>
      <c r="AI326" s="170"/>
      <c r="AJ326" s="170"/>
      <c r="AK326" s="170"/>
      <c r="AL326" s="170"/>
      <c r="AM326" s="170"/>
      <c r="AN326" s="170"/>
      <c r="AO326" s="170"/>
      <c r="AP326" s="170"/>
      <c r="AQ326" s="170"/>
      <c r="AR326" s="170"/>
      <c r="AS326" s="170"/>
      <c r="AT326" s="170"/>
      <c r="AU326" s="170"/>
      <c r="AV326" s="170"/>
      <c r="AW326" s="170"/>
      <c r="AX326" s="170"/>
      <c r="AY326" s="170"/>
      <c r="AZ326" s="170"/>
      <c r="BA326" s="170"/>
      <c r="BB326" s="170"/>
      <c r="BC326" s="170"/>
      <c r="BD326" s="170"/>
      <c r="BE326" s="170"/>
      <c r="BF326" s="170"/>
      <c r="BG326" s="170"/>
      <c r="BH326" s="36"/>
      <c r="BI326" s="150" t="str" cm="1">
        <f t="array" ref="BI326">IF(A326="","",IFERROR(MATCH(1,INDEX((pjNo=A326)*(pjType="Project"),0),0),""))</f>
        <v/>
      </c>
      <c r="BJ326" s="150" t="str">
        <f>IF(D326="","",IFERROR(INDEX(tblStaff[Staff Level],MATCH(D326,tblStaff[Initials],0)),"?"))</f>
        <v>Principal</v>
      </c>
      <c r="BK326" s="151" t="str" cm="1">
        <f t="array" ref="BK326">IF(BI326="","",INDEX(pjStart,BI326))</f>
        <v/>
      </c>
      <c r="BL326" s="151" t="str" cm="1">
        <f t="array" ref="BL326">IF(BI326="","",INDEX(pjEnd,BI326))</f>
        <v/>
      </c>
      <c r="BM326" s="150">
        <f>IF(BI326="",0,IF(C326="Active",1,IF(C326="Prospective",IF(Assumptions!$B$6="Active only",0,Assumptions!$B$7),0)))</f>
        <v>0</v>
      </c>
      <c r="BN326" s="150">
        <v>1</v>
      </c>
      <c r="BO326" s="36"/>
      <c r="BP326" s="36"/>
    </row>
    <row r="327" spans="1:68" hidden="1" outlineLevel="1" x14ac:dyDescent="0.25">
      <c r="A327" s="167" t="str">
        <f t="shared" si="148"/>
        <v/>
      </c>
      <c r="B327" s="168" t="str" cm="1">
        <f t="array" ref="B327">IF(BI327="","",INDEX(pjName,BI327))</f>
        <v/>
      </c>
      <c r="C327" s="167" t="str" cm="1">
        <f t="array" ref="C327">IF(BI327="","",IF(INDEX(pjStatus,BI327)="","",INDEX(pjStatus,BI327)))</f>
        <v/>
      </c>
      <c r="D327" s="167" t="str" cm="1">
        <f t="array" ref="D327">IFERROR(INDEX(tblStaff[Initials],BN327),"")</f>
        <v>DF</v>
      </c>
      <c r="E327" s="169" t="str" cm="1">
        <f t="array" ref="E327">IF(OR(BI327="",D327=""),"",IFERROR(SUMPRODUCT((pjNo=A327)*(pjType="Phase")*INDEX(Projects!$I$5:$O$1188,0,MATCH(D327,Projects!$I$4:$O$4,0))*pjWk),0))</f>
        <v/>
      </c>
      <c r="F327" s="169" t="str">
        <f t="shared" si="149"/>
        <v/>
      </c>
      <c r="G327" s="169" t="str">
        <f t="shared" si="150"/>
        <v/>
      </c>
      <c r="H327" s="170"/>
      <c r="I327" s="170"/>
      <c r="J327" s="170"/>
      <c r="K327" s="170"/>
      <c r="L327" s="170"/>
      <c r="M327" s="170"/>
      <c r="N327" s="170"/>
      <c r="O327" s="170"/>
      <c r="P327" s="170"/>
      <c r="Q327" s="170"/>
      <c r="R327" s="170"/>
      <c r="S327" s="170"/>
      <c r="T327" s="170"/>
      <c r="U327" s="170"/>
      <c r="V327" s="170"/>
      <c r="W327" s="170"/>
      <c r="X327" s="170"/>
      <c r="Y327" s="170"/>
      <c r="Z327" s="170"/>
      <c r="AA327" s="170"/>
      <c r="AB327" s="170"/>
      <c r="AC327" s="170"/>
      <c r="AD327" s="170"/>
      <c r="AE327" s="170"/>
      <c r="AF327" s="170"/>
      <c r="AG327" s="170"/>
      <c r="AH327" s="170"/>
      <c r="AI327" s="170"/>
      <c r="AJ327" s="170"/>
      <c r="AK327" s="170"/>
      <c r="AL327" s="170"/>
      <c r="AM327" s="170"/>
      <c r="AN327" s="170"/>
      <c r="AO327" s="170"/>
      <c r="AP327" s="170"/>
      <c r="AQ327" s="170"/>
      <c r="AR327" s="170"/>
      <c r="AS327" s="170"/>
      <c r="AT327" s="170"/>
      <c r="AU327" s="170"/>
      <c r="AV327" s="170"/>
      <c r="AW327" s="170"/>
      <c r="AX327" s="170"/>
      <c r="AY327" s="170"/>
      <c r="AZ327" s="170"/>
      <c r="BA327" s="170"/>
      <c r="BB327" s="170"/>
      <c r="BC327" s="170"/>
      <c r="BD327" s="170"/>
      <c r="BE327" s="170"/>
      <c r="BF327" s="170"/>
      <c r="BG327" s="170"/>
      <c r="BH327" s="36"/>
      <c r="BI327" s="150" t="str" cm="1">
        <f t="array" ref="BI327">IF(A327="","",IFERROR(MATCH(1,INDEX((pjNo=A327)*(pjType="Project"),0),0),""))</f>
        <v/>
      </c>
      <c r="BJ327" s="150" t="str">
        <f>IF(D327="","",IFERROR(INDEX(tblStaff[Staff Level],MATCH(D327,tblStaff[Initials],0)),"?"))</f>
        <v>Principal</v>
      </c>
      <c r="BK327" s="151" t="str" cm="1">
        <f t="array" ref="BK327">IF(BI327="","",INDEX(pjStart,BI327))</f>
        <v/>
      </c>
      <c r="BL327" s="151" t="str" cm="1">
        <f t="array" ref="BL327">IF(BI327="","",INDEX(pjEnd,BI327))</f>
        <v/>
      </c>
      <c r="BM327" s="150">
        <f>IF(BI327="",0,IF(C327="Active",1,IF(C327="Prospective",IF(Assumptions!$B$6="Active only",0,Assumptions!$B$7),0)))</f>
        <v>0</v>
      </c>
      <c r="BN327" s="150">
        <v>2</v>
      </c>
      <c r="BO327" s="36"/>
      <c r="BP327" s="36"/>
    </row>
    <row r="328" spans="1:68" hidden="1" outlineLevel="1" x14ac:dyDescent="0.25">
      <c r="A328" s="158" t="str">
        <f t="shared" si="148"/>
        <v/>
      </c>
      <c r="B328" s="157" t="str" cm="1">
        <f t="array" ref="B328">IF(BI328="","",INDEX(pjName,BI328))</f>
        <v/>
      </c>
      <c r="C328" s="158" t="str" cm="1">
        <f t="array" ref="C328">IF(BI328="","",IF(INDEX(pjStatus,BI328)="","",INDEX(pjStatus,BI328)))</f>
        <v/>
      </c>
      <c r="D328" s="158" t="str" cm="1">
        <f t="array" ref="D328">IFERROR(INDEX(tblStaff[Initials],BN328),"")</f>
        <v>KJ</v>
      </c>
      <c r="E328" s="159" t="str" cm="1">
        <f t="array" ref="E328">IF(OR(BI328="",D328=""),"",IFERROR(SUMPRODUCT((pjNo=A328)*(pjType="Phase")*INDEX(Projects!$I$5:$O$1188,0,MATCH(D328,Projects!$I$4:$O$4,0))*pjWk),0))</f>
        <v/>
      </c>
      <c r="F328" s="159" t="str">
        <f t="shared" si="149"/>
        <v/>
      </c>
      <c r="G328" s="159" t="str">
        <f t="shared" si="150"/>
        <v/>
      </c>
      <c r="H328" s="160"/>
      <c r="I328" s="160"/>
      <c r="J328" s="160"/>
      <c r="K328" s="160"/>
      <c r="L328" s="160"/>
      <c r="M328" s="160"/>
      <c r="N328" s="160"/>
      <c r="O328" s="160"/>
      <c r="P328" s="160"/>
      <c r="Q328" s="160"/>
      <c r="R328" s="160"/>
      <c r="S328" s="160"/>
      <c r="T328" s="160"/>
      <c r="U328" s="160"/>
      <c r="V328" s="160"/>
      <c r="W328" s="160"/>
      <c r="X328" s="160"/>
      <c r="Y328" s="160"/>
      <c r="Z328" s="160"/>
      <c r="AA328" s="160"/>
      <c r="AB328" s="160"/>
      <c r="AC328" s="160"/>
      <c r="AD328" s="160"/>
      <c r="AE328" s="160"/>
      <c r="AF328" s="160"/>
      <c r="AG328" s="160"/>
      <c r="AH328" s="160"/>
      <c r="AI328" s="160"/>
      <c r="AJ328" s="160"/>
      <c r="AK328" s="160"/>
      <c r="AL328" s="160"/>
      <c r="AM328" s="160"/>
      <c r="AN328" s="160"/>
      <c r="AO328" s="160"/>
      <c r="AP328" s="160"/>
      <c r="AQ328" s="160"/>
      <c r="AR328" s="160"/>
      <c r="AS328" s="160"/>
      <c r="AT328" s="160"/>
      <c r="AU328" s="160"/>
      <c r="AV328" s="160"/>
      <c r="AW328" s="160"/>
      <c r="AX328" s="160"/>
      <c r="AY328" s="160"/>
      <c r="AZ328" s="160"/>
      <c r="BA328" s="160"/>
      <c r="BB328" s="160"/>
      <c r="BC328" s="160"/>
      <c r="BD328" s="160"/>
      <c r="BE328" s="160"/>
      <c r="BF328" s="160"/>
      <c r="BG328" s="160"/>
      <c r="BH328" s="36"/>
      <c r="BI328" s="150" t="str" cm="1">
        <f t="array" ref="BI328">IF(A328="","",IFERROR(MATCH(1,INDEX((pjNo=A328)*(pjType="Project"),0),0),""))</f>
        <v/>
      </c>
      <c r="BJ328" s="150" t="str">
        <f>IF(D328="","",IFERROR(INDEX(tblStaff[Staff Level],MATCH(D328,tblStaff[Initials],0)),"?"))</f>
        <v>Director</v>
      </c>
      <c r="BK328" s="151" t="str" cm="1">
        <f t="array" ref="BK328">IF(BI328="","",INDEX(pjStart,BI328))</f>
        <v/>
      </c>
      <c r="BL328" s="151" t="str" cm="1">
        <f t="array" ref="BL328">IF(BI328="","",INDEX(pjEnd,BI328))</f>
        <v/>
      </c>
      <c r="BM328" s="150">
        <f>IF(BI328="",0,IF(C328="Active",1,IF(C328="Prospective",IF(Assumptions!$B$6="Active only",0,Assumptions!$B$7),0)))</f>
        <v>0</v>
      </c>
      <c r="BN328" s="150">
        <v>3</v>
      </c>
      <c r="BO328" s="36"/>
      <c r="BP328" s="36"/>
    </row>
    <row r="329" spans="1:68" hidden="1" outlineLevel="1" x14ac:dyDescent="0.25">
      <c r="A329" s="158" t="str">
        <f t="shared" si="148"/>
        <v/>
      </c>
      <c r="B329" s="157" t="str" cm="1">
        <f t="array" ref="B329">IF(BI329="","",INDEX(pjName,BI329))</f>
        <v/>
      </c>
      <c r="C329" s="158" t="str" cm="1">
        <f t="array" ref="C329">IF(BI329="","",IF(INDEX(pjStatus,BI329)="","",INDEX(pjStatus,BI329)))</f>
        <v/>
      </c>
      <c r="D329" s="158" t="str" cm="1">
        <f t="array" ref="D329">IFERROR(INDEX(tblStaff[Initials],BN329),"")</f>
        <v>HL</v>
      </c>
      <c r="E329" s="159" t="str" cm="1">
        <f t="array" ref="E329">IF(OR(BI329="",D329=""),"",IFERROR(SUMPRODUCT((pjNo=A329)*(pjType="Phase")*INDEX(Projects!$I$5:$O$1188,0,MATCH(D329,Projects!$I$4:$O$4,0))*pjWk),0))</f>
        <v/>
      </c>
      <c r="F329" s="159" t="str">
        <f t="shared" si="149"/>
        <v/>
      </c>
      <c r="G329" s="159" t="str">
        <f t="shared" si="150"/>
        <v/>
      </c>
      <c r="H329" s="160"/>
      <c r="I329" s="160"/>
      <c r="J329" s="160"/>
      <c r="K329" s="160"/>
      <c r="L329" s="160"/>
      <c r="M329" s="160"/>
      <c r="N329" s="160"/>
      <c r="O329" s="160"/>
      <c r="P329" s="160"/>
      <c r="Q329" s="160"/>
      <c r="R329" s="160"/>
      <c r="S329" s="160"/>
      <c r="T329" s="160"/>
      <c r="U329" s="160"/>
      <c r="V329" s="160"/>
      <c r="W329" s="160"/>
      <c r="X329" s="160"/>
      <c r="Y329" s="160"/>
      <c r="Z329" s="160"/>
      <c r="AA329" s="160"/>
      <c r="AB329" s="160"/>
      <c r="AC329" s="160"/>
      <c r="AD329" s="160"/>
      <c r="AE329" s="160"/>
      <c r="AF329" s="160"/>
      <c r="AG329" s="160"/>
      <c r="AH329" s="160"/>
      <c r="AI329" s="160"/>
      <c r="AJ329" s="160"/>
      <c r="AK329" s="160"/>
      <c r="AL329" s="160"/>
      <c r="AM329" s="160"/>
      <c r="AN329" s="160"/>
      <c r="AO329" s="160"/>
      <c r="AP329" s="160"/>
      <c r="AQ329" s="160"/>
      <c r="AR329" s="160"/>
      <c r="AS329" s="160"/>
      <c r="AT329" s="160"/>
      <c r="AU329" s="160"/>
      <c r="AV329" s="160"/>
      <c r="AW329" s="160"/>
      <c r="AX329" s="160"/>
      <c r="AY329" s="160"/>
      <c r="AZ329" s="160"/>
      <c r="BA329" s="160"/>
      <c r="BB329" s="160"/>
      <c r="BC329" s="160"/>
      <c r="BD329" s="160"/>
      <c r="BE329" s="160"/>
      <c r="BF329" s="160"/>
      <c r="BG329" s="160"/>
      <c r="BH329" s="36"/>
      <c r="BI329" s="150" t="str" cm="1">
        <f t="array" ref="BI329">IF(A329="","",IFERROR(MATCH(1,INDEX((pjNo=A329)*(pjType="Project"),0),0),""))</f>
        <v/>
      </c>
      <c r="BJ329" s="150" t="str">
        <f>IF(D329="","",IFERROR(INDEX(tblStaff[Staff Level],MATCH(D329,tblStaff[Initials],0)),"?"))</f>
        <v>Senior Designer</v>
      </c>
      <c r="BK329" s="151" t="str" cm="1">
        <f t="array" ref="BK329">IF(BI329="","",INDEX(pjStart,BI329))</f>
        <v/>
      </c>
      <c r="BL329" s="151" t="str" cm="1">
        <f t="array" ref="BL329">IF(BI329="","",INDEX(pjEnd,BI329))</f>
        <v/>
      </c>
      <c r="BM329" s="150">
        <f>IF(BI329="",0,IF(C329="Active",1,IF(C329="Prospective",IF(Assumptions!$B$6="Active only",0,Assumptions!$B$7),0)))</f>
        <v>0</v>
      </c>
      <c r="BN329" s="150">
        <v>4</v>
      </c>
      <c r="BO329" s="36"/>
      <c r="BP329" s="36"/>
    </row>
    <row r="330" spans="1:68" hidden="1" outlineLevel="1" x14ac:dyDescent="0.25">
      <c r="A330" s="158" t="str">
        <f t="shared" si="148"/>
        <v/>
      </c>
      <c r="B330" s="157" t="str" cm="1">
        <f t="array" ref="B330">IF(BI330="","",INDEX(pjName,BI330))</f>
        <v/>
      </c>
      <c r="C330" s="158" t="str" cm="1">
        <f t="array" ref="C330">IF(BI330="","",IF(INDEX(pjStatus,BI330)="","",INDEX(pjStatus,BI330)))</f>
        <v/>
      </c>
      <c r="D330" s="158" t="str" cm="1">
        <f t="array" ref="D330">IFERROR(INDEX(tblStaff[Initials],BN330),"")</f>
        <v>EHH</v>
      </c>
      <c r="E330" s="159" t="str" cm="1">
        <f t="array" ref="E330">IF(OR(BI330="",D330=""),"",IFERROR(SUMPRODUCT((pjNo=A330)*(pjType="Phase")*INDEX(Projects!$I$5:$O$1188,0,MATCH(D330,Projects!$I$4:$O$4,0))*pjWk),0))</f>
        <v/>
      </c>
      <c r="F330" s="159" t="str">
        <f t="shared" si="149"/>
        <v/>
      </c>
      <c r="G330" s="159" t="str">
        <f t="shared" si="150"/>
        <v/>
      </c>
      <c r="H330" s="160"/>
      <c r="I330" s="160"/>
      <c r="J330" s="160"/>
      <c r="K330" s="160"/>
      <c r="L330" s="160"/>
      <c r="M330" s="160"/>
      <c r="N330" s="160"/>
      <c r="O330" s="160"/>
      <c r="P330" s="160"/>
      <c r="Q330" s="160"/>
      <c r="R330" s="160"/>
      <c r="S330" s="160"/>
      <c r="T330" s="160"/>
      <c r="U330" s="160"/>
      <c r="V330" s="160"/>
      <c r="W330" s="160"/>
      <c r="X330" s="160"/>
      <c r="Y330" s="160"/>
      <c r="Z330" s="160"/>
      <c r="AA330" s="160"/>
      <c r="AB330" s="160"/>
      <c r="AC330" s="160"/>
      <c r="AD330" s="160"/>
      <c r="AE330" s="160"/>
      <c r="AF330" s="160"/>
      <c r="AG330" s="160"/>
      <c r="AH330" s="160"/>
      <c r="AI330" s="160"/>
      <c r="AJ330" s="160"/>
      <c r="AK330" s="160"/>
      <c r="AL330" s="160"/>
      <c r="AM330" s="160"/>
      <c r="AN330" s="160"/>
      <c r="AO330" s="160"/>
      <c r="AP330" s="160"/>
      <c r="AQ330" s="160"/>
      <c r="AR330" s="160"/>
      <c r="AS330" s="160"/>
      <c r="AT330" s="160"/>
      <c r="AU330" s="160"/>
      <c r="AV330" s="160"/>
      <c r="AW330" s="160"/>
      <c r="AX330" s="160"/>
      <c r="AY330" s="160"/>
      <c r="AZ330" s="160"/>
      <c r="BA330" s="160"/>
      <c r="BB330" s="160"/>
      <c r="BC330" s="160"/>
      <c r="BD330" s="160"/>
      <c r="BE330" s="160"/>
      <c r="BF330" s="160"/>
      <c r="BG330" s="160"/>
      <c r="BH330" s="36"/>
      <c r="BI330" s="150" t="str" cm="1">
        <f t="array" ref="BI330">IF(A330="","",IFERROR(MATCH(1,INDEX((pjNo=A330)*(pjType="Project"),0),0),""))</f>
        <v/>
      </c>
      <c r="BJ330" s="150" t="str">
        <f>IF(D330="","",IFERROR(INDEX(tblStaff[Staff Level],MATCH(D330,tblStaff[Initials],0)),"?"))</f>
        <v>Mid Level Designer</v>
      </c>
      <c r="BK330" s="151" t="str" cm="1">
        <f t="array" ref="BK330">IF(BI330="","",INDEX(pjStart,BI330))</f>
        <v/>
      </c>
      <c r="BL330" s="151" t="str" cm="1">
        <f t="array" ref="BL330">IF(BI330="","",INDEX(pjEnd,BI330))</f>
        <v/>
      </c>
      <c r="BM330" s="150">
        <f>IF(BI330="",0,IF(C330="Active",1,IF(C330="Prospective",IF(Assumptions!$B$6="Active only",0,Assumptions!$B$7),0)))</f>
        <v>0</v>
      </c>
      <c r="BN330" s="150">
        <v>5</v>
      </c>
      <c r="BO330" s="36"/>
      <c r="BP330" s="36"/>
    </row>
    <row r="331" spans="1:68" hidden="1" outlineLevel="1" x14ac:dyDescent="0.25">
      <c r="A331" s="158" t="str">
        <f t="shared" si="148"/>
        <v/>
      </c>
      <c r="B331" s="157" t="str" cm="1">
        <f t="array" ref="B331">IF(BI331="","",INDEX(pjName,BI331))</f>
        <v/>
      </c>
      <c r="C331" s="158" t="str" cm="1">
        <f t="array" ref="C331">IF(BI331="","",IF(INDEX(pjStatus,BI331)="","",INDEX(pjStatus,BI331)))</f>
        <v/>
      </c>
      <c r="D331" s="158" t="str" cm="1">
        <f t="array" ref="D331">IFERROR(INDEX(tblStaff[Initials],BN331),"")</f>
        <v>KD</v>
      </c>
      <c r="E331" s="159" t="str" cm="1">
        <f t="array" ref="E331">IF(OR(BI331="",D331=""),"",IFERROR(SUMPRODUCT((pjNo=A331)*(pjType="Phase")*INDEX(Projects!$I$5:$O$1188,0,MATCH(D331,Projects!$I$4:$O$4,0))*pjWk),0))</f>
        <v/>
      </c>
      <c r="F331" s="159" t="str">
        <f t="shared" si="149"/>
        <v/>
      </c>
      <c r="G331" s="159" t="str">
        <f t="shared" si="150"/>
        <v/>
      </c>
      <c r="H331" s="160"/>
      <c r="I331" s="160"/>
      <c r="J331" s="160"/>
      <c r="K331" s="160"/>
      <c r="L331" s="160"/>
      <c r="M331" s="160"/>
      <c r="N331" s="160"/>
      <c r="O331" s="160"/>
      <c r="P331" s="160"/>
      <c r="Q331" s="160"/>
      <c r="R331" s="160"/>
      <c r="S331" s="160"/>
      <c r="T331" s="160"/>
      <c r="U331" s="160"/>
      <c r="V331" s="160"/>
      <c r="W331" s="160"/>
      <c r="X331" s="160"/>
      <c r="Y331" s="160"/>
      <c r="Z331" s="160"/>
      <c r="AA331" s="160"/>
      <c r="AB331" s="160"/>
      <c r="AC331" s="160"/>
      <c r="AD331" s="160"/>
      <c r="AE331" s="160"/>
      <c r="AF331" s="160"/>
      <c r="AG331" s="160"/>
      <c r="AH331" s="160"/>
      <c r="AI331" s="160"/>
      <c r="AJ331" s="160"/>
      <c r="AK331" s="160"/>
      <c r="AL331" s="160"/>
      <c r="AM331" s="160"/>
      <c r="AN331" s="160"/>
      <c r="AO331" s="160"/>
      <c r="AP331" s="160"/>
      <c r="AQ331" s="160"/>
      <c r="AR331" s="160"/>
      <c r="AS331" s="160"/>
      <c r="AT331" s="160"/>
      <c r="AU331" s="160"/>
      <c r="AV331" s="160"/>
      <c r="AW331" s="160"/>
      <c r="AX331" s="160"/>
      <c r="AY331" s="160"/>
      <c r="AZ331" s="160"/>
      <c r="BA331" s="160"/>
      <c r="BB331" s="160"/>
      <c r="BC331" s="160"/>
      <c r="BD331" s="160"/>
      <c r="BE331" s="160"/>
      <c r="BF331" s="160"/>
      <c r="BG331" s="160"/>
      <c r="BH331" s="36"/>
      <c r="BI331" s="150" t="str" cm="1">
        <f t="array" ref="BI331">IF(A331="","",IFERROR(MATCH(1,INDEX((pjNo=A331)*(pjType="Project"),0),0),""))</f>
        <v/>
      </c>
      <c r="BJ331" s="150" t="str">
        <f>IF(D331="","",IFERROR(INDEX(tblStaff[Staff Level],MATCH(D331,tblStaff[Initials],0)),"?"))</f>
        <v>Mid Level Designer</v>
      </c>
      <c r="BK331" s="151" t="str" cm="1">
        <f t="array" ref="BK331">IF(BI331="","",INDEX(pjStart,BI331))</f>
        <v/>
      </c>
      <c r="BL331" s="151" t="str" cm="1">
        <f t="array" ref="BL331">IF(BI331="","",INDEX(pjEnd,BI331))</f>
        <v/>
      </c>
      <c r="BM331" s="150">
        <f>IF(BI331="",0,IF(C331="Active",1,IF(C331="Prospective",IF(Assumptions!$B$6="Active only",0,Assumptions!$B$7),0)))</f>
        <v>0</v>
      </c>
      <c r="BN331" s="150">
        <v>6</v>
      </c>
      <c r="BO331" s="36"/>
      <c r="BP331" s="36"/>
    </row>
    <row r="332" spans="1:68" hidden="1" outlineLevel="1" x14ac:dyDescent="0.25">
      <c r="A332" s="158" t="str">
        <f t="shared" si="148"/>
        <v/>
      </c>
      <c r="B332" s="157" t="str" cm="1">
        <f t="array" ref="B332">IF(BI332="","",INDEX(pjName,BI332))</f>
        <v/>
      </c>
      <c r="C332" s="158" t="str" cm="1">
        <f t="array" ref="C332">IF(BI332="","",IF(INDEX(pjStatus,BI332)="","",INDEX(pjStatus,BI332)))</f>
        <v/>
      </c>
      <c r="D332" s="158" t="str" cm="1">
        <f t="array" ref="D332">IFERROR(INDEX(tblStaff[Initials],BN332),"")</f>
        <v>XX</v>
      </c>
      <c r="E332" s="159" t="str" cm="1">
        <f t="array" ref="E332">IF(OR(BI332="",D332=""),"",IFERROR(SUMPRODUCT((pjNo=A332)*(pjType="Phase")*INDEX(Projects!$I$5:$O$1188,0,MATCH(D332,Projects!$I$4:$O$4,0))*pjWk),0))</f>
        <v/>
      </c>
      <c r="F332" s="159" t="str">
        <f t="shared" si="149"/>
        <v/>
      </c>
      <c r="G332" s="159" t="str">
        <f t="shared" si="150"/>
        <v/>
      </c>
      <c r="H332" s="160"/>
      <c r="I332" s="160"/>
      <c r="J332" s="160"/>
      <c r="K332" s="160"/>
      <c r="L332" s="160"/>
      <c r="M332" s="160"/>
      <c r="N332" s="160"/>
      <c r="O332" s="160"/>
      <c r="P332" s="160"/>
      <c r="Q332" s="160"/>
      <c r="R332" s="160"/>
      <c r="S332" s="160"/>
      <c r="T332" s="160"/>
      <c r="U332" s="160"/>
      <c r="V332" s="160"/>
      <c r="W332" s="160"/>
      <c r="X332" s="160"/>
      <c r="Y332" s="160"/>
      <c r="Z332" s="160"/>
      <c r="AA332" s="160"/>
      <c r="AB332" s="160"/>
      <c r="AC332" s="160"/>
      <c r="AD332" s="160"/>
      <c r="AE332" s="160"/>
      <c r="AF332" s="160"/>
      <c r="AG332" s="160"/>
      <c r="AH332" s="160"/>
      <c r="AI332" s="160"/>
      <c r="AJ332" s="160"/>
      <c r="AK332" s="160"/>
      <c r="AL332" s="160"/>
      <c r="AM332" s="160"/>
      <c r="AN332" s="160"/>
      <c r="AO332" s="160"/>
      <c r="AP332" s="160"/>
      <c r="AQ332" s="160"/>
      <c r="AR332" s="160"/>
      <c r="AS332" s="160"/>
      <c r="AT332" s="160"/>
      <c r="AU332" s="160"/>
      <c r="AV332" s="160"/>
      <c r="AW332" s="160"/>
      <c r="AX332" s="160"/>
      <c r="AY332" s="160"/>
      <c r="AZ332" s="160"/>
      <c r="BA332" s="160"/>
      <c r="BB332" s="160"/>
      <c r="BC332" s="160"/>
      <c r="BD332" s="160"/>
      <c r="BE332" s="160"/>
      <c r="BF332" s="160"/>
      <c r="BG332" s="160"/>
      <c r="BH332" s="36"/>
      <c r="BI332" s="150" t="str" cm="1">
        <f t="array" ref="BI332">IF(A332="","",IFERROR(MATCH(1,INDEX((pjNo=A332)*(pjType="Project"),0),0),""))</f>
        <v/>
      </c>
      <c r="BJ332" s="150" t="str">
        <f>IF(D332="","",IFERROR(INDEX(tblStaff[Staff Level],MATCH(D332,tblStaff[Initials],0)),"?"))</f>
        <v>Project Designer</v>
      </c>
      <c r="BK332" s="151" t="str" cm="1">
        <f t="array" ref="BK332">IF(BI332="","",INDEX(pjStart,BI332))</f>
        <v/>
      </c>
      <c r="BL332" s="151" t="str" cm="1">
        <f t="array" ref="BL332">IF(BI332="","",INDEX(pjEnd,BI332))</f>
        <v/>
      </c>
      <c r="BM332" s="150">
        <f>IF(BI332="",0,IF(C332="Active",1,IF(C332="Prospective",IF(Assumptions!$B$6="Active only",0,Assumptions!$B$7),0)))</f>
        <v>0</v>
      </c>
      <c r="BN332" s="150">
        <v>7</v>
      </c>
      <c r="BO332" s="36"/>
      <c r="BP332" s="36"/>
    </row>
    <row r="333" spans="1:68" hidden="1" outlineLevel="1" x14ac:dyDescent="0.25">
      <c r="A333" s="162" t="str">
        <f t="shared" si="148"/>
        <v/>
      </c>
      <c r="B333" s="161" t="str" cm="1">
        <f t="array" ref="B333">IF(BI333="","",INDEX(pjName,BI333))</f>
        <v/>
      </c>
      <c r="C333" s="162" t="str" cm="1">
        <f t="array" ref="C333">IF(BI333="","",IF(INDEX(pjStatus,BI333)="","",INDEX(pjStatus,BI333)))</f>
        <v/>
      </c>
      <c r="D333" s="162" t="str" cm="1">
        <f t="array" ref="D333">IFERROR(INDEX(tblStaff[Initials],BN333),"")</f>
        <v/>
      </c>
      <c r="E333" s="163" t="str" cm="1">
        <f t="array" ref="E333">IF(OR(BI333="",D333=""),"",IFERROR(SUMPRODUCT((pjNo=A333)*(pjType="Phase")*INDEX(Projects!$I$5:$O$1188,0,MATCH(D333,Projects!$I$4:$O$4,0))*pjWk),0))</f>
        <v/>
      </c>
      <c r="F333" s="163" t="str">
        <f t="shared" si="149"/>
        <v/>
      </c>
      <c r="G333" s="163" t="str">
        <f t="shared" si="150"/>
        <v/>
      </c>
      <c r="H333" s="164"/>
      <c r="I333" s="164"/>
      <c r="J333" s="164"/>
      <c r="K333" s="164"/>
      <c r="L333" s="164"/>
      <c r="M333" s="164"/>
      <c r="N333" s="164"/>
      <c r="O333" s="164"/>
      <c r="P333" s="164"/>
      <c r="Q333" s="164"/>
      <c r="R333" s="164"/>
      <c r="S333" s="164"/>
      <c r="T333" s="164"/>
      <c r="U333" s="164"/>
      <c r="V333" s="164"/>
      <c r="W333" s="164"/>
      <c r="X333" s="164"/>
      <c r="Y333" s="164"/>
      <c r="Z333" s="164"/>
      <c r="AA333" s="164"/>
      <c r="AB333" s="164"/>
      <c r="AC333" s="164"/>
      <c r="AD333" s="164"/>
      <c r="AE333" s="164"/>
      <c r="AF333" s="164"/>
      <c r="AG333" s="164"/>
      <c r="AH333" s="164"/>
      <c r="AI333" s="164"/>
      <c r="AJ333" s="164"/>
      <c r="AK333" s="164"/>
      <c r="AL333" s="164"/>
      <c r="AM333" s="164"/>
      <c r="AN333" s="164"/>
      <c r="AO333" s="164"/>
      <c r="AP333" s="164"/>
      <c r="AQ333" s="164"/>
      <c r="AR333" s="164"/>
      <c r="AS333" s="164"/>
      <c r="AT333" s="164"/>
      <c r="AU333" s="164"/>
      <c r="AV333" s="164"/>
      <c r="AW333" s="164"/>
      <c r="AX333" s="164"/>
      <c r="AY333" s="164"/>
      <c r="AZ333" s="164"/>
      <c r="BA333" s="164"/>
      <c r="BB333" s="164"/>
      <c r="BC333" s="164"/>
      <c r="BD333" s="164"/>
      <c r="BE333" s="164"/>
      <c r="BF333" s="164"/>
      <c r="BG333" s="164"/>
      <c r="BH333" s="36"/>
      <c r="BI333" s="150" t="str" cm="1">
        <f t="array" ref="BI333">IF(A333="","",IFERROR(MATCH(1,INDEX((pjNo=A333)*(pjType="Project"),0),0),""))</f>
        <v/>
      </c>
      <c r="BJ333" s="150" t="str">
        <f>IF(D333="","",IFERROR(INDEX(tblStaff[Staff Level],MATCH(D333,tblStaff[Initials],0)),"?"))</f>
        <v/>
      </c>
      <c r="BK333" s="151" t="str" cm="1">
        <f t="array" ref="BK333">IF(BI333="","",INDEX(pjStart,BI333))</f>
        <v/>
      </c>
      <c r="BL333" s="151" t="str" cm="1">
        <f t="array" ref="BL333">IF(BI333="","",INDEX(pjEnd,BI333))</f>
        <v/>
      </c>
      <c r="BM333" s="150">
        <f>IF(BI333="",0,IF(C333="Active",1,IF(C333="Prospective",IF(Assumptions!$B$6="Active only",0,Assumptions!$B$7),0)))</f>
        <v>0</v>
      </c>
      <c r="BN333" s="150">
        <v>8</v>
      </c>
      <c r="BO333" s="36"/>
      <c r="BP333" s="36"/>
    </row>
    <row r="334" spans="1:68" collapsed="1" x14ac:dyDescent="0.25">
      <c r="A334" s="171"/>
      <c r="B334" s="173" t="str">
        <f>IF(A335="","",A335&amp;" · "&amp;B335)</f>
        <v/>
      </c>
      <c r="C334" s="171" t="str">
        <f>IF(A335="","",C335)</f>
        <v/>
      </c>
      <c r="D334" s="171"/>
      <c r="E334" s="172">
        <f>SUM(E335:E342)</f>
        <v>0</v>
      </c>
      <c r="F334" s="172">
        <f>SUM(F335:F342)</f>
        <v>0</v>
      </c>
      <c r="G334" s="172" t="str">
        <f>IF(E334=0,"",E334-F334)</f>
        <v/>
      </c>
      <c r="H334" s="174">
        <f t="shared" ref="H334:AM334" si="151">SUM(H335:H342)</f>
        <v>0</v>
      </c>
      <c r="I334" s="174">
        <f t="shared" si="151"/>
        <v>0</v>
      </c>
      <c r="J334" s="174">
        <f t="shared" si="151"/>
        <v>0</v>
      </c>
      <c r="K334" s="174">
        <f t="shared" si="151"/>
        <v>0</v>
      </c>
      <c r="L334" s="174">
        <f t="shared" si="151"/>
        <v>0</v>
      </c>
      <c r="M334" s="174">
        <f t="shared" si="151"/>
        <v>0</v>
      </c>
      <c r="N334" s="174">
        <f t="shared" si="151"/>
        <v>0</v>
      </c>
      <c r="O334" s="174">
        <f t="shared" si="151"/>
        <v>0</v>
      </c>
      <c r="P334" s="174">
        <f t="shared" si="151"/>
        <v>0</v>
      </c>
      <c r="Q334" s="174">
        <f t="shared" si="151"/>
        <v>0</v>
      </c>
      <c r="R334" s="174">
        <f t="shared" si="151"/>
        <v>0</v>
      </c>
      <c r="S334" s="174">
        <f t="shared" si="151"/>
        <v>0</v>
      </c>
      <c r="T334" s="174">
        <f t="shared" si="151"/>
        <v>0</v>
      </c>
      <c r="U334" s="174">
        <f t="shared" si="151"/>
        <v>0</v>
      </c>
      <c r="V334" s="174">
        <f t="shared" si="151"/>
        <v>0</v>
      </c>
      <c r="W334" s="174">
        <f t="shared" si="151"/>
        <v>0</v>
      </c>
      <c r="X334" s="174">
        <f t="shared" si="151"/>
        <v>0</v>
      </c>
      <c r="Y334" s="174">
        <f t="shared" si="151"/>
        <v>0</v>
      </c>
      <c r="Z334" s="174">
        <f t="shared" si="151"/>
        <v>0</v>
      </c>
      <c r="AA334" s="174">
        <f t="shared" si="151"/>
        <v>0</v>
      </c>
      <c r="AB334" s="174">
        <f t="shared" si="151"/>
        <v>0</v>
      </c>
      <c r="AC334" s="174">
        <f t="shared" si="151"/>
        <v>0</v>
      </c>
      <c r="AD334" s="174">
        <f t="shared" si="151"/>
        <v>0</v>
      </c>
      <c r="AE334" s="174">
        <f t="shared" si="151"/>
        <v>0</v>
      </c>
      <c r="AF334" s="174">
        <f t="shared" si="151"/>
        <v>0</v>
      </c>
      <c r="AG334" s="174">
        <f t="shared" si="151"/>
        <v>0</v>
      </c>
      <c r="AH334" s="174">
        <f t="shared" si="151"/>
        <v>0</v>
      </c>
      <c r="AI334" s="174">
        <f t="shared" si="151"/>
        <v>0</v>
      </c>
      <c r="AJ334" s="174">
        <f t="shared" si="151"/>
        <v>0</v>
      </c>
      <c r="AK334" s="174">
        <f t="shared" si="151"/>
        <v>0</v>
      </c>
      <c r="AL334" s="174">
        <f t="shared" si="151"/>
        <v>0</v>
      </c>
      <c r="AM334" s="174">
        <f t="shared" si="151"/>
        <v>0</v>
      </c>
      <c r="AN334" s="174">
        <f t="shared" ref="AN334:BG334" si="152">SUM(AN335:AN342)</f>
        <v>0</v>
      </c>
      <c r="AO334" s="174">
        <f t="shared" si="152"/>
        <v>0</v>
      </c>
      <c r="AP334" s="174">
        <f t="shared" si="152"/>
        <v>0</v>
      </c>
      <c r="AQ334" s="174">
        <f t="shared" si="152"/>
        <v>0</v>
      </c>
      <c r="AR334" s="174">
        <f t="shared" si="152"/>
        <v>0</v>
      </c>
      <c r="AS334" s="174">
        <f t="shared" si="152"/>
        <v>0</v>
      </c>
      <c r="AT334" s="174">
        <f t="shared" si="152"/>
        <v>0</v>
      </c>
      <c r="AU334" s="174">
        <f t="shared" si="152"/>
        <v>0</v>
      </c>
      <c r="AV334" s="174">
        <f t="shared" si="152"/>
        <v>0</v>
      </c>
      <c r="AW334" s="174">
        <f t="shared" si="152"/>
        <v>0</v>
      </c>
      <c r="AX334" s="174">
        <f t="shared" si="152"/>
        <v>0</v>
      </c>
      <c r="AY334" s="174">
        <f t="shared" si="152"/>
        <v>0</v>
      </c>
      <c r="AZ334" s="174">
        <f t="shared" si="152"/>
        <v>0</v>
      </c>
      <c r="BA334" s="174">
        <f t="shared" si="152"/>
        <v>0</v>
      </c>
      <c r="BB334" s="174">
        <f t="shared" si="152"/>
        <v>0</v>
      </c>
      <c r="BC334" s="174">
        <f t="shared" si="152"/>
        <v>0</v>
      </c>
      <c r="BD334" s="174">
        <f t="shared" si="152"/>
        <v>0</v>
      </c>
      <c r="BE334" s="174">
        <f t="shared" si="152"/>
        <v>0</v>
      </c>
      <c r="BF334" s="174">
        <f t="shared" si="152"/>
        <v>0</v>
      </c>
      <c r="BG334" s="174">
        <f t="shared" si="152"/>
        <v>0</v>
      </c>
      <c r="BH334" s="36"/>
      <c r="BI334" s="150"/>
      <c r="BJ334" s="150"/>
      <c r="BK334" s="151"/>
      <c r="BL334" s="151"/>
      <c r="BM334" s="150"/>
      <c r="BN334" s="150"/>
      <c r="BO334" s="36"/>
      <c r="BP334" s="36"/>
    </row>
    <row r="335" spans="1:68" hidden="1" outlineLevel="1" x14ac:dyDescent="0.25">
      <c r="A335" s="167" t="str">
        <f t="shared" ref="A335:A342" si="153">IF(N(INDEX($BP$20:$BP$67,8))=0,"",INDEX($BP$20:$BP$67,8))</f>
        <v/>
      </c>
      <c r="B335" s="168" t="str" cm="1">
        <f t="array" ref="B335">IF(BI335="","",INDEX(pjName,BI335))</f>
        <v/>
      </c>
      <c r="C335" s="167" t="str" cm="1">
        <f t="array" ref="C335">IF(BI335="","",IF(INDEX(pjStatus,BI335)="","",INDEX(pjStatus,BI335)))</f>
        <v/>
      </c>
      <c r="D335" s="167" t="str" cm="1">
        <f t="array" ref="D335">IFERROR(INDEX(tblStaff[Initials],BN335),"")</f>
        <v>PK</v>
      </c>
      <c r="E335" s="169" t="str" cm="1">
        <f t="array" ref="E335">IF(OR(BI335="",D335=""),"",IFERROR(SUMPRODUCT((pjNo=A335)*(pjType="Phase")*INDEX(Projects!$I$5:$O$1188,0,MATCH(D335,Projects!$I$4:$O$4,0))*pjWk),0))</f>
        <v/>
      </c>
      <c r="F335" s="169" t="str">
        <f t="shared" ref="F335:F342" si="154">IF(BI335="","",SUM(H335:BG335))</f>
        <v/>
      </c>
      <c r="G335" s="169" t="str">
        <f t="shared" ref="G335:G342" si="155">IF(OR(E335="",F335=""),"",E335-F335)</f>
        <v/>
      </c>
      <c r="H335" s="170"/>
      <c r="I335" s="170"/>
      <c r="J335" s="170"/>
      <c r="K335" s="170"/>
      <c r="L335" s="170"/>
      <c r="M335" s="170"/>
      <c r="N335" s="170"/>
      <c r="O335" s="170"/>
      <c r="P335" s="170"/>
      <c r="Q335" s="170"/>
      <c r="R335" s="170"/>
      <c r="S335" s="170"/>
      <c r="T335" s="170"/>
      <c r="U335" s="170"/>
      <c r="V335" s="170"/>
      <c r="W335" s="170"/>
      <c r="X335" s="170"/>
      <c r="Y335" s="170"/>
      <c r="Z335" s="170"/>
      <c r="AA335" s="170"/>
      <c r="AB335" s="170"/>
      <c r="AC335" s="170"/>
      <c r="AD335" s="170"/>
      <c r="AE335" s="170"/>
      <c r="AF335" s="170"/>
      <c r="AG335" s="170"/>
      <c r="AH335" s="170"/>
      <c r="AI335" s="170"/>
      <c r="AJ335" s="170"/>
      <c r="AK335" s="170"/>
      <c r="AL335" s="170"/>
      <c r="AM335" s="170"/>
      <c r="AN335" s="170"/>
      <c r="AO335" s="170"/>
      <c r="AP335" s="170"/>
      <c r="AQ335" s="170"/>
      <c r="AR335" s="170"/>
      <c r="AS335" s="170"/>
      <c r="AT335" s="170"/>
      <c r="AU335" s="170"/>
      <c r="AV335" s="170"/>
      <c r="AW335" s="170"/>
      <c r="AX335" s="170"/>
      <c r="AY335" s="170"/>
      <c r="AZ335" s="170"/>
      <c r="BA335" s="170"/>
      <c r="BB335" s="170"/>
      <c r="BC335" s="170"/>
      <c r="BD335" s="170"/>
      <c r="BE335" s="170"/>
      <c r="BF335" s="170"/>
      <c r="BG335" s="170"/>
      <c r="BH335" s="36"/>
      <c r="BI335" s="150" t="str" cm="1">
        <f t="array" ref="BI335">IF(A335="","",IFERROR(MATCH(1,INDEX((pjNo=A335)*(pjType="Project"),0),0),""))</f>
        <v/>
      </c>
      <c r="BJ335" s="150" t="str">
        <f>IF(D335="","",IFERROR(INDEX(tblStaff[Staff Level],MATCH(D335,tblStaff[Initials],0)),"?"))</f>
        <v>Principal</v>
      </c>
      <c r="BK335" s="151" t="str" cm="1">
        <f t="array" ref="BK335">IF(BI335="","",INDEX(pjStart,BI335))</f>
        <v/>
      </c>
      <c r="BL335" s="151" t="str" cm="1">
        <f t="array" ref="BL335">IF(BI335="","",INDEX(pjEnd,BI335))</f>
        <v/>
      </c>
      <c r="BM335" s="150">
        <f>IF(BI335="",0,IF(C335="Active",1,IF(C335="Prospective",IF(Assumptions!$B$6="Active only",0,Assumptions!$B$7),0)))</f>
        <v>0</v>
      </c>
      <c r="BN335" s="150">
        <v>1</v>
      </c>
      <c r="BO335" s="36"/>
      <c r="BP335" s="36"/>
    </row>
    <row r="336" spans="1:68" hidden="1" outlineLevel="1" x14ac:dyDescent="0.25">
      <c r="A336" s="167" t="str">
        <f t="shared" si="153"/>
        <v/>
      </c>
      <c r="B336" s="168" t="str" cm="1">
        <f t="array" ref="B336">IF(BI336="","",INDEX(pjName,BI336))</f>
        <v/>
      </c>
      <c r="C336" s="167" t="str" cm="1">
        <f t="array" ref="C336">IF(BI336="","",IF(INDEX(pjStatus,BI336)="","",INDEX(pjStatus,BI336)))</f>
        <v/>
      </c>
      <c r="D336" s="167" t="str" cm="1">
        <f t="array" ref="D336">IFERROR(INDEX(tblStaff[Initials],BN336),"")</f>
        <v>DF</v>
      </c>
      <c r="E336" s="169" t="str" cm="1">
        <f t="array" ref="E336">IF(OR(BI336="",D336=""),"",IFERROR(SUMPRODUCT((pjNo=A336)*(pjType="Phase")*INDEX(Projects!$I$5:$O$1188,0,MATCH(D336,Projects!$I$4:$O$4,0))*pjWk),0))</f>
        <v/>
      </c>
      <c r="F336" s="169" t="str">
        <f t="shared" si="154"/>
        <v/>
      </c>
      <c r="G336" s="169" t="str">
        <f t="shared" si="155"/>
        <v/>
      </c>
      <c r="H336" s="170"/>
      <c r="I336" s="170"/>
      <c r="J336" s="170"/>
      <c r="K336" s="170"/>
      <c r="L336" s="170"/>
      <c r="M336" s="170"/>
      <c r="N336" s="170"/>
      <c r="O336" s="170"/>
      <c r="P336" s="170"/>
      <c r="Q336" s="170"/>
      <c r="R336" s="170"/>
      <c r="S336" s="170"/>
      <c r="T336" s="170"/>
      <c r="U336" s="170"/>
      <c r="V336" s="170"/>
      <c r="W336" s="170"/>
      <c r="X336" s="170"/>
      <c r="Y336" s="170"/>
      <c r="Z336" s="170"/>
      <c r="AA336" s="170"/>
      <c r="AB336" s="170"/>
      <c r="AC336" s="170"/>
      <c r="AD336" s="170"/>
      <c r="AE336" s="170"/>
      <c r="AF336" s="170"/>
      <c r="AG336" s="170"/>
      <c r="AH336" s="170"/>
      <c r="AI336" s="170"/>
      <c r="AJ336" s="170"/>
      <c r="AK336" s="170"/>
      <c r="AL336" s="170"/>
      <c r="AM336" s="170"/>
      <c r="AN336" s="170"/>
      <c r="AO336" s="170"/>
      <c r="AP336" s="170"/>
      <c r="AQ336" s="170"/>
      <c r="AR336" s="170"/>
      <c r="AS336" s="170"/>
      <c r="AT336" s="170"/>
      <c r="AU336" s="170"/>
      <c r="AV336" s="170"/>
      <c r="AW336" s="170"/>
      <c r="AX336" s="170"/>
      <c r="AY336" s="170"/>
      <c r="AZ336" s="170"/>
      <c r="BA336" s="170"/>
      <c r="BB336" s="170"/>
      <c r="BC336" s="170"/>
      <c r="BD336" s="170"/>
      <c r="BE336" s="170"/>
      <c r="BF336" s="170"/>
      <c r="BG336" s="170"/>
      <c r="BH336" s="36"/>
      <c r="BI336" s="150" t="str" cm="1">
        <f t="array" ref="BI336">IF(A336="","",IFERROR(MATCH(1,INDEX((pjNo=A336)*(pjType="Project"),0),0),""))</f>
        <v/>
      </c>
      <c r="BJ336" s="150" t="str">
        <f>IF(D336="","",IFERROR(INDEX(tblStaff[Staff Level],MATCH(D336,tblStaff[Initials],0)),"?"))</f>
        <v>Principal</v>
      </c>
      <c r="BK336" s="151" t="str" cm="1">
        <f t="array" ref="BK336">IF(BI336="","",INDEX(pjStart,BI336))</f>
        <v/>
      </c>
      <c r="BL336" s="151" t="str" cm="1">
        <f t="array" ref="BL336">IF(BI336="","",INDEX(pjEnd,BI336))</f>
        <v/>
      </c>
      <c r="BM336" s="150">
        <f>IF(BI336="",0,IF(C336="Active",1,IF(C336="Prospective",IF(Assumptions!$B$6="Active only",0,Assumptions!$B$7),0)))</f>
        <v>0</v>
      </c>
      <c r="BN336" s="150">
        <v>2</v>
      </c>
      <c r="BO336" s="36"/>
      <c r="BP336" s="36"/>
    </row>
    <row r="337" spans="1:68" hidden="1" outlineLevel="1" x14ac:dyDescent="0.25">
      <c r="A337" s="158" t="str">
        <f t="shared" si="153"/>
        <v/>
      </c>
      <c r="B337" s="157" t="str" cm="1">
        <f t="array" ref="B337">IF(BI337="","",INDEX(pjName,BI337))</f>
        <v/>
      </c>
      <c r="C337" s="158" t="str" cm="1">
        <f t="array" ref="C337">IF(BI337="","",IF(INDEX(pjStatus,BI337)="","",INDEX(pjStatus,BI337)))</f>
        <v/>
      </c>
      <c r="D337" s="158" t="str" cm="1">
        <f t="array" ref="D337">IFERROR(INDEX(tblStaff[Initials],BN337),"")</f>
        <v>KJ</v>
      </c>
      <c r="E337" s="159" t="str" cm="1">
        <f t="array" ref="E337">IF(OR(BI337="",D337=""),"",IFERROR(SUMPRODUCT((pjNo=A337)*(pjType="Phase")*INDEX(Projects!$I$5:$O$1188,0,MATCH(D337,Projects!$I$4:$O$4,0))*pjWk),0))</f>
        <v/>
      </c>
      <c r="F337" s="159" t="str">
        <f t="shared" si="154"/>
        <v/>
      </c>
      <c r="G337" s="159" t="str">
        <f t="shared" si="155"/>
        <v/>
      </c>
      <c r="H337" s="160"/>
      <c r="I337" s="160"/>
      <c r="J337" s="160"/>
      <c r="K337" s="160"/>
      <c r="L337" s="160"/>
      <c r="M337" s="160"/>
      <c r="N337" s="160"/>
      <c r="O337" s="160"/>
      <c r="P337" s="160"/>
      <c r="Q337" s="160"/>
      <c r="R337" s="160"/>
      <c r="S337" s="160"/>
      <c r="T337" s="160"/>
      <c r="U337" s="160"/>
      <c r="V337" s="160"/>
      <c r="W337" s="160"/>
      <c r="X337" s="160"/>
      <c r="Y337" s="160"/>
      <c r="Z337" s="160"/>
      <c r="AA337" s="160"/>
      <c r="AB337" s="160"/>
      <c r="AC337" s="160"/>
      <c r="AD337" s="160"/>
      <c r="AE337" s="160"/>
      <c r="AF337" s="160"/>
      <c r="AG337" s="160"/>
      <c r="AH337" s="160"/>
      <c r="AI337" s="160"/>
      <c r="AJ337" s="160"/>
      <c r="AK337" s="160"/>
      <c r="AL337" s="160"/>
      <c r="AM337" s="160"/>
      <c r="AN337" s="160"/>
      <c r="AO337" s="160"/>
      <c r="AP337" s="160"/>
      <c r="AQ337" s="160"/>
      <c r="AR337" s="160"/>
      <c r="AS337" s="160"/>
      <c r="AT337" s="160"/>
      <c r="AU337" s="160"/>
      <c r="AV337" s="160"/>
      <c r="AW337" s="160"/>
      <c r="AX337" s="160"/>
      <c r="AY337" s="160"/>
      <c r="AZ337" s="160"/>
      <c r="BA337" s="160"/>
      <c r="BB337" s="160"/>
      <c r="BC337" s="160"/>
      <c r="BD337" s="160"/>
      <c r="BE337" s="160"/>
      <c r="BF337" s="160"/>
      <c r="BG337" s="160"/>
      <c r="BH337" s="36"/>
      <c r="BI337" s="150" t="str" cm="1">
        <f t="array" ref="BI337">IF(A337="","",IFERROR(MATCH(1,INDEX((pjNo=A337)*(pjType="Project"),0),0),""))</f>
        <v/>
      </c>
      <c r="BJ337" s="150" t="str">
        <f>IF(D337="","",IFERROR(INDEX(tblStaff[Staff Level],MATCH(D337,tblStaff[Initials],0)),"?"))</f>
        <v>Director</v>
      </c>
      <c r="BK337" s="151" t="str" cm="1">
        <f t="array" ref="BK337">IF(BI337="","",INDEX(pjStart,BI337))</f>
        <v/>
      </c>
      <c r="BL337" s="151" t="str" cm="1">
        <f t="array" ref="BL337">IF(BI337="","",INDEX(pjEnd,BI337))</f>
        <v/>
      </c>
      <c r="BM337" s="150">
        <f>IF(BI337="",0,IF(C337="Active",1,IF(C337="Prospective",IF(Assumptions!$B$6="Active only",0,Assumptions!$B$7),0)))</f>
        <v>0</v>
      </c>
      <c r="BN337" s="150">
        <v>3</v>
      </c>
      <c r="BO337" s="36"/>
      <c r="BP337" s="36"/>
    </row>
    <row r="338" spans="1:68" hidden="1" outlineLevel="1" x14ac:dyDescent="0.25">
      <c r="A338" s="158" t="str">
        <f t="shared" si="153"/>
        <v/>
      </c>
      <c r="B338" s="157" t="str" cm="1">
        <f t="array" ref="B338">IF(BI338="","",INDEX(pjName,BI338))</f>
        <v/>
      </c>
      <c r="C338" s="158" t="str" cm="1">
        <f t="array" ref="C338">IF(BI338="","",IF(INDEX(pjStatus,BI338)="","",INDEX(pjStatus,BI338)))</f>
        <v/>
      </c>
      <c r="D338" s="158" t="str" cm="1">
        <f t="array" ref="D338">IFERROR(INDEX(tblStaff[Initials],BN338),"")</f>
        <v>HL</v>
      </c>
      <c r="E338" s="159" t="str" cm="1">
        <f t="array" ref="E338">IF(OR(BI338="",D338=""),"",IFERROR(SUMPRODUCT((pjNo=A338)*(pjType="Phase")*INDEX(Projects!$I$5:$O$1188,0,MATCH(D338,Projects!$I$4:$O$4,0))*pjWk),0))</f>
        <v/>
      </c>
      <c r="F338" s="159" t="str">
        <f t="shared" si="154"/>
        <v/>
      </c>
      <c r="G338" s="159" t="str">
        <f t="shared" si="155"/>
        <v/>
      </c>
      <c r="H338" s="160"/>
      <c r="I338" s="160"/>
      <c r="J338" s="160"/>
      <c r="K338" s="160"/>
      <c r="L338" s="160"/>
      <c r="M338" s="160"/>
      <c r="N338" s="160"/>
      <c r="O338" s="160"/>
      <c r="P338" s="160"/>
      <c r="Q338" s="160"/>
      <c r="R338" s="160"/>
      <c r="S338" s="160"/>
      <c r="T338" s="160"/>
      <c r="U338" s="160"/>
      <c r="V338" s="160"/>
      <c r="W338" s="160"/>
      <c r="X338" s="160"/>
      <c r="Y338" s="160"/>
      <c r="Z338" s="160"/>
      <c r="AA338" s="160"/>
      <c r="AB338" s="160"/>
      <c r="AC338" s="160"/>
      <c r="AD338" s="160"/>
      <c r="AE338" s="160"/>
      <c r="AF338" s="160"/>
      <c r="AG338" s="160"/>
      <c r="AH338" s="160"/>
      <c r="AI338" s="160"/>
      <c r="AJ338" s="160"/>
      <c r="AK338" s="160"/>
      <c r="AL338" s="160"/>
      <c r="AM338" s="160"/>
      <c r="AN338" s="160"/>
      <c r="AO338" s="160"/>
      <c r="AP338" s="160"/>
      <c r="AQ338" s="160"/>
      <c r="AR338" s="160"/>
      <c r="AS338" s="160"/>
      <c r="AT338" s="160"/>
      <c r="AU338" s="160"/>
      <c r="AV338" s="160"/>
      <c r="AW338" s="160"/>
      <c r="AX338" s="160"/>
      <c r="AY338" s="160"/>
      <c r="AZ338" s="160"/>
      <c r="BA338" s="160"/>
      <c r="BB338" s="160"/>
      <c r="BC338" s="160"/>
      <c r="BD338" s="160"/>
      <c r="BE338" s="160"/>
      <c r="BF338" s="160"/>
      <c r="BG338" s="160"/>
      <c r="BH338" s="36"/>
      <c r="BI338" s="150" t="str" cm="1">
        <f t="array" ref="BI338">IF(A338="","",IFERROR(MATCH(1,INDEX((pjNo=A338)*(pjType="Project"),0),0),""))</f>
        <v/>
      </c>
      <c r="BJ338" s="150" t="str">
        <f>IF(D338="","",IFERROR(INDEX(tblStaff[Staff Level],MATCH(D338,tblStaff[Initials],0)),"?"))</f>
        <v>Senior Designer</v>
      </c>
      <c r="BK338" s="151" t="str" cm="1">
        <f t="array" ref="BK338">IF(BI338="","",INDEX(pjStart,BI338))</f>
        <v/>
      </c>
      <c r="BL338" s="151" t="str" cm="1">
        <f t="array" ref="BL338">IF(BI338="","",INDEX(pjEnd,BI338))</f>
        <v/>
      </c>
      <c r="BM338" s="150">
        <f>IF(BI338="",0,IF(C338="Active",1,IF(C338="Prospective",IF(Assumptions!$B$6="Active only",0,Assumptions!$B$7),0)))</f>
        <v>0</v>
      </c>
      <c r="BN338" s="150">
        <v>4</v>
      </c>
      <c r="BO338" s="36"/>
      <c r="BP338" s="36"/>
    </row>
    <row r="339" spans="1:68" hidden="1" outlineLevel="1" x14ac:dyDescent="0.25">
      <c r="A339" s="158" t="str">
        <f t="shared" si="153"/>
        <v/>
      </c>
      <c r="B339" s="157" t="str" cm="1">
        <f t="array" ref="B339">IF(BI339="","",INDEX(pjName,BI339))</f>
        <v/>
      </c>
      <c r="C339" s="158" t="str" cm="1">
        <f t="array" ref="C339">IF(BI339="","",IF(INDEX(pjStatus,BI339)="","",INDEX(pjStatus,BI339)))</f>
        <v/>
      </c>
      <c r="D339" s="158" t="str" cm="1">
        <f t="array" ref="D339">IFERROR(INDEX(tblStaff[Initials],BN339),"")</f>
        <v>EHH</v>
      </c>
      <c r="E339" s="159" t="str" cm="1">
        <f t="array" ref="E339">IF(OR(BI339="",D339=""),"",IFERROR(SUMPRODUCT((pjNo=A339)*(pjType="Phase")*INDEX(Projects!$I$5:$O$1188,0,MATCH(D339,Projects!$I$4:$O$4,0))*pjWk),0))</f>
        <v/>
      </c>
      <c r="F339" s="159" t="str">
        <f t="shared" si="154"/>
        <v/>
      </c>
      <c r="G339" s="159" t="str">
        <f t="shared" si="155"/>
        <v/>
      </c>
      <c r="H339" s="160"/>
      <c r="I339" s="160"/>
      <c r="J339" s="160"/>
      <c r="K339" s="160"/>
      <c r="L339" s="160"/>
      <c r="M339" s="160"/>
      <c r="N339" s="160"/>
      <c r="O339" s="160"/>
      <c r="P339" s="160"/>
      <c r="Q339" s="160"/>
      <c r="R339" s="160"/>
      <c r="S339" s="160"/>
      <c r="T339" s="160"/>
      <c r="U339" s="160"/>
      <c r="V339" s="160"/>
      <c r="W339" s="160"/>
      <c r="X339" s="160"/>
      <c r="Y339" s="160"/>
      <c r="Z339" s="160"/>
      <c r="AA339" s="160"/>
      <c r="AB339" s="160"/>
      <c r="AC339" s="160"/>
      <c r="AD339" s="160"/>
      <c r="AE339" s="160"/>
      <c r="AF339" s="160"/>
      <c r="AG339" s="160"/>
      <c r="AH339" s="160"/>
      <c r="AI339" s="160"/>
      <c r="AJ339" s="160"/>
      <c r="AK339" s="160"/>
      <c r="AL339" s="160"/>
      <c r="AM339" s="160"/>
      <c r="AN339" s="160"/>
      <c r="AO339" s="160"/>
      <c r="AP339" s="160"/>
      <c r="AQ339" s="160"/>
      <c r="AR339" s="160"/>
      <c r="AS339" s="160"/>
      <c r="AT339" s="160"/>
      <c r="AU339" s="160"/>
      <c r="AV339" s="160"/>
      <c r="AW339" s="160"/>
      <c r="AX339" s="160"/>
      <c r="AY339" s="160"/>
      <c r="AZ339" s="160"/>
      <c r="BA339" s="160"/>
      <c r="BB339" s="160"/>
      <c r="BC339" s="160"/>
      <c r="BD339" s="160"/>
      <c r="BE339" s="160"/>
      <c r="BF339" s="160"/>
      <c r="BG339" s="160"/>
      <c r="BH339" s="36"/>
      <c r="BI339" s="150" t="str" cm="1">
        <f t="array" ref="BI339">IF(A339="","",IFERROR(MATCH(1,INDEX((pjNo=A339)*(pjType="Project"),0),0),""))</f>
        <v/>
      </c>
      <c r="BJ339" s="150" t="str">
        <f>IF(D339="","",IFERROR(INDEX(tblStaff[Staff Level],MATCH(D339,tblStaff[Initials],0)),"?"))</f>
        <v>Mid Level Designer</v>
      </c>
      <c r="BK339" s="151" t="str" cm="1">
        <f t="array" ref="BK339">IF(BI339="","",INDEX(pjStart,BI339))</f>
        <v/>
      </c>
      <c r="BL339" s="151" t="str" cm="1">
        <f t="array" ref="BL339">IF(BI339="","",INDEX(pjEnd,BI339))</f>
        <v/>
      </c>
      <c r="BM339" s="150">
        <f>IF(BI339="",0,IF(C339="Active",1,IF(C339="Prospective",IF(Assumptions!$B$6="Active only",0,Assumptions!$B$7),0)))</f>
        <v>0</v>
      </c>
      <c r="BN339" s="150">
        <v>5</v>
      </c>
      <c r="BO339" s="36"/>
      <c r="BP339" s="36"/>
    </row>
    <row r="340" spans="1:68" hidden="1" outlineLevel="1" x14ac:dyDescent="0.25">
      <c r="A340" s="158" t="str">
        <f t="shared" si="153"/>
        <v/>
      </c>
      <c r="B340" s="157" t="str" cm="1">
        <f t="array" ref="B340">IF(BI340="","",INDEX(pjName,BI340))</f>
        <v/>
      </c>
      <c r="C340" s="158" t="str" cm="1">
        <f t="array" ref="C340">IF(BI340="","",IF(INDEX(pjStatus,BI340)="","",INDEX(pjStatus,BI340)))</f>
        <v/>
      </c>
      <c r="D340" s="158" t="str" cm="1">
        <f t="array" ref="D340">IFERROR(INDEX(tblStaff[Initials],BN340),"")</f>
        <v>KD</v>
      </c>
      <c r="E340" s="159" t="str" cm="1">
        <f t="array" ref="E340">IF(OR(BI340="",D340=""),"",IFERROR(SUMPRODUCT((pjNo=A340)*(pjType="Phase")*INDEX(Projects!$I$5:$O$1188,0,MATCH(D340,Projects!$I$4:$O$4,0))*pjWk),0))</f>
        <v/>
      </c>
      <c r="F340" s="159" t="str">
        <f t="shared" si="154"/>
        <v/>
      </c>
      <c r="G340" s="159" t="str">
        <f t="shared" si="155"/>
        <v/>
      </c>
      <c r="H340" s="160"/>
      <c r="I340" s="160"/>
      <c r="J340" s="160"/>
      <c r="K340" s="160"/>
      <c r="L340" s="160"/>
      <c r="M340" s="160"/>
      <c r="N340" s="160"/>
      <c r="O340" s="160"/>
      <c r="P340" s="160"/>
      <c r="Q340" s="160"/>
      <c r="R340" s="160"/>
      <c r="S340" s="160"/>
      <c r="T340" s="160"/>
      <c r="U340" s="160"/>
      <c r="V340" s="160"/>
      <c r="W340" s="160"/>
      <c r="X340" s="160"/>
      <c r="Y340" s="160"/>
      <c r="Z340" s="160"/>
      <c r="AA340" s="160"/>
      <c r="AB340" s="160"/>
      <c r="AC340" s="160"/>
      <c r="AD340" s="160"/>
      <c r="AE340" s="160"/>
      <c r="AF340" s="160"/>
      <c r="AG340" s="160"/>
      <c r="AH340" s="160"/>
      <c r="AI340" s="160"/>
      <c r="AJ340" s="160"/>
      <c r="AK340" s="160"/>
      <c r="AL340" s="160"/>
      <c r="AM340" s="160"/>
      <c r="AN340" s="160"/>
      <c r="AO340" s="160"/>
      <c r="AP340" s="160"/>
      <c r="AQ340" s="160"/>
      <c r="AR340" s="160"/>
      <c r="AS340" s="160"/>
      <c r="AT340" s="160"/>
      <c r="AU340" s="160"/>
      <c r="AV340" s="160"/>
      <c r="AW340" s="160"/>
      <c r="AX340" s="160"/>
      <c r="AY340" s="160"/>
      <c r="AZ340" s="160"/>
      <c r="BA340" s="160"/>
      <c r="BB340" s="160"/>
      <c r="BC340" s="160"/>
      <c r="BD340" s="160"/>
      <c r="BE340" s="160"/>
      <c r="BF340" s="160"/>
      <c r="BG340" s="160"/>
      <c r="BH340" s="36"/>
      <c r="BI340" s="150" t="str" cm="1">
        <f t="array" ref="BI340">IF(A340="","",IFERROR(MATCH(1,INDEX((pjNo=A340)*(pjType="Project"),0),0),""))</f>
        <v/>
      </c>
      <c r="BJ340" s="150" t="str">
        <f>IF(D340="","",IFERROR(INDEX(tblStaff[Staff Level],MATCH(D340,tblStaff[Initials],0)),"?"))</f>
        <v>Mid Level Designer</v>
      </c>
      <c r="BK340" s="151" t="str" cm="1">
        <f t="array" ref="BK340">IF(BI340="","",INDEX(pjStart,BI340))</f>
        <v/>
      </c>
      <c r="BL340" s="151" t="str" cm="1">
        <f t="array" ref="BL340">IF(BI340="","",INDEX(pjEnd,BI340))</f>
        <v/>
      </c>
      <c r="BM340" s="150">
        <f>IF(BI340="",0,IF(C340="Active",1,IF(C340="Prospective",IF(Assumptions!$B$6="Active only",0,Assumptions!$B$7),0)))</f>
        <v>0</v>
      </c>
      <c r="BN340" s="150">
        <v>6</v>
      </c>
      <c r="BO340" s="36"/>
      <c r="BP340" s="36"/>
    </row>
    <row r="341" spans="1:68" hidden="1" outlineLevel="1" x14ac:dyDescent="0.25">
      <c r="A341" s="158" t="str">
        <f t="shared" si="153"/>
        <v/>
      </c>
      <c r="B341" s="157" t="str" cm="1">
        <f t="array" ref="B341">IF(BI341="","",INDEX(pjName,BI341))</f>
        <v/>
      </c>
      <c r="C341" s="158" t="str" cm="1">
        <f t="array" ref="C341">IF(BI341="","",IF(INDEX(pjStatus,BI341)="","",INDEX(pjStatus,BI341)))</f>
        <v/>
      </c>
      <c r="D341" s="158" t="str" cm="1">
        <f t="array" ref="D341">IFERROR(INDEX(tblStaff[Initials],BN341),"")</f>
        <v>XX</v>
      </c>
      <c r="E341" s="159" t="str" cm="1">
        <f t="array" ref="E341">IF(OR(BI341="",D341=""),"",IFERROR(SUMPRODUCT((pjNo=A341)*(pjType="Phase")*INDEX(Projects!$I$5:$O$1188,0,MATCH(D341,Projects!$I$4:$O$4,0))*pjWk),0))</f>
        <v/>
      </c>
      <c r="F341" s="159" t="str">
        <f t="shared" si="154"/>
        <v/>
      </c>
      <c r="G341" s="159" t="str">
        <f t="shared" si="155"/>
        <v/>
      </c>
      <c r="H341" s="160"/>
      <c r="I341" s="160"/>
      <c r="J341" s="160"/>
      <c r="K341" s="160"/>
      <c r="L341" s="160"/>
      <c r="M341" s="160"/>
      <c r="N341" s="160"/>
      <c r="O341" s="160"/>
      <c r="P341" s="160"/>
      <c r="Q341" s="160"/>
      <c r="R341" s="160"/>
      <c r="S341" s="160"/>
      <c r="T341" s="160"/>
      <c r="U341" s="160"/>
      <c r="V341" s="160"/>
      <c r="W341" s="160"/>
      <c r="X341" s="160"/>
      <c r="Y341" s="160"/>
      <c r="Z341" s="160"/>
      <c r="AA341" s="160"/>
      <c r="AB341" s="160"/>
      <c r="AC341" s="160"/>
      <c r="AD341" s="160"/>
      <c r="AE341" s="160"/>
      <c r="AF341" s="160"/>
      <c r="AG341" s="160"/>
      <c r="AH341" s="160"/>
      <c r="AI341" s="160"/>
      <c r="AJ341" s="160"/>
      <c r="AK341" s="160"/>
      <c r="AL341" s="160"/>
      <c r="AM341" s="160"/>
      <c r="AN341" s="160"/>
      <c r="AO341" s="160"/>
      <c r="AP341" s="160"/>
      <c r="AQ341" s="160"/>
      <c r="AR341" s="160"/>
      <c r="AS341" s="160"/>
      <c r="AT341" s="160"/>
      <c r="AU341" s="160"/>
      <c r="AV341" s="160"/>
      <c r="AW341" s="160"/>
      <c r="AX341" s="160"/>
      <c r="AY341" s="160"/>
      <c r="AZ341" s="160"/>
      <c r="BA341" s="160"/>
      <c r="BB341" s="160"/>
      <c r="BC341" s="160"/>
      <c r="BD341" s="160"/>
      <c r="BE341" s="160"/>
      <c r="BF341" s="160"/>
      <c r="BG341" s="160"/>
      <c r="BH341" s="36"/>
      <c r="BI341" s="150" t="str" cm="1">
        <f t="array" ref="BI341">IF(A341="","",IFERROR(MATCH(1,INDEX((pjNo=A341)*(pjType="Project"),0),0),""))</f>
        <v/>
      </c>
      <c r="BJ341" s="150" t="str">
        <f>IF(D341="","",IFERROR(INDEX(tblStaff[Staff Level],MATCH(D341,tblStaff[Initials],0)),"?"))</f>
        <v>Project Designer</v>
      </c>
      <c r="BK341" s="151" t="str" cm="1">
        <f t="array" ref="BK341">IF(BI341="","",INDEX(pjStart,BI341))</f>
        <v/>
      </c>
      <c r="BL341" s="151" t="str" cm="1">
        <f t="array" ref="BL341">IF(BI341="","",INDEX(pjEnd,BI341))</f>
        <v/>
      </c>
      <c r="BM341" s="150">
        <f>IF(BI341="",0,IF(C341="Active",1,IF(C341="Prospective",IF(Assumptions!$B$6="Active only",0,Assumptions!$B$7),0)))</f>
        <v>0</v>
      </c>
      <c r="BN341" s="150">
        <v>7</v>
      </c>
      <c r="BO341" s="36"/>
      <c r="BP341" s="36"/>
    </row>
    <row r="342" spans="1:68" hidden="1" outlineLevel="1" x14ac:dyDescent="0.25">
      <c r="A342" s="162" t="str">
        <f t="shared" si="153"/>
        <v/>
      </c>
      <c r="B342" s="161" t="str" cm="1">
        <f t="array" ref="B342">IF(BI342="","",INDEX(pjName,BI342))</f>
        <v/>
      </c>
      <c r="C342" s="162" t="str" cm="1">
        <f t="array" ref="C342">IF(BI342="","",IF(INDEX(pjStatus,BI342)="","",INDEX(pjStatus,BI342)))</f>
        <v/>
      </c>
      <c r="D342" s="162" t="str" cm="1">
        <f t="array" ref="D342">IFERROR(INDEX(tblStaff[Initials],BN342),"")</f>
        <v/>
      </c>
      <c r="E342" s="163" t="str" cm="1">
        <f t="array" ref="E342">IF(OR(BI342="",D342=""),"",IFERROR(SUMPRODUCT((pjNo=A342)*(pjType="Phase")*INDEX(Projects!$I$5:$O$1188,0,MATCH(D342,Projects!$I$4:$O$4,0))*pjWk),0))</f>
        <v/>
      </c>
      <c r="F342" s="163" t="str">
        <f t="shared" si="154"/>
        <v/>
      </c>
      <c r="G342" s="163" t="str">
        <f t="shared" si="155"/>
        <v/>
      </c>
      <c r="H342" s="164"/>
      <c r="I342" s="164"/>
      <c r="J342" s="164"/>
      <c r="K342" s="164"/>
      <c r="L342" s="164"/>
      <c r="M342" s="164"/>
      <c r="N342" s="164"/>
      <c r="O342" s="164"/>
      <c r="P342" s="164"/>
      <c r="Q342" s="164"/>
      <c r="R342" s="164"/>
      <c r="S342" s="164"/>
      <c r="T342" s="164"/>
      <c r="U342" s="164"/>
      <c r="V342" s="164"/>
      <c r="W342" s="164"/>
      <c r="X342" s="164"/>
      <c r="Y342" s="164"/>
      <c r="Z342" s="164"/>
      <c r="AA342" s="164"/>
      <c r="AB342" s="164"/>
      <c r="AC342" s="164"/>
      <c r="AD342" s="164"/>
      <c r="AE342" s="164"/>
      <c r="AF342" s="164"/>
      <c r="AG342" s="164"/>
      <c r="AH342" s="164"/>
      <c r="AI342" s="164"/>
      <c r="AJ342" s="164"/>
      <c r="AK342" s="164"/>
      <c r="AL342" s="164"/>
      <c r="AM342" s="164"/>
      <c r="AN342" s="164"/>
      <c r="AO342" s="164"/>
      <c r="AP342" s="164"/>
      <c r="AQ342" s="164"/>
      <c r="AR342" s="164"/>
      <c r="AS342" s="164"/>
      <c r="AT342" s="164"/>
      <c r="AU342" s="164"/>
      <c r="AV342" s="164"/>
      <c r="AW342" s="164"/>
      <c r="AX342" s="164"/>
      <c r="AY342" s="164"/>
      <c r="AZ342" s="164"/>
      <c r="BA342" s="164"/>
      <c r="BB342" s="164"/>
      <c r="BC342" s="164"/>
      <c r="BD342" s="164"/>
      <c r="BE342" s="164"/>
      <c r="BF342" s="164"/>
      <c r="BG342" s="164"/>
      <c r="BH342" s="36"/>
      <c r="BI342" s="150" t="str" cm="1">
        <f t="array" ref="BI342">IF(A342="","",IFERROR(MATCH(1,INDEX((pjNo=A342)*(pjType="Project"),0),0),""))</f>
        <v/>
      </c>
      <c r="BJ342" s="150" t="str">
        <f>IF(D342="","",IFERROR(INDEX(tblStaff[Staff Level],MATCH(D342,tblStaff[Initials],0)),"?"))</f>
        <v/>
      </c>
      <c r="BK342" s="151" t="str" cm="1">
        <f t="array" ref="BK342">IF(BI342="","",INDEX(pjStart,BI342))</f>
        <v/>
      </c>
      <c r="BL342" s="151" t="str" cm="1">
        <f t="array" ref="BL342">IF(BI342="","",INDEX(pjEnd,BI342))</f>
        <v/>
      </c>
      <c r="BM342" s="150">
        <f>IF(BI342="",0,IF(C342="Active",1,IF(C342="Prospective",IF(Assumptions!$B$6="Active only",0,Assumptions!$B$7),0)))</f>
        <v>0</v>
      </c>
      <c r="BN342" s="150">
        <v>8</v>
      </c>
      <c r="BO342" s="36"/>
      <c r="BP342" s="36"/>
    </row>
    <row r="343" spans="1:68" collapsed="1" x14ac:dyDescent="0.25">
      <c r="A343" s="171"/>
      <c r="B343" s="173" t="str">
        <f>IF(A344="","",A344&amp;" · "&amp;B344)</f>
        <v/>
      </c>
      <c r="C343" s="171" t="str">
        <f>IF(A344="","",C344)</f>
        <v/>
      </c>
      <c r="D343" s="171"/>
      <c r="E343" s="172">
        <f>SUM(E344:E351)</f>
        <v>0</v>
      </c>
      <c r="F343" s="172">
        <f>SUM(F344:F351)</f>
        <v>0</v>
      </c>
      <c r="G343" s="172" t="str">
        <f>IF(E343=0,"",E343-F343)</f>
        <v/>
      </c>
      <c r="H343" s="174">
        <f t="shared" ref="H343:AM343" si="156">SUM(H344:H351)</f>
        <v>0</v>
      </c>
      <c r="I343" s="174">
        <f t="shared" si="156"/>
        <v>0</v>
      </c>
      <c r="J343" s="174">
        <f t="shared" si="156"/>
        <v>0</v>
      </c>
      <c r="K343" s="174">
        <f t="shared" si="156"/>
        <v>0</v>
      </c>
      <c r="L343" s="174">
        <f t="shared" si="156"/>
        <v>0</v>
      </c>
      <c r="M343" s="174">
        <f t="shared" si="156"/>
        <v>0</v>
      </c>
      <c r="N343" s="174">
        <f t="shared" si="156"/>
        <v>0</v>
      </c>
      <c r="O343" s="174">
        <f t="shared" si="156"/>
        <v>0</v>
      </c>
      <c r="P343" s="174">
        <f t="shared" si="156"/>
        <v>0</v>
      </c>
      <c r="Q343" s="174">
        <f t="shared" si="156"/>
        <v>0</v>
      </c>
      <c r="R343" s="174">
        <f t="shared" si="156"/>
        <v>0</v>
      </c>
      <c r="S343" s="174">
        <f t="shared" si="156"/>
        <v>0</v>
      </c>
      <c r="T343" s="174">
        <f t="shared" si="156"/>
        <v>0</v>
      </c>
      <c r="U343" s="174">
        <f t="shared" si="156"/>
        <v>0</v>
      </c>
      <c r="V343" s="174">
        <f t="shared" si="156"/>
        <v>0</v>
      </c>
      <c r="W343" s="174">
        <f t="shared" si="156"/>
        <v>0</v>
      </c>
      <c r="X343" s="174">
        <f t="shared" si="156"/>
        <v>0</v>
      </c>
      <c r="Y343" s="174">
        <f t="shared" si="156"/>
        <v>0</v>
      </c>
      <c r="Z343" s="174">
        <f t="shared" si="156"/>
        <v>0</v>
      </c>
      <c r="AA343" s="174">
        <f t="shared" si="156"/>
        <v>0</v>
      </c>
      <c r="AB343" s="174">
        <f t="shared" si="156"/>
        <v>0</v>
      </c>
      <c r="AC343" s="174">
        <f t="shared" si="156"/>
        <v>0</v>
      </c>
      <c r="AD343" s="174">
        <f t="shared" si="156"/>
        <v>0</v>
      </c>
      <c r="AE343" s="174">
        <f t="shared" si="156"/>
        <v>0</v>
      </c>
      <c r="AF343" s="174">
        <f t="shared" si="156"/>
        <v>0</v>
      </c>
      <c r="AG343" s="174">
        <f t="shared" si="156"/>
        <v>0</v>
      </c>
      <c r="AH343" s="174">
        <f t="shared" si="156"/>
        <v>0</v>
      </c>
      <c r="AI343" s="174">
        <f t="shared" si="156"/>
        <v>0</v>
      </c>
      <c r="AJ343" s="174">
        <f t="shared" si="156"/>
        <v>0</v>
      </c>
      <c r="AK343" s="174">
        <f t="shared" si="156"/>
        <v>0</v>
      </c>
      <c r="AL343" s="174">
        <f t="shared" si="156"/>
        <v>0</v>
      </c>
      <c r="AM343" s="174">
        <f t="shared" si="156"/>
        <v>0</v>
      </c>
      <c r="AN343" s="174">
        <f t="shared" ref="AN343:BG343" si="157">SUM(AN344:AN351)</f>
        <v>0</v>
      </c>
      <c r="AO343" s="174">
        <f t="shared" si="157"/>
        <v>0</v>
      </c>
      <c r="AP343" s="174">
        <f t="shared" si="157"/>
        <v>0</v>
      </c>
      <c r="AQ343" s="174">
        <f t="shared" si="157"/>
        <v>0</v>
      </c>
      <c r="AR343" s="174">
        <f t="shared" si="157"/>
        <v>0</v>
      </c>
      <c r="AS343" s="174">
        <f t="shared" si="157"/>
        <v>0</v>
      </c>
      <c r="AT343" s="174">
        <f t="shared" si="157"/>
        <v>0</v>
      </c>
      <c r="AU343" s="174">
        <f t="shared" si="157"/>
        <v>0</v>
      </c>
      <c r="AV343" s="174">
        <f t="shared" si="157"/>
        <v>0</v>
      </c>
      <c r="AW343" s="174">
        <f t="shared" si="157"/>
        <v>0</v>
      </c>
      <c r="AX343" s="174">
        <f t="shared" si="157"/>
        <v>0</v>
      </c>
      <c r="AY343" s="174">
        <f t="shared" si="157"/>
        <v>0</v>
      </c>
      <c r="AZ343" s="174">
        <f t="shared" si="157"/>
        <v>0</v>
      </c>
      <c r="BA343" s="174">
        <f t="shared" si="157"/>
        <v>0</v>
      </c>
      <c r="BB343" s="174">
        <f t="shared" si="157"/>
        <v>0</v>
      </c>
      <c r="BC343" s="174">
        <f t="shared" si="157"/>
        <v>0</v>
      </c>
      <c r="BD343" s="174">
        <f t="shared" si="157"/>
        <v>0</v>
      </c>
      <c r="BE343" s="174">
        <f t="shared" si="157"/>
        <v>0</v>
      </c>
      <c r="BF343" s="174">
        <f t="shared" si="157"/>
        <v>0</v>
      </c>
      <c r="BG343" s="174">
        <f t="shared" si="157"/>
        <v>0</v>
      </c>
      <c r="BH343" s="36"/>
      <c r="BI343" s="150"/>
      <c r="BJ343" s="150"/>
      <c r="BK343" s="151"/>
      <c r="BL343" s="151"/>
      <c r="BM343" s="150"/>
      <c r="BN343" s="150"/>
      <c r="BO343" s="36"/>
      <c r="BP343" s="36"/>
    </row>
    <row r="344" spans="1:68" hidden="1" outlineLevel="1" x14ac:dyDescent="0.25">
      <c r="A344" s="167" t="str">
        <f t="shared" ref="A344:A351" si="158">IF(N(INDEX($BP$20:$BP$67,9))=0,"",INDEX($BP$20:$BP$67,9))</f>
        <v/>
      </c>
      <c r="B344" s="168" t="str" cm="1">
        <f t="array" ref="B344">IF(BI344="","",INDEX(pjName,BI344))</f>
        <v/>
      </c>
      <c r="C344" s="167" t="str" cm="1">
        <f t="array" ref="C344">IF(BI344="","",IF(INDEX(pjStatus,BI344)="","",INDEX(pjStatus,BI344)))</f>
        <v/>
      </c>
      <c r="D344" s="167" t="str" cm="1">
        <f t="array" ref="D344">IFERROR(INDEX(tblStaff[Initials],BN344),"")</f>
        <v>PK</v>
      </c>
      <c r="E344" s="169" t="str" cm="1">
        <f t="array" ref="E344">IF(OR(BI344="",D344=""),"",IFERROR(SUMPRODUCT((pjNo=A344)*(pjType="Phase")*INDEX(Projects!$I$5:$O$1188,0,MATCH(D344,Projects!$I$4:$O$4,0))*pjWk),0))</f>
        <v/>
      </c>
      <c r="F344" s="169" t="str">
        <f t="shared" ref="F344:F351" si="159">IF(BI344="","",SUM(H344:BG344))</f>
        <v/>
      </c>
      <c r="G344" s="169" t="str">
        <f t="shared" ref="G344:G351" si="160">IF(OR(E344="",F344=""),"",E344-F344)</f>
        <v/>
      </c>
      <c r="H344" s="170"/>
      <c r="I344" s="170"/>
      <c r="J344" s="170"/>
      <c r="K344" s="170"/>
      <c r="L344" s="170"/>
      <c r="M344" s="170"/>
      <c r="N344" s="170"/>
      <c r="O344" s="170"/>
      <c r="P344" s="170"/>
      <c r="Q344" s="170"/>
      <c r="R344" s="170"/>
      <c r="S344" s="170"/>
      <c r="T344" s="170"/>
      <c r="U344" s="170"/>
      <c r="V344" s="170"/>
      <c r="W344" s="170"/>
      <c r="X344" s="170"/>
      <c r="Y344" s="170"/>
      <c r="Z344" s="170"/>
      <c r="AA344" s="170"/>
      <c r="AB344" s="170"/>
      <c r="AC344" s="170"/>
      <c r="AD344" s="170"/>
      <c r="AE344" s="170"/>
      <c r="AF344" s="170"/>
      <c r="AG344" s="170"/>
      <c r="AH344" s="170"/>
      <c r="AI344" s="170"/>
      <c r="AJ344" s="170"/>
      <c r="AK344" s="170"/>
      <c r="AL344" s="170"/>
      <c r="AM344" s="170"/>
      <c r="AN344" s="170"/>
      <c r="AO344" s="170"/>
      <c r="AP344" s="170"/>
      <c r="AQ344" s="170"/>
      <c r="AR344" s="170"/>
      <c r="AS344" s="170"/>
      <c r="AT344" s="170"/>
      <c r="AU344" s="170"/>
      <c r="AV344" s="170"/>
      <c r="AW344" s="170"/>
      <c r="AX344" s="170"/>
      <c r="AY344" s="170"/>
      <c r="AZ344" s="170"/>
      <c r="BA344" s="170"/>
      <c r="BB344" s="170"/>
      <c r="BC344" s="170"/>
      <c r="BD344" s="170"/>
      <c r="BE344" s="170"/>
      <c r="BF344" s="170"/>
      <c r="BG344" s="170"/>
      <c r="BH344" s="36"/>
      <c r="BI344" s="150" t="str" cm="1">
        <f t="array" ref="BI344">IF(A344="","",IFERROR(MATCH(1,INDEX((pjNo=A344)*(pjType="Project"),0),0),""))</f>
        <v/>
      </c>
      <c r="BJ344" s="150" t="str">
        <f>IF(D344="","",IFERROR(INDEX(tblStaff[Staff Level],MATCH(D344,tblStaff[Initials],0)),"?"))</f>
        <v>Principal</v>
      </c>
      <c r="BK344" s="151" t="str" cm="1">
        <f t="array" ref="BK344">IF(BI344="","",INDEX(pjStart,BI344))</f>
        <v/>
      </c>
      <c r="BL344" s="151" t="str" cm="1">
        <f t="array" ref="BL344">IF(BI344="","",INDEX(pjEnd,BI344))</f>
        <v/>
      </c>
      <c r="BM344" s="150">
        <f>IF(BI344="",0,IF(C344="Active",1,IF(C344="Prospective",IF(Assumptions!$B$6="Active only",0,Assumptions!$B$7),0)))</f>
        <v>0</v>
      </c>
      <c r="BN344" s="150">
        <v>1</v>
      </c>
      <c r="BO344" s="36"/>
      <c r="BP344" s="36"/>
    </row>
    <row r="345" spans="1:68" hidden="1" outlineLevel="1" x14ac:dyDescent="0.25">
      <c r="A345" s="167" t="str">
        <f t="shared" si="158"/>
        <v/>
      </c>
      <c r="B345" s="168" t="str" cm="1">
        <f t="array" ref="B345">IF(BI345="","",INDEX(pjName,BI345))</f>
        <v/>
      </c>
      <c r="C345" s="167" t="str" cm="1">
        <f t="array" ref="C345">IF(BI345="","",IF(INDEX(pjStatus,BI345)="","",INDEX(pjStatus,BI345)))</f>
        <v/>
      </c>
      <c r="D345" s="167" t="str" cm="1">
        <f t="array" ref="D345">IFERROR(INDEX(tblStaff[Initials],BN345),"")</f>
        <v>DF</v>
      </c>
      <c r="E345" s="169" t="str" cm="1">
        <f t="array" ref="E345">IF(OR(BI345="",D345=""),"",IFERROR(SUMPRODUCT((pjNo=A345)*(pjType="Phase")*INDEX(Projects!$I$5:$O$1188,0,MATCH(D345,Projects!$I$4:$O$4,0))*pjWk),0))</f>
        <v/>
      </c>
      <c r="F345" s="169" t="str">
        <f t="shared" si="159"/>
        <v/>
      </c>
      <c r="G345" s="169" t="str">
        <f t="shared" si="160"/>
        <v/>
      </c>
      <c r="H345" s="170"/>
      <c r="I345" s="170"/>
      <c r="J345" s="170"/>
      <c r="K345" s="170"/>
      <c r="L345" s="170"/>
      <c r="M345" s="170"/>
      <c r="N345" s="170"/>
      <c r="O345" s="170"/>
      <c r="P345" s="170"/>
      <c r="Q345" s="170"/>
      <c r="R345" s="170"/>
      <c r="S345" s="170"/>
      <c r="T345" s="170"/>
      <c r="U345" s="170"/>
      <c r="V345" s="170"/>
      <c r="W345" s="170"/>
      <c r="X345" s="170"/>
      <c r="Y345" s="170"/>
      <c r="Z345" s="170"/>
      <c r="AA345" s="170"/>
      <c r="AB345" s="170"/>
      <c r="AC345" s="170"/>
      <c r="AD345" s="170"/>
      <c r="AE345" s="170"/>
      <c r="AF345" s="170"/>
      <c r="AG345" s="170"/>
      <c r="AH345" s="170"/>
      <c r="AI345" s="170"/>
      <c r="AJ345" s="170"/>
      <c r="AK345" s="170"/>
      <c r="AL345" s="170"/>
      <c r="AM345" s="170"/>
      <c r="AN345" s="170"/>
      <c r="AO345" s="170"/>
      <c r="AP345" s="170"/>
      <c r="AQ345" s="170"/>
      <c r="AR345" s="170"/>
      <c r="AS345" s="170"/>
      <c r="AT345" s="170"/>
      <c r="AU345" s="170"/>
      <c r="AV345" s="170"/>
      <c r="AW345" s="170"/>
      <c r="AX345" s="170"/>
      <c r="AY345" s="170"/>
      <c r="AZ345" s="170"/>
      <c r="BA345" s="170"/>
      <c r="BB345" s="170"/>
      <c r="BC345" s="170"/>
      <c r="BD345" s="170"/>
      <c r="BE345" s="170"/>
      <c r="BF345" s="170"/>
      <c r="BG345" s="170"/>
      <c r="BH345" s="36"/>
      <c r="BI345" s="150" t="str" cm="1">
        <f t="array" ref="BI345">IF(A345="","",IFERROR(MATCH(1,INDEX((pjNo=A345)*(pjType="Project"),0),0),""))</f>
        <v/>
      </c>
      <c r="BJ345" s="150" t="str">
        <f>IF(D345="","",IFERROR(INDEX(tblStaff[Staff Level],MATCH(D345,tblStaff[Initials],0)),"?"))</f>
        <v>Principal</v>
      </c>
      <c r="BK345" s="151" t="str" cm="1">
        <f t="array" ref="BK345">IF(BI345="","",INDEX(pjStart,BI345))</f>
        <v/>
      </c>
      <c r="BL345" s="151" t="str" cm="1">
        <f t="array" ref="BL345">IF(BI345="","",INDEX(pjEnd,BI345))</f>
        <v/>
      </c>
      <c r="BM345" s="150">
        <f>IF(BI345="",0,IF(C345="Active",1,IF(C345="Prospective",IF(Assumptions!$B$6="Active only",0,Assumptions!$B$7),0)))</f>
        <v>0</v>
      </c>
      <c r="BN345" s="150">
        <v>2</v>
      </c>
      <c r="BO345" s="36"/>
      <c r="BP345" s="36"/>
    </row>
    <row r="346" spans="1:68" hidden="1" outlineLevel="1" x14ac:dyDescent="0.25">
      <c r="A346" s="158" t="str">
        <f t="shared" si="158"/>
        <v/>
      </c>
      <c r="B346" s="157" t="str" cm="1">
        <f t="array" ref="B346">IF(BI346="","",INDEX(pjName,BI346))</f>
        <v/>
      </c>
      <c r="C346" s="158" t="str" cm="1">
        <f t="array" ref="C346">IF(BI346="","",IF(INDEX(pjStatus,BI346)="","",INDEX(pjStatus,BI346)))</f>
        <v/>
      </c>
      <c r="D346" s="158" t="str" cm="1">
        <f t="array" ref="D346">IFERROR(INDEX(tblStaff[Initials],BN346),"")</f>
        <v>KJ</v>
      </c>
      <c r="E346" s="159" t="str" cm="1">
        <f t="array" ref="E346">IF(OR(BI346="",D346=""),"",IFERROR(SUMPRODUCT((pjNo=A346)*(pjType="Phase")*INDEX(Projects!$I$5:$O$1188,0,MATCH(D346,Projects!$I$4:$O$4,0))*pjWk),0))</f>
        <v/>
      </c>
      <c r="F346" s="159" t="str">
        <f t="shared" si="159"/>
        <v/>
      </c>
      <c r="G346" s="159" t="str">
        <f t="shared" si="160"/>
        <v/>
      </c>
      <c r="H346" s="160"/>
      <c r="I346" s="160"/>
      <c r="J346" s="160"/>
      <c r="K346" s="160"/>
      <c r="L346" s="160"/>
      <c r="M346" s="160"/>
      <c r="N346" s="160"/>
      <c r="O346" s="160"/>
      <c r="P346" s="160"/>
      <c r="Q346" s="160"/>
      <c r="R346" s="160"/>
      <c r="S346" s="160"/>
      <c r="T346" s="160"/>
      <c r="U346" s="160"/>
      <c r="V346" s="160"/>
      <c r="W346" s="160"/>
      <c r="X346" s="160"/>
      <c r="Y346" s="160"/>
      <c r="Z346" s="160"/>
      <c r="AA346" s="160"/>
      <c r="AB346" s="160"/>
      <c r="AC346" s="160"/>
      <c r="AD346" s="160"/>
      <c r="AE346" s="160"/>
      <c r="AF346" s="160"/>
      <c r="AG346" s="160"/>
      <c r="AH346" s="160"/>
      <c r="AI346" s="160"/>
      <c r="AJ346" s="160"/>
      <c r="AK346" s="160"/>
      <c r="AL346" s="160"/>
      <c r="AM346" s="160"/>
      <c r="AN346" s="160"/>
      <c r="AO346" s="160"/>
      <c r="AP346" s="160"/>
      <c r="AQ346" s="160"/>
      <c r="AR346" s="160"/>
      <c r="AS346" s="160"/>
      <c r="AT346" s="160"/>
      <c r="AU346" s="160"/>
      <c r="AV346" s="160"/>
      <c r="AW346" s="160"/>
      <c r="AX346" s="160"/>
      <c r="AY346" s="160"/>
      <c r="AZ346" s="160"/>
      <c r="BA346" s="160"/>
      <c r="BB346" s="160"/>
      <c r="BC346" s="160"/>
      <c r="BD346" s="160"/>
      <c r="BE346" s="160"/>
      <c r="BF346" s="160"/>
      <c r="BG346" s="160"/>
      <c r="BH346" s="36"/>
      <c r="BI346" s="150" t="str" cm="1">
        <f t="array" ref="BI346">IF(A346="","",IFERROR(MATCH(1,INDEX((pjNo=A346)*(pjType="Project"),0),0),""))</f>
        <v/>
      </c>
      <c r="BJ346" s="150" t="str">
        <f>IF(D346="","",IFERROR(INDEX(tblStaff[Staff Level],MATCH(D346,tblStaff[Initials],0)),"?"))</f>
        <v>Director</v>
      </c>
      <c r="BK346" s="151" t="str" cm="1">
        <f t="array" ref="BK346">IF(BI346="","",INDEX(pjStart,BI346))</f>
        <v/>
      </c>
      <c r="BL346" s="151" t="str" cm="1">
        <f t="array" ref="BL346">IF(BI346="","",INDEX(pjEnd,BI346))</f>
        <v/>
      </c>
      <c r="BM346" s="150">
        <f>IF(BI346="",0,IF(C346="Active",1,IF(C346="Prospective",IF(Assumptions!$B$6="Active only",0,Assumptions!$B$7),0)))</f>
        <v>0</v>
      </c>
      <c r="BN346" s="150">
        <v>3</v>
      </c>
      <c r="BO346" s="36"/>
      <c r="BP346" s="36"/>
    </row>
    <row r="347" spans="1:68" hidden="1" outlineLevel="1" x14ac:dyDescent="0.25">
      <c r="A347" s="158" t="str">
        <f t="shared" si="158"/>
        <v/>
      </c>
      <c r="B347" s="157" t="str" cm="1">
        <f t="array" ref="B347">IF(BI347="","",INDEX(pjName,BI347))</f>
        <v/>
      </c>
      <c r="C347" s="158" t="str" cm="1">
        <f t="array" ref="C347">IF(BI347="","",IF(INDEX(pjStatus,BI347)="","",INDEX(pjStatus,BI347)))</f>
        <v/>
      </c>
      <c r="D347" s="158" t="str" cm="1">
        <f t="array" ref="D347">IFERROR(INDEX(tblStaff[Initials],BN347),"")</f>
        <v>HL</v>
      </c>
      <c r="E347" s="159" t="str" cm="1">
        <f t="array" ref="E347">IF(OR(BI347="",D347=""),"",IFERROR(SUMPRODUCT((pjNo=A347)*(pjType="Phase")*INDEX(Projects!$I$5:$O$1188,0,MATCH(D347,Projects!$I$4:$O$4,0))*pjWk),0))</f>
        <v/>
      </c>
      <c r="F347" s="159" t="str">
        <f t="shared" si="159"/>
        <v/>
      </c>
      <c r="G347" s="159" t="str">
        <f t="shared" si="160"/>
        <v/>
      </c>
      <c r="H347" s="160"/>
      <c r="I347" s="160"/>
      <c r="J347" s="160"/>
      <c r="K347" s="160"/>
      <c r="L347" s="160"/>
      <c r="M347" s="160"/>
      <c r="N347" s="160"/>
      <c r="O347" s="160"/>
      <c r="P347" s="160"/>
      <c r="Q347" s="160"/>
      <c r="R347" s="160"/>
      <c r="S347" s="160"/>
      <c r="T347" s="160"/>
      <c r="U347" s="160"/>
      <c r="V347" s="160"/>
      <c r="W347" s="160"/>
      <c r="X347" s="160"/>
      <c r="Y347" s="160"/>
      <c r="Z347" s="160"/>
      <c r="AA347" s="160"/>
      <c r="AB347" s="160"/>
      <c r="AC347" s="160"/>
      <c r="AD347" s="160"/>
      <c r="AE347" s="160"/>
      <c r="AF347" s="160"/>
      <c r="AG347" s="160"/>
      <c r="AH347" s="160"/>
      <c r="AI347" s="160"/>
      <c r="AJ347" s="160"/>
      <c r="AK347" s="160"/>
      <c r="AL347" s="160"/>
      <c r="AM347" s="160"/>
      <c r="AN347" s="160"/>
      <c r="AO347" s="160"/>
      <c r="AP347" s="160"/>
      <c r="AQ347" s="160"/>
      <c r="AR347" s="160"/>
      <c r="AS347" s="160"/>
      <c r="AT347" s="160"/>
      <c r="AU347" s="160"/>
      <c r="AV347" s="160"/>
      <c r="AW347" s="160"/>
      <c r="AX347" s="160"/>
      <c r="AY347" s="160"/>
      <c r="AZ347" s="160"/>
      <c r="BA347" s="160"/>
      <c r="BB347" s="160"/>
      <c r="BC347" s="160"/>
      <c r="BD347" s="160"/>
      <c r="BE347" s="160"/>
      <c r="BF347" s="160"/>
      <c r="BG347" s="160"/>
      <c r="BH347" s="36"/>
      <c r="BI347" s="150" t="str" cm="1">
        <f t="array" ref="BI347">IF(A347="","",IFERROR(MATCH(1,INDEX((pjNo=A347)*(pjType="Project"),0),0),""))</f>
        <v/>
      </c>
      <c r="BJ347" s="150" t="str">
        <f>IF(D347="","",IFERROR(INDEX(tblStaff[Staff Level],MATCH(D347,tblStaff[Initials],0)),"?"))</f>
        <v>Senior Designer</v>
      </c>
      <c r="BK347" s="151" t="str" cm="1">
        <f t="array" ref="BK347">IF(BI347="","",INDEX(pjStart,BI347))</f>
        <v/>
      </c>
      <c r="BL347" s="151" t="str" cm="1">
        <f t="array" ref="BL347">IF(BI347="","",INDEX(pjEnd,BI347))</f>
        <v/>
      </c>
      <c r="BM347" s="150">
        <f>IF(BI347="",0,IF(C347="Active",1,IF(C347="Prospective",IF(Assumptions!$B$6="Active only",0,Assumptions!$B$7),0)))</f>
        <v>0</v>
      </c>
      <c r="BN347" s="150">
        <v>4</v>
      </c>
      <c r="BO347" s="36"/>
      <c r="BP347" s="36"/>
    </row>
    <row r="348" spans="1:68" hidden="1" outlineLevel="1" x14ac:dyDescent="0.25">
      <c r="A348" s="158" t="str">
        <f t="shared" si="158"/>
        <v/>
      </c>
      <c r="B348" s="157" t="str" cm="1">
        <f t="array" ref="B348">IF(BI348="","",INDEX(pjName,BI348))</f>
        <v/>
      </c>
      <c r="C348" s="158" t="str" cm="1">
        <f t="array" ref="C348">IF(BI348="","",IF(INDEX(pjStatus,BI348)="","",INDEX(pjStatus,BI348)))</f>
        <v/>
      </c>
      <c r="D348" s="158" t="str" cm="1">
        <f t="array" ref="D348">IFERROR(INDEX(tblStaff[Initials],BN348),"")</f>
        <v>EHH</v>
      </c>
      <c r="E348" s="159" t="str" cm="1">
        <f t="array" ref="E348">IF(OR(BI348="",D348=""),"",IFERROR(SUMPRODUCT((pjNo=A348)*(pjType="Phase")*INDEX(Projects!$I$5:$O$1188,0,MATCH(D348,Projects!$I$4:$O$4,0))*pjWk),0))</f>
        <v/>
      </c>
      <c r="F348" s="159" t="str">
        <f t="shared" si="159"/>
        <v/>
      </c>
      <c r="G348" s="159" t="str">
        <f t="shared" si="160"/>
        <v/>
      </c>
      <c r="H348" s="160"/>
      <c r="I348" s="160"/>
      <c r="J348" s="160"/>
      <c r="K348" s="160"/>
      <c r="L348" s="160"/>
      <c r="M348" s="160"/>
      <c r="N348" s="160"/>
      <c r="O348" s="160"/>
      <c r="P348" s="160"/>
      <c r="Q348" s="160"/>
      <c r="R348" s="160"/>
      <c r="S348" s="160"/>
      <c r="T348" s="160"/>
      <c r="U348" s="160"/>
      <c r="V348" s="160"/>
      <c r="W348" s="160"/>
      <c r="X348" s="160"/>
      <c r="Y348" s="160"/>
      <c r="Z348" s="160"/>
      <c r="AA348" s="160"/>
      <c r="AB348" s="160"/>
      <c r="AC348" s="160"/>
      <c r="AD348" s="160"/>
      <c r="AE348" s="160"/>
      <c r="AF348" s="160"/>
      <c r="AG348" s="160"/>
      <c r="AH348" s="160"/>
      <c r="AI348" s="160"/>
      <c r="AJ348" s="160"/>
      <c r="AK348" s="160"/>
      <c r="AL348" s="160"/>
      <c r="AM348" s="160"/>
      <c r="AN348" s="160"/>
      <c r="AO348" s="160"/>
      <c r="AP348" s="160"/>
      <c r="AQ348" s="160"/>
      <c r="AR348" s="160"/>
      <c r="AS348" s="160"/>
      <c r="AT348" s="160"/>
      <c r="AU348" s="160"/>
      <c r="AV348" s="160"/>
      <c r="AW348" s="160"/>
      <c r="AX348" s="160"/>
      <c r="AY348" s="160"/>
      <c r="AZ348" s="160"/>
      <c r="BA348" s="160"/>
      <c r="BB348" s="160"/>
      <c r="BC348" s="160"/>
      <c r="BD348" s="160"/>
      <c r="BE348" s="160"/>
      <c r="BF348" s="160"/>
      <c r="BG348" s="160"/>
      <c r="BH348" s="36"/>
      <c r="BI348" s="150" t="str" cm="1">
        <f t="array" ref="BI348">IF(A348="","",IFERROR(MATCH(1,INDEX((pjNo=A348)*(pjType="Project"),0),0),""))</f>
        <v/>
      </c>
      <c r="BJ348" s="150" t="str">
        <f>IF(D348="","",IFERROR(INDEX(tblStaff[Staff Level],MATCH(D348,tblStaff[Initials],0)),"?"))</f>
        <v>Mid Level Designer</v>
      </c>
      <c r="BK348" s="151" t="str" cm="1">
        <f t="array" ref="BK348">IF(BI348="","",INDEX(pjStart,BI348))</f>
        <v/>
      </c>
      <c r="BL348" s="151" t="str" cm="1">
        <f t="array" ref="BL348">IF(BI348="","",INDEX(pjEnd,BI348))</f>
        <v/>
      </c>
      <c r="BM348" s="150">
        <f>IF(BI348="",0,IF(C348="Active",1,IF(C348="Prospective",IF(Assumptions!$B$6="Active only",0,Assumptions!$B$7),0)))</f>
        <v>0</v>
      </c>
      <c r="BN348" s="150">
        <v>5</v>
      </c>
      <c r="BO348" s="36"/>
      <c r="BP348" s="36"/>
    </row>
    <row r="349" spans="1:68" hidden="1" outlineLevel="1" x14ac:dyDescent="0.25">
      <c r="A349" s="158" t="str">
        <f t="shared" si="158"/>
        <v/>
      </c>
      <c r="B349" s="157" t="str" cm="1">
        <f t="array" ref="B349">IF(BI349="","",INDEX(pjName,BI349))</f>
        <v/>
      </c>
      <c r="C349" s="158" t="str" cm="1">
        <f t="array" ref="C349">IF(BI349="","",IF(INDEX(pjStatus,BI349)="","",INDEX(pjStatus,BI349)))</f>
        <v/>
      </c>
      <c r="D349" s="158" t="str" cm="1">
        <f t="array" ref="D349">IFERROR(INDEX(tblStaff[Initials],BN349),"")</f>
        <v>KD</v>
      </c>
      <c r="E349" s="159" t="str" cm="1">
        <f t="array" ref="E349">IF(OR(BI349="",D349=""),"",IFERROR(SUMPRODUCT((pjNo=A349)*(pjType="Phase")*INDEX(Projects!$I$5:$O$1188,0,MATCH(D349,Projects!$I$4:$O$4,0))*pjWk),0))</f>
        <v/>
      </c>
      <c r="F349" s="159" t="str">
        <f t="shared" si="159"/>
        <v/>
      </c>
      <c r="G349" s="159" t="str">
        <f t="shared" si="160"/>
        <v/>
      </c>
      <c r="H349" s="160"/>
      <c r="I349" s="160"/>
      <c r="J349" s="160"/>
      <c r="K349" s="160"/>
      <c r="L349" s="160"/>
      <c r="M349" s="160"/>
      <c r="N349" s="160"/>
      <c r="O349" s="160"/>
      <c r="P349" s="160"/>
      <c r="Q349" s="160"/>
      <c r="R349" s="160"/>
      <c r="S349" s="160"/>
      <c r="T349" s="160"/>
      <c r="U349" s="160"/>
      <c r="V349" s="160"/>
      <c r="W349" s="160"/>
      <c r="X349" s="160"/>
      <c r="Y349" s="160"/>
      <c r="Z349" s="160"/>
      <c r="AA349" s="160"/>
      <c r="AB349" s="160"/>
      <c r="AC349" s="160"/>
      <c r="AD349" s="160"/>
      <c r="AE349" s="160"/>
      <c r="AF349" s="160"/>
      <c r="AG349" s="160"/>
      <c r="AH349" s="160"/>
      <c r="AI349" s="160"/>
      <c r="AJ349" s="160"/>
      <c r="AK349" s="160"/>
      <c r="AL349" s="160"/>
      <c r="AM349" s="160"/>
      <c r="AN349" s="160"/>
      <c r="AO349" s="160"/>
      <c r="AP349" s="160"/>
      <c r="AQ349" s="160"/>
      <c r="AR349" s="160"/>
      <c r="AS349" s="160"/>
      <c r="AT349" s="160"/>
      <c r="AU349" s="160"/>
      <c r="AV349" s="160"/>
      <c r="AW349" s="160"/>
      <c r="AX349" s="160"/>
      <c r="AY349" s="160"/>
      <c r="AZ349" s="160"/>
      <c r="BA349" s="160"/>
      <c r="BB349" s="160"/>
      <c r="BC349" s="160"/>
      <c r="BD349" s="160"/>
      <c r="BE349" s="160"/>
      <c r="BF349" s="160"/>
      <c r="BG349" s="160"/>
      <c r="BH349" s="36"/>
      <c r="BI349" s="150" t="str" cm="1">
        <f t="array" ref="BI349">IF(A349="","",IFERROR(MATCH(1,INDEX((pjNo=A349)*(pjType="Project"),0),0),""))</f>
        <v/>
      </c>
      <c r="BJ349" s="150" t="str">
        <f>IF(D349="","",IFERROR(INDEX(tblStaff[Staff Level],MATCH(D349,tblStaff[Initials],0)),"?"))</f>
        <v>Mid Level Designer</v>
      </c>
      <c r="BK349" s="151" t="str" cm="1">
        <f t="array" ref="BK349">IF(BI349="","",INDEX(pjStart,BI349))</f>
        <v/>
      </c>
      <c r="BL349" s="151" t="str" cm="1">
        <f t="array" ref="BL349">IF(BI349="","",INDEX(pjEnd,BI349))</f>
        <v/>
      </c>
      <c r="BM349" s="150">
        <f>IF(BI349="",0,IF(C349="Active",1,IF(C349="Prospective",IF(Assumptions!$B$6="Active only",0,Assumptions!$B$7),0)))</f>
        <v>0</v>
      </c>
      <c r="BN349" s="150">
        <v>6</v>
      </c>
      <c r="BO349" s="36"/>
      <c r="BP349" s="36"/>
    </row>
    <row r="350" spans="1:68" hidden="1" outlineLevel="1" x14ac:dyDescent="0.25">
      <c r="A350" s="158" t="str">
        <f t="shared" si="158"/>
        <v/>
      </c>
      <c r="B350" s="157" t="str" cm="1">
        <f t="array" ref="B350">IF(BI350="","",INDEX(pjName,BI350))</f>
        <v/>
      </c>
      <c r="C350" s="158" t="str" cm="1">
        <f t="array" ref="C350">IF(BI350="","",IF(INDEX(pjStatus,BI350)="","",INDEX(pjStatus,BI350)))</f>
        <v/>
      </c>
      <c r="D350" s="158" t="str" cm="1">
        <f t="array" ref="D350">IFERROR(INDEX(tblStaff[Initials],BN350),"")</f>
        <v>XX</v>
      </c>
      <c r="E350" s="159" t="str" cm="1">
        <f t="array" ref="E350">IF(OR(BI350="",D350=""),"",IFERROR(SUMPRODUCT((pjNo=A350)*(pjType="Phase")*INDEX(Projects!$I$5:$O$1188,0,MATCH(D350,Projects!$I$4:$O$4,0))*pjWk),0))</f>
        <v/>
      </c>
      <c r="F350" s="159" t="str">
        <f t="shared" si="159"/>
        <v/>
      </c>
      <c r="G350" s="159" t="str">
        <f t="shared" si="160"/>
        <v/>
      </c>
      <c r="H350" s="160"/>
      <c r="I350" s="160"/>
      <c r="J350" s="160"/>
      <c r="K350" s="160"/>
      <c r="L350" s="160"/>
      <c r="M350" s="160"/>
      <c r="N350" s="160"/>
      <c r="O350" s="160"/>
      <c r="P350" s="160"/>
      <c r="Q350" s="160"/>
      <c r="R350" s="160"/>
      <c r="S350" s="160"/>
      <c r="T350" s="160"/>
      <c r="U350" s="160"/>
      <c r="V350" s="160"/>
      <c r="W350" s="160"/>
      <c r="X350" s="160"/>
      <c r="Y350" s="160"/>
      <c r="Z350" s="160"/>
      <c r="AA350" s="160"/>
      <c r="AB350" s="160"/>
      <c r="AC350" s="160"/>
      <c r="AD350" s="160"/>
      <c r="AE350" s="160"/>
      <c r="AF350" s="160"/>
      <c r="AG350" s="160"/>
      <c r="AH350" s="160"/>
      <c r="AI350" s="160"/>
      <c r="AJ350" s="160"/>
      <c r="AK350" s="160"/>
      <c r="AL350" s="160"/>
      <c r="AM350" s="160"/>
      <c r="AN350" s="160"/>
      <c r="AO350" s="160"/>
      <c r="AP350" s="160"/>
      <c r="AQ350" s="160"/>
      <c r="AR350" s="160"/>
      <c r="AS350" s="160"/>
      <c r="AT350" s="160"/>
      <c r="AU350" s="160"/>
      <c r="AV350" s="160"/>
      <c r="AW350" s="160"/>
      <c r="AX350" s="160"/>
      <c r="AY350" s="160"/>
      <c r="AZ350" s="160"/>
      <c r="BA350" s="160"/>
      <c r="BB350" s="160"/>
      <c r="BC350" s="160"/>
      <c r="BD350" s="160"/>
      <c r="BE350" s="160"/>
      <c r="BF350" s="160"/>
      <c r="BG350" s="160"/>
      <c r="BH350" s="36"/>
      <c r="BI350" s="150" t="str" cm="1">
        <f t="array" ref="BI350">IF(A350="","",IFERROR(MATCH(1,INDEX((pjNo=A350)*(pjType="Project"),0),0),""))</f>
        <v/>
      </c>
      <c r="BJ350" s="150" t="str">
        <f>IF(D350="","",IFERROR(INDEX(tblStaff[Staff Level],MATCH(D350,tblStaff[Initials],0)),"?"))</f>
        <v>Project Designer</v>
      </c>
      <c r="BK350" s="151" t="str" cm="1">
        <f t="array" ref="BK350">IF(BI350="","",INDEX(pjStart,BI350))</f>
        <v/>
      </c>
      <c r="BL350" s="151" t="str" cm="1">
        <f t="array" ref="BL350">IF(BI350="","",INDEX(pjEnd,BI350))</f>
        <v/>
      </c>
      <c r="BM350" s="150">
        <f>IF(BI350="",0,IF(C350="Active",1,IF(C350="Prospective",IF(Assumptions!$B$6="Active only",0,Assumptions!$B$7),0)))</f>
        <v>0</v>
      </c>
      <c r="BN350" s="150">
        <v>7</v>
      </c>
      <c r="BO350" s="36"/>
      <c r="BP350" s="36"/>
    </row>
    <row r="351" spans="1:68" hidden="1" outlineLevel="1" x14ac:dyDescent="0.25">
      <c r="A351" s="162" t="str">
        <f t="shared" si="158"/>
        <v/>
      </c>
      <c r="B351" s="161" t="str" cm="1">
        <f t="array" ref="B351">IF(BI351="","",INDEX(pjName,BI351))</f>
        <v/>
      </c>
      <c r="C351" s="162" t="str" cm="1">
        <f t="array" ref="C351">IF(BI351="","",IF(INDEX(pjStatus,BI351)="","",INDEX(pjStatus,BI351)))</f>
        <v/>
      </c>
      <c r="D351" s="162" t="str" cm="1">
        <f t="array" ref="D351">IFERROR(INDEX(tblStaff[Initials],BN351),"")</f>
        <v/>
      </c>
      <c r="E351" s="163" t="str" cm="1">
        <f t="array" ref="E351">IF(OR(BI351="",D351=""),"",IFERROR(SUMPRODUCT((pjNo=A351)*(pjType="Phase")*INDEX(Projects!$I$5:$O$1188,0,MATCH(D351,Projects!$I$4:$O$4,0))*pjWk),0))</f>
        <v/>
      </c>
      <c r="F351" s="163" t="str">
        <f t="shared" si="159"/>
        <v/>
      </c>
      <c r="G351" s="163" t="str">
        <f t="shared" si="160"/>
        <v/>
      </c>
      <c r="H351" s="164"/>
      <c r="I351" s="164"/>
      <c r="J351" s="164"/>
      <c r="K351" s="164"/>
      <c r="L351" s="164"/>
      <c r="M351" s="164"/>
      <c r="N351" s="164"/>
      <c r="O351" s="164"/>
      <c r="P351" s="164"/>
      <c r="Q351" s="164"/>
      <c r="R351" s="164"/>
      <c r="S351" s="164"/>
      <c r="T351" s="164"/>
      <c r="U351" s="164"/>
      <c r="V351" s="164"/>
      <c r="W351" s="164"/>
      <c r="X351" s="164"/>
      <c r="Y351" s="164"/>
      <c r="Z351" s="164"/>
      <c r="AA351" s="164"/>
      <c r="AB351" s="164"/>
      <c r="AC351" s="164"/>
      <c r="AD351" s="164"/>
      <c r="AE351" s="164"/>
      <c r="AF351" s="164"/>
      <c r="AG351" s="164"/>
      <c r="AH351" s="164"/>
      <c r="AI351" s="164"/>
      <c r="AJ351" s="164"/>
      <c r="AK351" s="164"/>
      <c r="AL351" s="164"/>
      <c r="AM351" s="164"/>
      <c r="AN351" s="164"/>
      <c r="AO351" s="164"/>
      <c r="AP351" s="164"/>
      <c r="AQ351" s="164"/>
      <c r="AR351" s="164"/>
      <c r="AS351" s="164"/>
      <c r="AT351" s="164"/>
      <c r="AU351" s="164"/>
      <c r="AV351" s="164"/>
      <c r="AW351" s="164"/>
      <c r="AX351" s="164"/>
      <c r="AY351" s="164"/>
      <c r="AZ351" s="164"/>
      <c r="BA351" s="164"/>
      <c r="BB351" s="164"/>
      <c r="BC351" s="164"/>
      <c r="BD351" s="164"/>
      <c r="BE351" s="164"/>
      <c r="BF351" s="164"/>
      <c r="BG351" s="164"/>
      <c r="BH351" s="36"/>
      <c r="BI351" s="150" t="str" cm="1">
        <f t="array" ref="BI351">IF(A351="","",IFERROR(MATCH(1,INDEX((pjNo=A351)*(pjType="Project"),0),0),""))</f>
        <v/>
      </c>
      <c r="BJ351" s="150" t="str">
        <f>IF(D351="","",IFERROR(INDEX(tblStaff[Staff Level],MATCH(D351,tblStaff[Initials],0)),"?"))</f>
        <v/>
      </c>
      <c r="BK351" s="151" t="str" cm="1">
        <f t="array" ref="BK351">IF(BI351="","",INDEX(pjStart,BI351))</f>
        <v/>
      </c>
      <c r="BL351" s="151" t="str" cm="1">
        <f t="array" ref="BL351">IF(BI351="","",INDEX(pjEnd,BI351))</f>
        <v/>
      </c>
      <c r="BM351" s="150">
        <f>IF(BI351="",0,IF(C351="Active",1,IF(C351="Prospective",IF(Assumptions!$B$6="Active only",0,Assumptions!$B$7),0)))</f>
        <v>0</v>
      </c>
      <c r="BN351" s="150">
        <v>8</v>
      </c>
      <c r="BO351" s="36"/>
      <c r="BP351" s="36"/>
    </row>
    <row r="352" spans="1:68" collapsed="1" x14ac:dyDescent="0.25">
      <c r="A352" s="171"/>
      <c r="B352" s="173" t="str">
        <f>IF(A353="","",A353&amp;" · "&amp;B353)</f>
        <v/>
      </c>
      <c r="C352" s="171" t="str">
        <f>IF(A353="","",C353)</f>
        <v/>
      </c>
      <c r="D352" s="171"/>
      <c r="E352" s="172">
        <f>SUM(E353:E360)</f>
        <v>0</v>
      </c>
      <c r="F352" s="172">
        <f>SUM(F353:F360)</f>
        <v>0</v>
      </c>
      <c r="G352" s="172" t="str">
        <f>IF(E352=0,"",E352-F352)</f>
        <v/>
      </c>
      <c r="H352" s="174">
        <f t="shared" ref="H352:AM352" si="161">SUM(H353:H360)</f>
        <v>0</v>
      </c>
      <c r="I352" s="174">
        <f t="shared" si="161"/>
        <v>0</v>
      </c>
      <c r="J352" s="174">
        <f t="shared" si="161"/>
        <v>0</v>
      </c>
      <c r="K352" s="174">
        <f t="shared" si="161"/>
        <v>0</v>
      </c>
      <c r="L352" s="174">
        <f t="shared" si="161"/>
        <v>0</v>
      </c>
      <c r="M352" s="174">
        <f t="shared" si="161"/>
        <v>0</v>
      </c>
      <c r="N352" s="174">
        <f t="shared" si="161"/>
        <v>0</v>
      </c>
      <c r="O352" s="174">
        <f t="shared" si="161"/>
        <v>0</v>
      </c>
      <c r="P352" s="174">
        <f t="shared" si="161"/>
        <v>0</v>
      </c>
      <c r="Q352" s="174">
        <f t="shared" si="161"/>
        <v>0</v>
      </c>
      <c r="R352" s="174">
        <f t="shared" si="161"/>
        <v>0</v>
      </c>
      <c r="S352" s="174">
        <f t="shared" si="161"/>
        <v>0</v>
      </c>
      <c r="T352" s="174">
        <f t="shared" si="161"/>
        <v>0</v>
      </c>
      <c r="U352" s="174">
        <f t="shared" si="161"/>
        <v>0</v>
      </c>
      <c r="V352" s="174">
        <f t="shared" si="161"/>
        <v>0</v>
      </c>
      <c r="W352" s="174">
        <f t="shared" si="161"/>
        <v>0</v>
      </c>
      <c r="X352" s="174">
        <f t="shared" si="161"/>
        <v>0</v>
      </c>
      <c r="Y352" s="174">
        <f t="shared" si="161"/>
        <v>0</v>
      </c>
      <c r="Z352" s="174">
        <f t="shared" si="161"/>
        <v>0</v>
      </c>
      <c r="AA352" s="174">
        <f t="shared" si="161"/>
        <v>0</v>
      </c>
      <c r="AB352" s="174">
        <f t="shared" si="161"/>
        <v>0</v>
      </c>
      <c r="AC352" s="174">
        <f t="shared" si="161"/>
        <v>0</v>
      </c>
      <c r="AD352" s="174">
        <f t="shared" si="161"/>
        <v>0</v>
      </c>
      <c r="AE352" s="174">
        <f t="shared" si="161"/>
        <v>0</v>
      </c>
      <c r="AF352" s="174">
        <f t="shared" si="161"/>
        <v>0</v>
      </c>
      <c r="AG352" s="174">
        <f t="shared" si="161"/>
        <v>0</v>
      </c>
      <c r="AH352" s="174">
        <f t="shared" si="161"/>
        <v>0</v>
      </c>
      <c r="AI352" s="174">
        <f t="shared" si="161"/>
        <v>0</v>
      </c>
      <c r="AJ352" s="174">
        <f t="shared" si="161"/>
        <v>0</v>
      </c>
      <c r="AK352" s="174">
        <f t="shared" si="161"/>
        <v>0</v>
      </c>
      <c r="AL352" s="174">
        <f t="shared" si="161"/>
        <v>0</v>
      </c>
      <c r="AM352" s="174">
        <f t="shared" si="161"/>
        <v>0</v>
      </c>
      <c r="AN352" s="174">
        <f t="shared" ref="AN352:BG352" si="162">SUM(AN353:AN360)</f>
        <v>0</v>
      </c>
      <c r="AO352" s="174">
        <f t="shared" si="162"/>
        <v>0</v>
      </c>
      <c r="AP352" s="174">
        <f t="shared" si="162"/>
        <v>0</v>
      </c>
      <c r="AQ352" s="174">
        <f t="shared" si="162"/>
        <v>0</v>
      </c>
      <c r="AR352" s="174">
        <f t="shared" si="162"/>
        <v>0</v>
      </c>
      <c r="AS352" s="174">
        <f t="shared" si="162"/>
        <v>0</v>
      </c>
      <c r="AT352" s="174">
        <f t="shared" si="162"/>
        <v>0</v>
      </c>
      <c r="AU352" s="174">
        <f t="shared" si="162"/>
        <v>0</v>
      </c>
      <c r="AV352" s="174">
        <f t="shared" si="162"/>
        <v>0</v>
      </c>
      <c r="AW352" s="174">
        <f t="shared" si="162"/>
        <v>0</v>
      </c>
      <c r="AX352" s="174">
        <f t="shared" si="162"/>
        <v>0</v>
      </c>
      <c r="AY352" s="174">
        <f t="shared" si="162"/>
        <v>0</v>
      </c>
      <c r="AZ352" s="174">
        <f t="shared" si="162"/>
        <v>0</v>
      </c>
      <c r="BA352" s="174">
        <f t="shared" si="162"/>
        <v>0</v>
      </c>
      <c r="BB352" s="174">
        <f t="shared" si="162"/>
        <v>0</v>
      </c>
      <c r="BC352" s="174">
        <f t="shared" si="162"/>
        <v>0</v>
      </c>
      <c r="BD352" s="174">
        <f t="shared" si="162"/>
        <v>0</v>
      </c>
      <c r="BE352" s="174">
        <f t="shared" si="162"/>
        <v>0</v>
      </c>
      <c r="BF352" s="174">
        <f t="shared" si="162"/>
        <v>0</v>
      </c>
      <c r="BG352" s="174">
        <f t="shared" si="162"/>
        <v>0</v>
      </c>
      <c r="BH352" s="36"/>
      <c r="BI352" s="150"/>
      <c r="BJ352" s="150"/>
      <c r="BK352" s="151"/>
      <c r="BL352" s="151"/>
      <c r="BM352" s="150"/>
      <c r="BN352" s="150"/>
      <c r="BO352" s="36"/>
      <c r="BP352" s="36"/>
    </row>
    <row r="353" spans="1:68" hidden="1" outlineLevel="1" x14ac:dyDescent="0.25">
      <c r="A353" s="167" t="str">
        <f t="shared" ref="A353:A360" si="163">IF(N(INDEX($BP$20:$BP$67,10))=0,"",INDEX($BP$20:$BP$67,10))</f>
        <v/>
      </c>
      <c r="B353" s="168" t="str" cm="1">
        <f t="array" ref="B353">IF(BI353="","",INDEX(pjName,BI353))</f>
        <v/>
      </c>
      <c r="C353" s="167" t="str" cm="1">
        <f t="array" ref="C353">IF(BI353="","",IF(INDEX(pjStatus,BI353)="","",INDEX(pjStatus,BI353)))</f>
        <v/>
      </c>
      <c r="D353" s="167" t="str" cm="1">
        <f t="array" ref="D353">IFERROR(INDEX(tblStaff[Initials],BN353),"")</f>
        <v>PK</v>
      </c>
      <c r="E353" s="169" t="str" cm="1">
        <f t="array" ref="E353">IF(OR(BI353="",D353=""),"",IFERROR(SUMPRODUCT((pjNo=A353)*(pjType="Phase")*INDEX(Projects!$I$5:$O$1188,0,MATCH(D353,Projects!$I$4:$O$4,0))*pjWk),0))</f>
        <v/>
      </c>
      <c r="F353" s="169" t="str">
        <f t="shared" ref="F353:F360" si="164">IF(BI353="","",SUM(H353:BG353))</f>
        <v/>
      </c>
      <c r="G353" s="169" t="str">
        <f t="shared" ref="G353:G360" si="165">IF(OR(E353="",F353=""),"",E353-F353)</f>
        <v/>
      </c>
      <c r="H353" s="170"/>
      <c r="I353" s="170"/>
      <c r="J353" s="170"/>
      <c r="K353" s="170"/>
      <c r="L353" s="170"/>
      <c r="M353" s="170"/>
      <c r="N353" s="170"/>
      <c r="O353" s="170"/>
      <c r="P353" s="170"/>
      <c r="Q353" s="170"/>
      <c r="R353" s="170"/>
      <c r="S353" s="170"/>
      <c r="T353" s="170"/>
      <c r="U353" s="170"/>
      <c r="V353" s="170"/>
      <c r="W353" s="170"/>
      <c r="X353" s="170"/>
      <c r="Y353" s="170"/>
      <c r="Z353" s="170"/>
      <c r="AA353" s="170"/>
      <c r="AB353" s="170"/>
      <c r="AC353" s="170"/>
      <c r="AD353" s="170"/>
      <c r="AE353" s="170"/>
      <c r="AF353" s="170"/>
      <c r="AG353" s="170"/>
      <c r="AH353" s="170"/>
      <c r="AI353" s="170"/>
      <c r="AJ353" s="170"/>
      <c r="AK353" s="170"/>
      <c r="AL353" s="170"/>
      <c r="AM353" s="170"/>
      <c r="AN353" s="170"/>
      <c r="AO353" s="170"/>
      <c r="AP353" s="170"/>
      <c r="AQ353" s="170"/>
      <c r="AR353" s="170"/>
      <c r="AS353" s="170"/>
      <c r="AT353" s="170"/>
      <c r="AU353" s="170"/>
      <c r="AV353" s="170"/>
      <c r="AW353" s="170"/>
      <c r="AX353" s="170"/>
      <c r="AY353" s="170"/>
      <c r="AZ353" s="170"/>
      <c r="BA353" s="170"/>
      <c r="BB353" s="170"/>
      <c r="BC353" s="170"/>
      <c r="BD353" s="170"/>
      <c r="BE353" s="170"/>
      <c r="BF353" s="170"/>
      <c r="BG353" s="170"/>
      <c r="BH353" s="36"/>
      <c r="BI353" s="150" t="str" cm="1">
        <f t="array" ref="BI353">IF(A353="","",IFERROR(MATCH(1,INDEX((pjNo=A353)*(pjType="Project"),0),0),""))</f>
        <v/>
      </c>
      <c r="BJ353" s="150" t="str">
        <f>IF(D353="","",IFERROR(INDEX(tblStaff[Staff Level],MATCH(D353,tblStaff[Initials],0)),"?"))</f>
        <v>Principal</v>
      </c>
      <c r="BK353" s="151" t="str" cm="1">
        <f t="array" ref="BK353">IF(BI353="","",INDEX(pjStart,BI353))</f>
        <v/>
      </c>
      <c r="BL353" s="151" t="str" cm="1">
        <f t="array" ref="BL353">IF(BI353="","",INDEX(pjEnd,BI353))</f>
        <v/>
      </c>
      <c r="BM353" s="150">
        <f>IF(BI353="",0,IF(C353="Active",1,IF(C353="Prospective",IF(Assumptions!$B$6="Active only",0,Assumptions!$B$7),0)))</f>
        <v>0</v>
      </c>
      <c r="BN353" s="150">
        <v>1</v>
      </c>
      <c r="BO353" s="36"/>
      <c r="BP353" s="36"/>
    </row>
    <row r="354" spans="1:68" hidden="1" outlineLevel="1" x14ac:dyDescent="0.25">
      <c r="A354" s="167" t="str">
        <f t="shared" si="163"/>
        <v/>
      </c>
      <c r="B354" s="168" t="str" cm="1">
        <f t="array" ref="B354">IF(BI354="","",INDEX(pjName,BI354))</f>
        <v/>
      </c>
      <c r="C354" s="167" t="str" cm="1">
        <f t="array" ref="C354">IF(BI354="","",IF(INDEX(pjStatus,BI354)="","",INDEX(pjStatus,BI354)))</f>
        <v/>
      </c>
      <c r="D354" s="167" t="str" cm="1">
        <f t="array" ref="D354">IFERROR(INDEX(tblStaff[Initials],BN354),"")</f>
        <v>DF</v>
      </c>
      <c r="E354" s="169" t="str" cm="1">
        <f t="array" ref="E354">IF(OR(BI354="",D354=""),"",IFERROR(SUMPRODUCT((pjNo=A354)*(pjType="Phase")*INDEX(Projects!$I$5:$O$1188,0,MATCH(D354,Projects!$I$4:$O$4,0))*pjWk),0))</f>
        <v/>
      </c>
      <c r="F354" s="169" t="str">
        <f t="shared" si="164"/>
        <v/>
      </c>
      <c r="G354" s="169" t="str">
        <f t="shared" si="165"/>
        <v/>
      </c>
      <c r="H354" s="170"/>
      <c r="I354" s="170"/>
      <c r="J354" s="170"/>
      <c r="K354" s="170"/>
      <c r="L354" s="170"/>
      <c r="M354" s="170"/>
      <c r="N354" s="170"/>
      <c r="O354" s="170"/>
      <c r="P354" s="170"/>
      <c r="Q354" s="170"/>
      <c r="R354" s="170"/>
      <c r="S354" s="170"/>
      <c r="T354" s="170"/>
      <c r="U354" s="170"/>
      <c r="V354" s="170"/>
      <c r="W354" s="170"/>
      <c r="X354" s="170"/>
      <c r="Y354" s="170"/>
      <c r="Z354" s="170"/>
      <c r="AA354" s="170"/>
      <c r="AB354" s="170"/>
      <c r="AC354" s="170"/>
      <c r="AD354" s="170"/>
      <c r="AE354" s="170"/>
      <c r="AF354" s="170"/>
      <c r="AG354" s="170"/>
      <c r="AH354" s="170"/>
      <c r="AI354" s="170"/>
      <c r="AJ354" s="170"/>
      <c r="AK354" s="170"/>
      <c r="AL354" s="170"/>
      <c r="AM354" s="170"/>
      <c r="AN354" s="170"/>
      <c r="AO354" s="170"/>
      <c r="AP354" s="170"/>
      <c r="AQ354" s="170"/>
      <c r="AR354" s="170"/>
      <c r="AS354" s="170"/>
      <c r="AT354" s="170"/>
      <c r="AU354" s="170"/>
      <c r="AV354" s="170"/>
      <c r="AW354" s="170"/>
      <c r="AX354" s="170"/>
      <c r="AY354" s="170"/>
      <c r="AZ354" s="170"/>
      <c r="BA354" s="170"/>
      <c r="BB354" s="170"/>
      <c r="BC354" s="170"/>
      <c r="BD354" s="170"/>
      <c r="BE354" s="170"/>
      <c r="BF354" s="170"/>
      <c r="BG354" s="170"/>
      <c r="BH354" s="36"/>
      <c r="BI354" s="150" t="str" cm="1">
        <f t="array" ref="BI354">IF(A354="","",IFERROR(MATCH(1,INDEX((pjNo=A354)*(pjType="Project"),0),0),""))</f>
        <v/>
      </c>
      <c r="BJ354" s="150" t="str">
        <f>IF(D354="","",IFERROR(INDEX(tblStaff[Staff Level],MATCH(D354,tblStaff[Initials],0)),"?"))</f>
        <v>Principal</v>
      </c>
      <c r="BK354" s="151" t="str" cm="1">
        <f t="array" ref="BK354">IF(BI354="","",INDEX(pjStart,BI354))</f>
        <v/>
      </c>
      <c r="BL354" s="151" t="str" cm="1">
        <f t="array" ref="BL354">IF(BI354="","",INDEX(pjEnd,BI354))</f>
        <v/>
      </c>
      <c r="BM354" s="150">
        <f>IF(BI354="",0,IF(C354="Active",1,IF(C354="Prospective",IF(Assumptions!$B$6="Active only",0,Assumptions!$B$7),0)))</f>
        <v>0</v>
      </c>
      <c r="BN354" s="150">
        <v>2</v>
      </c>
      <c r="BO354" s="36"/>
      <c r="BP354" s="36"/>
    </row>
    <row r="355" spans="1:68" hidden="1" outlineLevel="1" x14ac:dyDescent="0.25">
      <c r="A355" s="158" t="str">
        <f t="shared" si="163"/>
        <v/>
      </c>
      <c r="B355" s="157" t="str" cm="1">
        <f t="array" ref="B355">IF(BI355="","",INDEX(pjName,BI355))</f>
        <v/>
      </c>
      <c r="C355" s="158" t="str" cm="1">
        <f t="array" ref="C355">IF(BI355="","",IF(INDEX(pjStatus,BI355)="","",INDEX(pjStatus,BI355)))</f>
        <v/>
      </c>
      <c r="D355" s="158" t="str" cm="1">
        <f t="array" ref="D355">IFERROR(INDEX(tblStaff[Initials],BN355),"")</f>
        <v>KJ</v>
      </c>
      <c r="E355" s="159" t="str" cm="1">
        <f t="array" ref="E355">IF(OR(BI355="",D355=""),"",IFERROR(SUMPRODUCT((pjNo=A355)*(pjType="Phase")*INDEX(Projects!$I$5:$O$1188,0,MATCH(D355,Projects!$I$4:$O$4,0))*pjWk),0))</f>
        <v/>
      </c>
      <c r="F355" s="159" t="str">
        <f t="shared" si="164"/>
        <v/>
      </c>
      <c r="G355" s="159" t="str">
        <f t="shared" si="165"/>
        <v/>
      </c>
      <c r="H355" s="160"/>
      <c r="I355" s="160"/>
      <c r="J355" s="160"/>
      <c r="K355" s="160"/>
      <c r="L355" s="160"/>
      <c r="M355" s="160"/>
      <c r="N355" s="160"/>
      <c r="O355" s="160"/>
      <c r="P355" s="160"/>
      <c r="Q355" s="160"/>
      <c r="R355" s="160"/>
      <c r="S355" s="160"/>
      <c r="T355" s="160"/>
      <c r="U355" s="160"/>
      <c r="V355" s="160"/>
      <c r="W355" s="160"/>
      <c r="X355" s="160"/>
      <c r="Y355" s="160"/>
      <c r="Z355" s="160"/>
      <c r="AA355" s="160"/>
      <c r="AB355" s="160"/>
      <c r="AC355" s="160"/>
      <c r="AD355" s="160"/>
      <c r="AE355" s="160"/>
      <c r="AF355" s="160"/>
      <c r="AG355" s="160"/>
      <c r="AH355" s="160"/>
      <c r="AI355" s="160"/>
      <c r="AJ355" s="160"/>
      <c r="AK355" s="160"/>
      <c r="AL355" s="160"/>
      <c r="AM355" s="160"/>
      <c r="AN355" s="160"/>
      <c r="AO355" s="160"/>
      <c r="AP355" s="160"/>
      <c r="AQ355" s="160"/>
      <c r="AR355" s="160"/>
      <c r="AS355" s="160"/>
      <c r="AT355" s="160"/>
      <c r="AU355" s="160"/>
      <c r="AV355" s="160"/>
      <c r="AW355" s="160"/>
      <c r="AX355" s="160"/>
      <c r="AY355" s="160"/>
      <c r="AZ355" s="160"/>
      <c r="BA355" s="160"/>
      <c r="BB355" s="160"/>
      <c r="BC355" s="160"/>
      <c r="BD355" s="160"/>
      <c r="BE355" s="160"/>
      <c r="BF355" s="160"/>
      <c r="BG355" s="160"/>
      <c r="BH355" s="36"/>
      <c r="BI355" s="150" t="str" cm="1">
        <f t="array" ref="BI355">IF(A355="","",IFERROR(MATCH(1,INDEX((pjNo=A355)*(pjType="Project"),0),0),""))</f>
        <v/>
      </c>
      <c r="BJ355" s="150" t="str">
        <f>IF(D355="","",IFERROR(INDEX(tblStaff[Staff Level],MATCH(D355,tblStaff[Initials],0)),"?"))</f>
        <v>Director</v>
      </c>
      <c r="BK355" s="151" t="str" cm="1">
        <f t="array" ref="BK355">IF(BI355="","",INDEX(pjStart,BI355))</f>
        <v/>
      </c>
      <c r="BL355" s="151" t="str" cm="1">
        <f t="array" ref="BL355">IF(BI355="","",INDEX(pjEnd,BI355))</f>
        <v/>
      </c>
      <c r="BM355" s="150">
        <f>IF(BI355="",0,IF(C355="Active",1,IF(C355="Prospective",IF(Assumptions!$B$6="Active only",0,Assumptions!$B$7),0)))</f>
        <v>0</v>
      </c>
      <c r="BN355" s="150">
        <v>3</v>
      </c>
      <c r="BO355" s="36"/>
      <c r="BP355" s="36"/>
    </row>
    <row r="356" spans="1:68" hidden="1" outlineLevel="1" x14ac:dyDescent="0.25">
      <c r="A356" s="158" t="str">
        <f t="shared" si="163"/>
        <v/>
      </c>
      <c r="B356" s="157" t="str" cm="1">
        <f t="array" ref="B356">IF(BI356="","",INDEX(pjName,BI356))</f>
        <v/>
      </c>
      <c r="C356" s="158" t="str" cm="1">
        <f t="array" ref="C356">IF(BI356="","",IF(INDEX(pjStatus,BI356)="","",INDEX(pjStatus,BI356)))</f>
        <v/>
      </c>
      <c r="D356" s="158" t="str" cm="1">
        <f t="array" ref="D356">IFERROR(INDEX(tblStaff[Initials],BN356),"")</f>
        <v>HL</v>
      </c>
      <c r="E356" s="159" t="str" cm="1">
        <f t="array" ref="E356">IF(OR(BI356="",D356=""),"",IFERROR(SUMPRODUCT((pjNo=A356)*(pjType="Phase")*INDEX(Projects!$I$5:$O$1188,0,MATCH(D356,Projects!$I$4:$O$4,0))*pjWk),0))</f>
        <v/>
      </c>
      <c r="F356" s="159" t="str">
        <f t="shared" si="164"/>
        <v/>
      </c>
      <c r="G356" s="159" t="str">
        <f t="shared" si="165"/>
        <v/>
      </c>
      <c r="H356" s="160"/>
      <c r="I356" s="160"/>
      <c r="J356" s="160"/>
      <c r="K356" s="160"/>
      <c r="L356" s="160"/>
      <c r="M356" s="160"/>
      <c r="N356" s="160"/>
      <c r="O356" s="160"/>
      <c r="P356" s="160"/>
      <c r="Q356" s="160"/>
      <c r="R356" s="160"/>
      <c r="S356" s="160"/>
      <c r="T356" s="160"/>
      <c r="U356" s="160"/>
      <c r="V356" s="160"/>
      <c r="W356" s="160"/>
      <c r="X356" s="160"/>
      <c r="Y356" s="160"/>
      <c r="Z356" s="160"/>
      <c r="AA356" s="160"/>
      <c r="AB356" s="160"/>
      <c r="AC356" s="160"/>
      <c r="AD356" s="160"/>
      <c r="AE356" s="160"/>
      <c r="AF356" s="160"/>
      <c r="AG356" s="160"/>
      <c r="AH356" s="160"/>
      <c r="AI356" s="160"/>
      <c r="AJ356" s="160"/>
      <c r="AK356" s="160"/>
      <c r="AL356" s="160"/>
      <c r="AM356" s="160"/>
      <c r="AN356" s="160"/>
      <c r="AO356" s="160"/>
      <c r="AP356" s="160"/>
      <c r="AQ356" s="160"/>
      <c r="AR356" s="160"/>
      <c r="AS356" s="160"/>
      <c r="AT356" s="160"/>
      <c r="AU356" s="160"/>
      <c r="AV356" s="160"/>
      <c r="AW356" s="160"/>
      <c r="AX356" s="160"/>
      <c r="AY356" s="160"/>
      <c r="AZ356" s="160"/>
      <c r="BA356" s="160"/>
      <c r="BB356" s="160"/>
      <c r="BC356" s="160"/>
      <c r="BD356" s="160"/>
      <c r="BE356" s="160"/>
      <c r="BF356" s="160"/>
      <c r="BG356" s="160"/>
      <c r="BH356" s="36"/>
      <c r="BI356" s="150" t="str" cm="1">
        <f t="array" ref="BI356">IF(A356="","",IFERROR(MATCH(1,INDEX((pjNo=A356)*(pjType="Project"),0),0),""))</f>
        <v/>
      </c>
      <c r="BJ356" s="150" t="str">
        <f>IF(D356="","",IFERROR(INDEX(tblStaff[Staff Level],MATCH(D356,tblStaff[Initials],0)),"?"))</f>
        <v>Senior Designer</v>
      </c>
      <c r="BK356" s="151" t="str" cm="1">
        <f t="array" ref="BK356">IF(BI356="","",INDEX(pjStart,BI356))</f>
        <v/>
      </c>
      <c r="BL356" s="151" t="str" cm="1">
        <f t="array" ref="BL356">IF(BI356="","",INDEX(pjEnd,BI356))</f>
        <v/>
      </c>
      <c r="BM356" s="150">
        <f>IF(BI356="",0,IF(C356="Active",1,IF(C356="Prospective",IF(Assumptions!$B$6="Active only",0,Assumptions!$B$7),0)))</f>
        <v>0</v>
      </c>
      <c r="BN356" s="150">
        <v>4</v>
      </c>
      <c r="BO356" s="36"/>
      <c r="BP356" s="36"/>
    </row>
    <row r="357" spans="1:68" hidden="1" outlineLevel="1" x14ac:dyDescent="0.25">
      <c r="A357" s="158" t="str">
        <f t="shared" si="163"/>
        <v/>
      </c>
      <c r="B357" s="157" t="str" cm="1">
        <f t="array" ref="B357">IF(BI357="","",INDEX(pjName,BI357))</f>
        <v/>
      </c>
      <c r="C357" s="158" t="str" cm="1">
        <f t="array" ref="C357">IF(BI357="","",IF(INDEX(pjStatus,BI357)="","",INDEX(pjStatus,BI357)))</f>
        <v/>
      </c>
      <c r="D357" s="158" t="str" cm="1">
        <f t="array" ref="D357">IFERROR(INDEX(tblStaff[Initials],BN357),"")</f>
        <v>EHH</v>
      </c>
      <c r="E357" s="159" t="str" cm="1">
        <f t="array" ref="E357">IF(OR(BI357="",D357=""),"",IFERROR(SUMPRODUCT((pjNo=A357)*(pjType="Phase")*INDEX(Projects!$I$5:$O$1188,0,MATCH(D357,Projects!$I$4:$O$4,0))*pjWk),0))</f>
        <v/>
      </c>
      <c r="F357" s="159" t="str">
        <f t="shared" si="164"/>
        <v/>
      </c>
      <c r="G357" s="159" t="str">
        <f t="shared" si="165"/>
        <v/>
      </c>
      <c r="H357" s="160"/>
      <c r="I357" s="160"/>
      <c r="J357" s="160"/>
      <c r="K357" s="160"/>
      <c r="L357" s="160"/>
      <c r="M357" s="160"/>
      <c r="N357" s="160"/>
      <c r="O357" s="160"/>
      <c r="P357" s="160"/>
      <c r="Q357" s="160"/>
      <c r="R357" s="160"/>
      <c r="S357" s="160"/>
      <c r="T357" s="160"/>
      <c r="U357" s="160"/>
      <c r="V357" s="160"/>
      <c r="W357" s="160"/>
      <c r="X357" s="160"/>
      <c r="Y357" s="160"/>
      <c r="Z357" s="160"/>
      <c r="AA357" s="160"/>
      <c r="AB357" s="160"/>
      <c r="AC357" s="160"/>
      <c r="AD357" s="160"/>
      <c r="AE357" s="160"/>
      <c r="AF357" s="160"/>
      <c r="AG357" s="160"/>
      <c r="AH357" s="160"/>
      <c r="AI357" s="160"/>
      <c r="AJ357" s="160"/>
      <c r="AK357" s="160"/>
      <c r="AL357" s="160"/>
      <c r="AM357" s="160"/>
      <c r="AN357" s="160"/>
      <c r="AO357" s="160"/>
      <c r="AP357" s="160"/>
      <c r="AQ357" s="160"/>
      <c r="AR357" s="160"/>
      <c r="AS357" s="160"/>
      <c r="AT357" s="160"/>
      <c r="AU357" s="160"/>
      <c r="AV357" s="160"/>
      <c r="AW357" s="160"/>
      <c r="AX357" s="160"/>
      <c r="AY357" s="160"/>
      <c r="AZ357" s="160"/>
      <c r="BA357" s="160"/>
      <c r="BB357" s="160"/>
      <c r="BC357" s="160"/>
      <c r="BD357" s="160"/>
      <c r="BE357" s="160"/>
      <c r="BF357" s="160"/>
      <c r="BG357" s="160"/>
      <c r="BH357" s="36"/>
      <c r="BI357" s="150" t="str" cm="1">
        <f t="array" ref="BI357">IF(A357="","",IFERROR(MATCH(1,INDEX((pjNo=A357)*(pjType="Project"),0),0),""))</f>
        <v/>
      </c>
      <c r="BJ357" s="150" t="str">
        <f>IF(D357="","",IFERROR(INDEX(tblStaff[Staff Level],MATCH(D357,tblStaff[Initials],0)),"?"))</f>
        <v>Mid Level Designer</v>
      </c>
      <c r="BK357" s="151" t="str" cm="1">
        <f t="array" ref="BK357">IF(BI357="","",INDEX(pjStart,BI357))</f>
        <v/>
      </c>
      <c r="BL357" s="151" t="str" cm="1">
        <f t="array" ref="BL357">IF(BI357="","",INDEX(pjEnd,BI357))</f>
        <v/>
      </c>
      <c r="BM357" s="150">
        <f>IF(BI357="",0,IF(C357="Active",1,IF(C357="Prospective",IF(Assumptions!$B$6="Active only",0,Assumptions!$B$7),0)))</f>
        <v>0</v>
      </c>
      <c r="BN357" s="150">
        <v>5</v>
      </c>
      <c r="BO357" s="36"/>
      <c r="BP357" s="36"/>
    </row>
    <row r="358" spans="1:68" hidden="1" outlineLevel="1" x14ac:dyDescent="0.25">
      <c r="A358" s="158" t="str">
        <f t="shared" si="163"/>
        <v/>
      </c>
      <c r="B358" s="157" t="str" cm="1">
        <f t="array" ref="B358">IF(BI358="","",INDEX(pjName,BI358))</f>
        <v/>
      </c>
      <c r="C358" s="158" t="str" cm="1">
        <f t="array" ref="C358">IF(BI358="","",IF(INDEX(pjStatus,BI358)="","",INDEX(pjStatus,BI358)))</f>
        <v/>
      </c>
      <c r="D358" s="158" t="str" cm="1">
        <f t="array" ref="D358">IFERROR(INDEX(tblStaff[Initials],BN358),"")</f>
        <v>KD</v>
      </c>
      <c r="E358" s="159" t="str" cm="1">
        <f t="array" ref="E358">IF(OR(BI358="",D358=""),"",IFERROR(SUMPRODUCT((pjNo=A358)*(pjType="Phase")*INDEX(Projects!$I$5:$O$1188,0,MATCH(D358,Projects!$I$4:$O$4,0))*pjWk),0))</f>
        <v/>
      </c>
      <c r="F358" s="159" t="str">
        <f t="shared" si="164"/>
        <v/>
      </c>
      <c r="G358" s="159" t="str">
        <f t="shared" si="165"/>
        <v/>
      </c>
      <c r="H358" s="160"/>
      <c r="I358" s="160"/>
      <c r="J358" s="160"/>
      <c r="K358" s="160"/>
      <c r="L358" s="160"/>
      <c r="M358" s="160"/>
      <c r="N358" s="160"/>
      <c r="O358" s="160"/>
      <c r="P358" s="160"/>
      <c r="Q358" s="160"/>
      <c r="R358" s="160"/>
      <c r="S358" s="160"/>
      <c r="T358" s="160"/>
      <c r="U358" s="160"/>
      <c r="V358" s="160"/>
      <c r="W358" s="160"/>
      <c r="X358" s="160"/>
      <c r="Y358" s="160"/>
      <c r="Z358" s="160"/>
      <c r="AA358" s="160"/>
      <c r="AB358" s="160"/>
      <c r="AC358" s="160"/>
      <c r="AD358" s="160"/>
      <c r="AE358" s="160"/>
      <c r="AF358" s="160"/>
      <c r="AG358" s="160"/>
      <c r="AH358" s="160"/>
      <c r="AI358" s="160"/>
      <c r="AJ358" s="160"/>
      <c r="AK358" s="160"/>
      <c r="AL358" s="160"/>
      <c r="AM358" s="160"/>
      <c r="AN358" s="160"/>
      <c r="AO358" s="160"/>
      <c r="AP358" s="160"/>
      <c r="AQ358" s="160"/>
      <c r="AR358" s="160"/>
      <c r="AS358" s="160"/>
      <c r="AT358" s="160"/>
      <c r="AU358" s="160"/>
      <c r="AV358" s="160"/>
      <c r="AW358" s="160"/>
      <c r="AX358" s="160"/>
      <c r="AY358" s="160"/>
      <c r="AZ358" s="160"/>
      <c r="BA358" s="160"/>
      <c r="BB358" s="160"/>
      <c r="BC358" s="160"/>
      <c r="BD358" s="160"/>
      <c r="BE358" s="160"/>
      <c r="BF358" s="160"/>
      <c r="BG358" s="160"/>
      <c r="BH358" s="36"/>
      <c r="BI358" s="150" t="str" cm="1">
        <f t="array" ref="BI358">IF(A358="","",IFERROR(MATCH(1,INDEX((pjNo=A358)*(pjType="Project"),0),0),""))</f>
        <v/>
      </c>
      <c r="BJ358" s="150" t="str">
        <f>IF(D358="","",IFERROR(INDEX(tblStaff[Staff Level],MATCH(D358,tblStaff[Initials],0)),"?"))</f>
        <v>Mid Level Designer</v>
      </c>
      <c r="BK358" s="151" t="str" cm="1">
        <f t="array" ref="BK358">IF(BI358="","",INDEX(pjStart,BI358))</f>
        <v/>
      </c>
      <c r="BL358" s="151" t="str" cm="1">
        <f t="array" ref="BL358">IF(BI358="","",INDEX(pjEnd,BI358))</f>
        <v/>
      </c>
      <c r="BM358" s="150">
        <f>IF(BI358="",0,IF(C358="Active",1,IF(C358="Prospective",IF(Assumptions!$B$6="Active only",0,Assumptions!$B$7),0)))</f>
        <v>0</v>
      </c>
      <c r="BN358" s="150">
        <v>6</v>
      </c>
      <c r="BO358" s="36"/>
      <c r="BP358" s="36"/>
    </row>
    <row r="359" spans="1:68" hidden="1" outlineLevel="1" x14ac:dyDescent="0.25">
      <c r="A359" s="158" t="str">
        <f t="shared" si="163"/>
        <v/>
      </c>
      <c r="B359" s="157" t="str" cm="1">
        <f t="array" ref="B359">IF(BI359="","",INDEX(pjName,BI359))</f>
        <v/>
      </c>
      <c r="C359" s="158" t="str" cm="1">
        <f t="array" ref="C359">IF(BI359="","",IF(INDEX(pjStatus,BI359)="","",INDEX(pjStatus,BI359)))</f>
        <v/>
      </c>
      <c r="D359" s="158" t="str" cm="1">
        <f t="array" ref="D359">IFERROR(INDEX(tblStaff[Initials],BN359),"")</f>
        <v>XX</v>
      </c>
      <c r="E359" s="159" t="str" cm="1">
        <f t="array" ref="E359">IF(OR(BI359="",D359=""),"",IFERROR(SUMPRODUCT((pjNo=A359)*(pjType="Phase")*INDEX(Projects!$I$5:$O$1188,0,MATCH(D359,Projects!$I$4:$O$4,0))*pjWk),0))</f>
        <v/>
      </c>
      <c r="F359" s="159" t="str">
        <f t="shared" si="164"/>
        <v/>
      </c>
      <c r="G359" s="159" t="str">
        <f t="shared" si="165"/>
        <v/>
      </c>
      <c r="H359" s="160"/>
      <c r="I359" s="160"/>
      <c r="J359" s="160"/>
      <c r="K359" s="160"/>
      <c r="L359" s="160"/>
      <c r="M359" s="160"/>
      <c r="N359" s="160"/>
      <c r="O359" s="160"/>
      <c r="P359" s="160"/>
      <c r="Q359" s="160"/>
      <c r="R359" s="160"/>
      <c r="S359" s="160"/>
      <c r="T359" s="160"/>
      <c r="U359" s="160"/>
      <c r="V359" s="160"/>
      <c r="W359" s="160"/>
      <c r="X359" s="160"/>
      <c r="Y359" s="160"/>
      <c r="Z359" s="160"/>
      <c r="AA359" s="160"/>
      <c r="AB359" s="160"/>
      <c r="AC359" s="160"/>
      <c r="AD359" s="160"/>
      <c r="AE359" s="160"/>
      <c r="AF359" s="160"/>
      <c r="AG359" s="160"/>
      <c r="AH359" s="160"/>
      <c r="AI359" s="160"/>
      <c r="AJ359" s="160"/>
      <c r="AK359" s="160"/>
      <c r="AL359" s="160"/>
      <c r="AM359" s="160"/>
      <c r="AN359" s="160"/>
      <c r="AO359" s="160"/>
      <c r="AP359" s="160"/>
      <c r="AQ359" s="160"/>
      <c r="AR359" s="160"/>
      <c r="AS359" s="160"/>
      <c r="AT359" s="160"/>
      <c r="AU359" s="160"/>
      <c r="AV359" s="160"/>
      <c r="AW359" s="160"/>
      <c r="AX359" s="160"/>
      <c r="AY359" s="160"/>
      <c r="AZ359" s="160"/>
      <c r="BA359" s="160"/>
      <c r="BB359" s="160"/>
      <c r="BC359" s="160"/>
      <c r="BD359" s="160"/>
      <c r="BE359" s="160"/>
      <c r="BF359" s="160"/>
      <c r="BG359" s="160"/>
      <c r="BH359" s="36"/>
      <c r="BI359" s="150" t="str" cm="1">
        <f t="array" ref="BI359">IF(A359="","",IFERROR(MATCH(1,INDEX((pjNo=A359)*(pjType="Project"),0),0),""))</f>
        <v/>
      </c>
      <c r="BJ359" s="150" t="str">
        <f>IF(D359="","",IFERROR(INDEX(tblStaff[Staff Level],MATCH(D359,tblStaff[Initials],0)),"?"))</f>
        <v>Project Designer</v>
      </c>
      <c r="BK359" s="151" t="str" cm="1">
        <f t="array" ref="BK359">IF(BI359="","",INDEX(pjStart,BI359))</f>
        <v/>
      </c>
      <c r="BL359" s="151" t="str" cm="1">
        <f t="array" ref="BL359">IF(BI359="","",INDEX(pjEnd,BI359))</f>
        <v/>
      </c>
      <c r="BM359" s="150">
        <f>IF(BI359="",0,IF(C359="Active",1,IF(C359="Prospective",IF(Assumptions!$B$6="Active only",0,Assumptions!$B$7),0)))</f>
        <v>0</v>
      </c>
      <c r="BN359" s="150">
        <v>7</v>
      </c>
      <c r="BO359" s="36"/>
      <c r="BP359" s="36"/>
    </row>
    <row r="360" spans="1:68" hidden="1" outlineLevel="1" x14ac:dyDescent="0.25">
      <c r="A360" s="162" t="str">
        <f t="shared" si="163"/>
        <v/>
      </c>
      <c r="B360" s="161" t="str" cm="1">
        <f t="array" ref="B360">IF(BI360="","",INDEX(pjName,BI360))</f>
        <v/>
      </c>
      <c r="C360" s="162" t="str" cm="1">
        <f t="array" ref="C360">IF(BI360="","",IF(INDEX(pjStatus,BI360)="","",INDEX(pjStatus,BI360)))</f>
        <v/>
      </c>
      <c r="D360" s="162" t="str" cm="1">
        <f t="array" ref="D360">IFERROR(INDEX(tblStaff[Initials],BN360),"")</f>
        <v/>
      </c>
      <c r="E360" s="163" t="str" cm="1">
        <f t="array" ref="E360">IF(OR(BI360="",D360=""),"",IFERROR(SUMPRODUCT((pjNo=A360)*(pjType="Phase")*INDEX(Projects!$I$5:$O$1188,0,MATCH(D360,Projects!$I$4:$O$4,0))*pjWk),0))</f>
        <v/>
      </c>
      <c r="F360" s="163" t="str">
        <f t="shared" si="164"/>
        <v/>
      </c>
      <c r="G360" s="163" t="str">
        <f t="shared" si="165"/>
        <v/>
      </c>
      <c r="H360" s="164"/>
      <c r="I360" s="164"/>
      <c r="J360" s="164"/>
      <c r="K360" s="164"/>
      <c r="L360" s="164"/>
      <c r="M360" s="164"/>
      <c r="N360" s="164"/>
      <c r="O360" s="164"/>
      <c r="P360" s="164"/>
      <c r="Q360" s="164"/>
      <c r="R360" s="164"/>
      <c r="S360" s="164"/>
      <c r="T360" s="164"/>
      <c r="U360" s="164"/>
      <c r="V360" s="164"/>
      <c r="W360" s="164"/>
      <c r="X360" s="164"/>
      <c r="Y360" s="164"/>
      <c r="Z360" s="164"/>
      <c r="AA360" s="164"/>
      <c r="AB360" s="164"/>
      <c r="AC360" s="164"/>
      <c r="AD360" s="164"/>
      <c r="AE360" s="164"/>
      <c r="AF360" s="164"/>
      <c r="AG360" s="164"/>
      <c r="AH360" s="164"/>
      <c r="AI360" s="164"/>
      <c r="AJ360" s="164"/>
      <c r="AK360" s="164"/>
      <c r="AL360" s="164"/>
      <c r="AM360" s="164"/>
      <c r="AN360" s="164"/>
      <c r="AO360" s="164"/>
      <c r="AP360" s="164"/>
      <c r="AQ360" s="164"/>
      <c r="AR360" s="164"/>
      <c r="AS360" s="164"/>
      <c r="AT360" s="164"/>
      <c r="AU360" s="164"/>
      <c r="AV360" s="164"/>
      <c r="AW360" s="164"/>
      <c r="AX360" s="164"/>
      <c r="AY360" s="164"/>
      <c r="AZ360" s="164"/>
      <c r="BA360" s="164"/>
      <c r="BB360" s="164"/>
      <c r="BC360" s="164"/>
      <c r="BD360" s="164"/>
      <c r="BE360" s="164"/>
      <c r="BF360" s="164"/>
      <c r="BG360" s="164"/>
      <c r="BH360" s="36"/>
      <c r="BI360" s="150" t="str" cm="1">
        <f t="array" ref="BI360">IF(A360="","",IFERROR(MATCH(1,INDEX((pjNo=A360)*(pjType="Project"),0),0),""))</f>
        <v/>
      </c>
      <c r="BJ360" s="150" t="str">
        <f>IF(D360="","",IFERROR(INDEX(tblStaff[Staff Level],MATCH(D360,tblStaff[Initials],0)),"?"))</f>
        <v/>
      </c>
      <c r="BK360" s="151" t="str" cm="1">
        <f t="array" ref="BK360">IF(BI360="","",INDEX(pjStart,BI360))</f>
        <v/>
      </c>
      <c r="BL360" s="151" t="str" cm="1">
        <f t="array" ref="BL360">IF(BI360="","",INDEX(pjEnd,BI360))</f>
        <v/>
      </c>
      <c r="BM360" s="150">
        <f>IF(BI360="",0,IF(C360="Active",1,IF(C360="Prospective",IF(Assumptions!$B$6="Active only",0,Assumptions!$B$7),0)))</f>
        <v>0</v>
      </c>
      <c r="BN360" s="150">
        <v>8</v>
      </c>
      <c r="BO360" s="36"/>
      <c r="BP360" s="36"/>
    </row>
    <row r="361" spans="1:68" collapsed="1" x14ac:dyDescent="0.25">
      <c r="A361" s="171"/>
      <c r="B361" s="173" t="str">
        <f>IF(A362="","",A362&amp;" · "&amp;B362)</f>
        <v/>
      </c>
      <c r="C361" s="171" t="str">
        <f>IF(A362="","",C362)</f>
        <v/>
      </c>
      <c r="D361" s="171"/>
      <c r="E361" s="172">
        <f>SUM(E362:E369)</f>
        <v>0</v>
      </c>
      <c r="F361" s="172">
        <f>SUM(F362:F369)</f>
        <v>0</v>
      </c>
      <c r="G361" s="172" t="str">
        <f>IF(E361=0,"",E361-F361)</f>
        <v/>
      </c>
      <c r="H361" s="174">
        <f t="shared" ref="H361:AM361" si="166">SUM(H362:H369)</f>
        <v>0</v>
      </c>
      <c r="I361" s="174">
        <f t="shared" si="166"/>
        <v>0</v>
      </c>
      <c r="J361" s="174">
        <f t="shared" si="166"/>
        <v>0</v>
      </c>
      <c r="K361" s="174">
        <f t="shared" si="166"/>
        <v>0</v>
      </c>
      <c r="L361" s="174">
        <f t="shared" si="166"/>
        <v>0</v>
      </c>
      <c r="M361" s="174">
        <f t="shared" si="166"/>
        <v>0</v>
      </c>
      <c r="N361" s="174">
        <f t="shared" si="166"/>
        <v>0</v>
      </c>
      <c r="O361" s="174">
        <f t="shared" si="166"/>
        <v>0</v>
      </c>
      <c r="P361" s="174">
        <f t="shared" si="166"/>
        <v>0</v>
      </c>
      <c r="Q361" s="174">
        <f t="shared" si="166"/>
        <v>0</v>
      </c>
      <c r="R361" s="174">
        <f t="shared" si="166"/>
        <v>0</v>
      </c>
      <c r="S361" s="174">
        <f t="shared" si="166"/>
        <v>0</v>
      </c>
      <c r="T361" s="174">
        <f t="shared" si="166"/>
        <v>0</v>
      </c>
      <c r="U361" s="174">
        <f t="shared" si="166"/>
        <v>0</v>
      </c>
      <c r="V361" s="174">
        <f t="shared" si="166"/>
        <v>0</v>
      </c>
      <c r="W361" s="174">
        <f t="shared" si="166"/>
        <v>0</v>
      </c>
      <c r="X361" s="174">
        <f t="shared" si="166"/>
        <v>0</v>
      </c>
      <c r="Y361" s="174">
        <f t="shared" si="166"/>
        <v>0</v>
      </c>
      <c r="Z361" s="174">
        <f t="shared" si="166"/>
        <v>0</v>
      </c>
      <c r="AA361" s="174">
        <f t="shared" si="166"/>
        <v>0</v>
      </c>
      <c r="AB361" s="174">
        <f t="shared" si="166"/>
        <v>0</v>
      </c>
      <c r="AC361" s="174">
        <f t="shared" si="166"/>
        <v>0</v>
      </c>
      <c r="AD361" s="174">
        <f t="shared" si="166"/>
        <v>0</v>
      </c>
      <c r="AE361" s="174">
        <f t="shared" si="166"/>
        <v>0</v>
      </c>
      <c r="AF361" s="174">
        <f t="shared" si="166"/>
        <v>0</v>
      </c>
      <c r="AG361" s="174">
        <f t="shared" si="166"/>
        <v>0</v>
      </c>
      <c r="AH361" s="174">
        <f t="shared" si="166"/>
        <v>0</v>
      </c>
      <c r="AI361" s="174">
        <f t="shared" si="166"/>
        <v>0</v>
      </c>
      <c r="AJ361" s="174">
        <f t="shared" si="166"/>
        <v>0</v>
      </c>
      <c r="AK361" s="174">
        <f t="shared" si="166"/>
        <v>0</v>
      </c>
      <c r="AL361" s="174">
        <f t="shared" si="166"/>
        <v>0</v>
      </c>
      <c r="AM361" s="174">
        <f t="shared" si="166"/>
        <v>0</v>
      </c>
      <c r="AN361" s="174">
        <f t="shared" ref="AN361:BG361" si="167">SUM(AN362:AN369)</f>
        <v>0</v>
      </c>
      <c r="AO361" s="174">
        <f t="shared" si="167"/>
        <v>0</v>
      </c>
      <c r="AP361" s="174">
        <f t="shared" si="167"/>
        <v>0</v>
      </c>
      <c r="AQ361" s="174">
        <f t="shared" si="167"/>
        <v>0</v>
      </c>
      <c r="AR361" s="174">
        <f t="shared" si="167"/>
        <v>0</v>
      </c>
      <c r="AS361" s="174">
        <f t="shared" si="167"/>
        <v>0</v>
      </c>
      <c r="AT361" s="174">
        <f t="shared" si="167"/>
        <v>0</v>
      </c>
      <c r="AU361" s="174">
        <f t="shared" si="167"/>
        <v>0</v>
      </c>
      <c r="AV361" s="174">
        <f t="shared" si="167"/>
        <v>0</v>
      </c>
      <c r="AW361" s="174">
        <f t="shared" si="167"/>
        <v>0</v>
      </c>
      <c r="AX361" s="174">
        <f t="shared" si="167"/>
        <v>0</v>
      </c>
      <c r="AY361" s="174">
        <f t="shared" si="167"/>
        <v>0</v>
      </c>
      <c r="AZ361" s="174">
        <f t="shared" si="167"/>
        <v>0</v>
      </c>
      <c r="BA361" s="174">
        <f t="shared" si="167"/>
        <v>0</v>
      </c>
      <c r="BB361" s="174">
        <f t="shared" si="167"/>
        <v>0</v>
      </c>
      <c r="BC361" s="174">
        <f t="shared" si="167"/>
        <v>0</v>
      </c>
      <c r="BD361" s="174">
        <f t="shared" si="167"/>
        <v>0</v>
      </c>
      <c r="BE361" s="174">
        <f t="shared" si="167"/>
        <v>0</v>
      </c>
      <c r="BF361" s="174">
        <f t="shared" si="167"/>
        <v>0</v>
      </c>
      <c r="BG361" s="174">
        <f t="shared" si="167"/>
        <v>0</v>
      </c>
      <c r="BH361" s="36"/>
      <c r="BI361" s="150"/>
      <c r="BJ361" s="150"/>
      <c r="BK361" s="151"/>
      <c r="BL361" s="151"/>
      <c r="BM361" s="150"/>
      <c r="BN361" s="150"/>
      <c r="BO361" s="36"/>
      <c r="BP361" s="36"/>
    </row>
    <row r="362" spans="1:68" hidden="1" outlineLevel="1" x14ac:dyDescent="0.25">
      <c r="A362" s="167" t="str">
        <f t="shared" ref="A362:A369" si="168">IF(N(INDEX($BP$20:$BP$67,11))=0,"",INDEX($BP$20:$BP$67,11))</f>
        <v/>
      </c>
      <c r="B362" s="168" t="str" cm="1">
        <f t="array" ref="B362">IF(BI362="","",INDEX(pjName,BI362))</f>
        <v/>
      </c>
      <c r="C362" s="167" t="str" cm="1">
        <f t="array" ref="C362">IF(BI362="","",IF(INDEX(pjStatus,BI362)="","",INDEX(pjStatus,BI362)))</f>
        <v/>
      </c>
      <c r="D362" s="167" t="str" cm="1">
        <f t="array" ref="D362">IFERROR(INDEX(tblStaff[Initials],BN362),"")</f>
        <v>PK</v>
      </c>
      <c r="E362" s="169" t="str" cm="1">
        <f t="array" ref="E362">IF(OR(BI362="",D362=""),"",IFERROR(SUMPRODUCT((pjNo=A362)*(pjType="Phase")*INDEX(Projects!$I$5:$O$1188,0,MATCH(D362,Projects!$I$4:$O$4,0))*pjWk),0))</f>
        <v/>
      </c>
      <c r="F362" s="169" t="str">
        <f t="shared" ref="F362:F369" si="169">IF(BI362="","",SUM(H362:BG362))</f>
        <v/>
      </c>
      <c r="G362" s="169" t="str">
        <f t="shared" ref="G362:G369" si="170">IF(OR(E362="",F362=""),"",E362-F362)</f>
        <v/>
      </c>
      <c r="H362" s="170"/>
      <c r="I362" s="170"/>
      <c r="J362" s="170"/>
      <c r="K362" s="170"/>
      <c r="L362" s="170"/>
      <c r="M362" s="170"/>
      <c r="N362" s="170"/>
      <c r="O362" s="170"/>
      <c r="P362" s="170"/>
      <c r="Q362" s="170"/>
      <c r="R362" s="170"/>
      <c r="S362" s="170"/>
      <c r="T362" s="170"/>
      <c r="U362" s="170"/>
      <c r="V362" s="170"/>
      <c r="W362" s="170"/>
      <c r="X362" s="170"/>
      <c r="Y362" s="170"/>
      <c r="Z362" s="170"/>
      <c r="AA362" s="170"/>
      <c r="AB362" s="170"/>
      <c r="AC362" s="170"/>
      <c r="AD362" s="170"/>
      <c r="AE362" s="170"/>
      <c r="AF362" s="170"/>
      <c r="AG362" s="170"/>
      <c r="AH362" s="170"/>
      <c r="AI362" s="170"/>
      <c r="AJ362" s="170"/>
      <c r="AK362" s="170"/>
      <c r="AL362" s="170"/>
      <c r="AM362" s="170"/>
      <c r="AN362" s="170"/>
      <c r="AO362" s="170"/>
      <c r="AP362" s="170"/>
      <c r="AQ362" s="170"/>
      <c r="AR362" s="170"/>
      <c r="AS362" s="170"/>
      <c r="AT362" s="170"/>
      <c r="AU362" s="170"/>
      <c r="AV362" s="170"/>
      <c r="AW362" s="170"/>
      <c r="AX362" s="170"/>
      <c r="AY362" s="170"/>
      <c r="AZ362" s="170"/>
      <c r="BA362" s="170"/>
      <c r="BB362" s="170"/>
      <c r="BC362" s="170"/>
      <c r="BD362" s="170"/>
      <c r="BE362" s="170"/>
      <c r="BF362" s="170"/>
      <c r="BG362" s="170"/>
      <c r="BH362" s="36"/>
      <c r="BI362" s="150" t="str" cm="1">
        <f t="array" ref="BI362">IF(A362="","",IFERROR(MATCH(1,INDEX((pjNo=A362)*(pjType="Project"),0),0),""))</f>
        <v/>
      </c>
      <c r="BJ362" s="150" t="str">
        <f>IF(D362="","",IFERROR(INDEX(tblStaff[Staff Level],MATCH(D362,tblStaff[Initials],0)),"?"))</f>
        <v>Principal</v>
      </c>
      <c r="BK362" s="151" t="str" cm="1">
        <f t="array" ref="BK362">IF(BI362="","",INDEX(pjStart,BI362))</f>
        <v/>
      </c>
      <c r="BL362" s="151" t="str" cm="1">
        <f t="array" ref="BL362">IF(BI362="","",INDEX(pjEnd,BI362))</f>
        <v/>
      </c>
      <c r="BM362" s="150">
        <f>IF(BI362="",0,IF(C362="Active",1,IF(C362="Prospective",IF(Assumptions!$B$6="Active only",0,Assumptions!$B$7),0)))</f>
        <v>0</v>
      </c>
      <c r="BN362" s="150">
        <v>1</v>
      </c>
      <c r="BO362" s="36"/>
      <c r="BP362" s="36"/>
    </row>
    <row r="363" spans="1:68" hidden="1" outlineLevel="1" x14ac:dyDescent="0.25">
      <c r="A363" s="167" t="str">
        <f t="shared" si="168"/>
        <v/>
      </c>
      <c r="B363" s="168" t="str" cm="1">
        <f t="array" ref="B363">IF(BI363="","",INDEX(pjName,BI363))</f>
        <v/>
      </c>
      <c r="C363" s="167" t="str" cm="1">
        <f t="array" ref="C363">IF(BI363="","",IF(INDEX(pjStatus,BI363)="","",INDEX(pjStatus,BI363)))</f>
        <v/>
      </c>
      <c r="D363" s="167" t="str" cm="1">
        <f t="array" ref="D363">IFERROR(INDEX(tblStaff[Initials],BN363),"")</f>
        <v>DF</v>
      </c>
      <c r="E363" s="169" t="str" cm="1">
        <f t="array" ref="E363">IF(OR(BI363="",D363=""),"",IFERROR(SUMPRODUCT((pjNo=A363)*(pjType="Phase")*INDEX(Projects!$I$5:$O$1188,0,MATCH(D363,Projects!$I$4:$O$4,0))*pjWk),0))</f>
        <v/>
      </c>
      <c r="F363" s="169" t="str">
        <f t="shared" si="169"/>
        <v/>
      </c>
      <c r="G363" s="169" t="str">
        <f t="shared" si="170"/>
        <v/>
      </c>
      <c r="H363" s="170"/>
      <c r="I363" s="170"/>
      <c r="J363" s="170"/>
      <c r="K363" s="170"/>
      <c r="L363" s="170"/>
      <c r="M363" s="170"/>
      <c r="N363" s="170"/>
      <c r="O363" s="170"/>
      <c r="P363" s="170"/>
      <c r="Q363" s="170"/>
      <c r="R363" s="170"/>
      <c r="S363" s="170"/>
      <c r="T363" s="170"/>
      <c r="U363" s="170"/>
      <c r="V363" s="170"/>
      <c r="W363" s="170"/>
      <c r="X363" s="170"/>
      <c r="Y363" s="170"/>
      <c r="Z363" s="170"/>
      <c r="AA363" s="170"/>
      <c r="AB363" s="170"/>
      <c r="AC363" s="170"/>
      <c r="AD363" s="170"/>
      <c r="AE363" s="170"/>
      <c r="AF363" s="170"/>
      <c r="AG363" s="170"/>
      <c r="AH363" s="170"/>
      <c r="AI363" s="170"/>
      <c r="AJ363" s="170"/>
      <c r="AK363" s="170"/>
      <c r="AL363" s="170"/>
      <c r="AM363" s="170"/>
      <c r="AN363" s="170"/>
      <c r="AO363" s="170"/>
      <c r="AP363" s="170"/>
      <c r="AQ363" s="170"/>
      <c r="AR363" s="170"/>
      <c r="AS363" s="170"/>
      <c r="AT363" s="170"/>
      <c r="AU363" s="170"/>
      <c r="AV363" s="170"/>
      <c r="AW363" s="170"/>
      <c r="AX363" s="170"/>
      <c r="AY363" s="170"/>
      <c r="AZ363" s="170"/>
      <c r="BA363" s="170"/>
      <c r="BB363" s="170"/>
      <c r="BC363" s="170"/>
      <c r="BD363" s="170"/>
      <c r="BE363" s="170"/>
      <c r="BF363" s="170"/>
      <c r="BG363" s="170"/>
      <c r="BH363" s="36"/>
      <c r="BI363" s="150" t="str" cm="1">
        <f t="array" ref="BI363">IF(A363="","",IFERROR(MATCH(1,INDEX((pjNo=A363)*(pjType="Project"),0),0),""))</f>
        <v/>
      </c>
      <c r="BJ363" s="150" t="str">
        <f>IF(D363="","",IFERROR(INDEX(tblStaff[Staff Level],MATCH(D363,tblStaff[Initials],0)),"?"))</f>
        <v>Principal</v>
      </c>
      <c r="BK363" s="151" t="str" cm="1">
        <f t="array" ref="BK363">IF(BI363="","",INDEX(pjStart,BI363))</f>
        <v/>
      </c>
      <c r="BL363" s="151" t="str" cm="1">
        <f t="array" ref="BL363">IF(BI363="","",INDEX(pjEnd,BI363))</f>
        <v/>
      </c>
      <c r="BM363" s="150">
        <f>IF(BI363="",0,IF(C363="Active",1,IF(C363="Prospective",IF(Assumptions!$B$6="Active only",0,Assumptions!$B$7),0)))</f>
        <v>0</v>
      </c>
      <c r="BN363" s="150">
        <v>2</v>
      </c>
      <c r="BO363" s="36"/>
      <c r="BP363" s="36"/>
    </row>
    <row r="364" spans="1:68" hidden="1" outlineLevel="1" x14ac:dyDescent="0.25">
      <c r="A364" s="158" t="str">
        <f t="shared" si="168"/>
        <v/>
      </c>
      <c r="B364" s="157" t="str" cm="1">
        <f t="array" ref="B364">IF(BI364="","",INDEX(pjName,BI364))</f>
        <v/>
      </c>
      <c r="C364" s="158" t="str" cm="1">
        <f t="array" ref="C364">IF(BI364="","",IF(INDEX(pjStatus,BI364)="","",INDEX(pjStatus,BI364)))</f>
        <v/>
      </c>
      <c r="D364" s="158" t="str" cm="1">
        <f t="array" ref="D364">IFERROR(INDEX(tblStaff[Initials],BN364),"")</f>
        <v>KJ</v>
      </c>
      <c r="E364" s="159" t="str" cm="1">
        <f t="array" ref="E364">IF(OR(BI364="",D364=""),"",IFERROR(SUMPRODUCT((pjNo=A364)*(pjType="Phase")*INDEX(Projects!$I$5:$O$1188,0,MATCH(D364,Projects!$I$4:$O$4,0))*pjWk),0))</f>
        <v/>
      </c>
      <c r="F364" s="159" t="str">
        <f t="shared" si="169"/>
        <v/>
      </c>
      <c r="G364" s="159" t="str">
        <f t="shared" si="170"/>
        <v/>
      </c>
      <c r="H364" s="160"/>
      <c r="I364" s="160"/>
      <c r="J364" s="160"/>
      <c r="K364" s="160"/>
      <c r="L364" s="160"/>
      <c r="M364" s="160"/>
      <c r="N364" s="160"/>
      <c r="O364" s="160"/>
      <c r="P364" s="160"/>
      <c r="Q364" s="160"/>
      <c r="R364" s="160"/>
      <c r="S364" s="160"/>
      <c r="T364" s="160"/>
      <c r="U364" s="160"/>
      <c r="V364" s="160"/>
      <c r="W364" s="160"/>
      <c r="X364" s="160"/>
      <c r="Y364" s="160"/>
      <c r="Z364" s="160"/>
      <c r="AA364" s="160"/>
      <c r="AB364" s="160"/>
      <c r="AC364" s="160"/>
      <c r="AD364" s="160"/>
      <c r="AE364" s="160"/>
      <c r="AF364" s="160"/>
      <c r="AG364" s="160"/>
      <c r="AH364" s="160"/>
      <c r="AI364" s="160"/>
      <c r="AJ364" s="160"/>
      <c r="AK364" s="160"/>
      <c r="AL364" s="160"/>
      <c r="AM364" s="160"/>
      <c r="AN364" s="160"/>
      <c r="AO364" s="160"/>
      <c r="AP364" s="160"/>
      <c r="AQ364" s="160"/>
      <c r="AR364" s="160"/>
      <c r="AS364" s="160"/>
      <c r="AT364" s="160"/>
      <c r="AU364" s="160"/>
      <c r="AV364" s="160"/>
      <c r="AW364" s="160"/>
      <c r="AX364" s="160"/>
      <c r="AY364" s="160"/>
      <c r="AZ364" s="160"/>
      <c r="BA364" s="160"/>
      <c r="BB364" s="160"/>
      <c r="BC364" s="160"/>
      <c r="BD364" s="160"/>
      <c r="BE364" s="160"/>
      <c r="BF364" s="160"/>
      <c r="BG364" s="160"/>
      <c r="BH364" s="36"/>
      <c r="BI364" s="150" t="str" cm="1">
        <f t="array" ref="BI364">IF(A364="","",IFERROR(MATCH(1,INDEX((pjNo=A364)*(pjType="Project"),0),0),""))</f>
        <v/>
      </c>
      <c r="BJ364" s="150" t="str">
        <f>IF(D364="","",IFERROR(INDEX(tblStaff[Staff Level],MATCH(D364,tblStaff[Initials],0)),"?"))</f>
        <v>Director</v>
      </c>
      <c r="BK364" s="151" t="str" cm="1">
        <f t="array" ref="BK364">IF(BI364="","",INDEX(pjStart,BI364))</f>
        <v/>
      </c>
      <c r="BL364" s="151" t="str" cm="1">
        <f t="array" ref="BL364">IF(BI364="","",INDEX(pjEnd,BI364))</f>
        <v/>
      </c>
      <c r="BM364" s="150">
        <f>IF(BI364="",0,IF(C364="Active",1,IF(C364="Prospective",IF(Assumptions!$B$6="Active only",0,Assumptions!$B$7),0)))</f>
        <v>0</v>
      </c>
      <c r="BN364" s="150">
        <v>3</v>
      </c>
      <c r="BO364" s="36"/>
      <c r="BP364" s="36"/>
    </row>
    <row r="365" spans="1:68" hidden="1" outlineLevel="1" x14ac:dyDescent="0.25">
      <c r="A365" s="158" t="str">
        <f t="shared" si="168"/>
        <v/>
      </c>
      <c r="B365" s="157" t="str" cm="1">
        <f t="array" ref="B365">IF(BI365="","",INDEX(pjName,BI365))</f>
        <v/>
      </c>
      <c r="C365" s="158" t="str" cm="1">
        <f t="array" ref="C365">IF(BI365="","",IF(INDEX(pjStatus,BI365)="","",INDEX(pjStatus,BI365)))</f>
        <v/>
      </c>
      <c r="D365" s="158" t="str" cm="1">
        <f t="array" ref="D365">IFERROR(INDEX(tblStaff[Initials],BN365),"")</f>
        <v>HL</v>
      </c>
      <c r="E365" s="159" t="str" cm="1">
        <f t="array" ref="E365">IF(OR(BI365="",D365=""),"",IFERROR(SUMPRODUCT((pjNo=A365)*(pjType="Phase")*INDEX(Projects!$I$5:$O$1188,0,MATCH(D365,Projects!$I$4:$O$4,0))*pjWk),0))</f>
        <v/>
      </c>
      <c r="F365" s="159" t="str">
        <f t="shared" si="169"/>
        <v/>
      </c>
      <c r="G365" s="159" t="str">
        <f t="shared" si="170"/>
        <v/>
      </c>
      <c r="H365" s="160"/>
      <c r="I365" s="160"/>
      <c r="J365" s="160"/>
      <c r="K365" s="160"/>
      <c r="L365" s="160"/>
      <c r="M365" s="160"/>
      <c r="N365" s="160"/>
      <c r="O365" s="160"/>
      <c r="P365" s="160"/>
      <c r="Q365" s="160"/>
      <c r="R365" s="160"/>
      <c r="S365" s="160"/>
      <c r="T365" s="160"/>
      <c r="U365" s="160"/>
      <c r="V365" s="160"/>
      <c r="W365" s="160"/>
      <c r="X365" s="160"/>
      <c r="Y365" s="160"/>
      <c r="Z365" s="160"/>
      <c r="AA365" s="160"/>
      <c r="AB365" s="160"/>
      <c r="AC365" s="160"/>
      <c r="AD365" s="160"/>
      <c r="AE365" s="160"/>
      <c r="AF365" s="160"/>
      <c r="AG365" s="160"/>
      <c r="AH365" s="160"/>
      <c r="AI365" s="160"/>
      <c r="AJ365" s="160"/>
      <c r="AK365" s="160"/>
      <c r="AL365" s="160"/>
      <c r="AM365" s="160"/>
      <c r="AN365" s="160"/>
      <c r="AO365" s="160"/>
      <c r="AP365" s="160"/>
      <c r="AQ365" s="160"/>
      <c r="AR365" s="160"/>
      <c r="AS365" s="160"/>
      <c r="AT365" s="160"/>
      <c r="AU365" s="160"/>
      <c r="AV365" s="160"/>
      <c r="AW365" s="160"/>
      <c r="AX365" s="160"/>
      <c r="AY365" s="160"/>
      <c r="AZ365" s="160"/>
      <c r="BA365" s="160"/>
      <c r="BB365" s="160"/>
      <c r="BC365" s="160"/>
      <c r="BD365" s="160"/>
      <c r="BE365" s="160"/>
      <c r="BF365" s="160"/>
      <c r="BG365" s="160"/>
      <c r="BH365" s="36"/>
      <c r="BI365" s="150" t="str" cm="1">
        <f t="array" ref="BI365">IF(A365="","",IFERROR(MATCH(1,INDEX((pjNo=A365)*(pjType="Project"),0),0),""))</f>
        <v/>
      </c>
      <c r="BJ365" s="150" t="str">
        <f>IF(D365="","",IFERROR(INDEX(tblStaff[Staff Level],MATCH(D365,tblStaff[Initials],0)),"?"))</f>
        <v>Senior Designer</v>
      </c>
      <c r="BK365" s="151" t="str" cm="1">
        <f t="array" ref="BK365">IF(BI365="","",INDEX(pjStart,BI365))</f>
        <v/>
      </c>
      <c r="BL365" s="151" t="str" cm="1">
        <f t="array" ref="BL365">IF(BI365="","",INDEX(pjEnd,BI365))</f>
        <v/>
      </c>
      <c r="BM365" s="150">
        <f>IF(BI365="",0,IF(C365="Active",1,IF(C365="Prospective",IF(Assumptions!$B$6="Active only",0,Assumptions!$B$7),0)))</f>
        <v>0</v>
      </c>
      <c r="BN365" s="150">
        <v>4</v>
      </c>
      <c r="BO365" s="36"/>
      <c r="BP365" s="36"/>
    </row>
    <row r="366" spans="1:68" hidden="1" outlineLevel="1" x14ac:dyDescent="0.25">
      <c r="A366" s="158" t="str">
        <f t="shared" si="168"/>
        <v/>
      </c>
      <c r="B366" s="157" t="str" cm="1">
        <f t="array" ref="B366">IF(BI366="","",INDEX(pjName,BI366))</f>
        <v/>
      </c>
      <c r="C366" s="158" t="str" cm="1">
        <f t="array" ref="C366">IF(BI366="","",IF(INDEX(pjStatus,BI366)="","",INDEX(pjStatus,BI366)))</f>
        <v/>
      </c>
      <c r="D366" s="158" t="str" cm="1">
        <f t="array" ref="D366">IFERROR(INDEX(tblStaff[Initials],BN366),"")</f>
        <v>EHH</v>
      </c>
      <c r="E366" s="159" t="str" cm="1">
        <f t="array" ref="E366">IF(OR(BI366="",D366=""),"",IFERROR(SUMPRODUCT((pjNo=A366)*(pjType="Phase")*INDEX(Projects!$I$5:$O$1188,0,MATCH(D366,Projects!$I$4:$O$4,0))*pjWk),0))</f>
        <v/>
      </c>
      <c r="F366" s="159" t="str">
        <f t="shared" si="169"/>
        <v/>
      </c>
      <c r="G366" s="159" t="str">
        <f t="shared" si="170"/>
        <v/>
      </c>
      <c r="H366" s="160"/>
      <c r="I366" s="160"/>
      <c r="J366" s="160"/>
      <c r="K366" s="160"/>
      <c r="L366" s="160"/>
      <c r="M366" s="160"/>
      <c r="N366" s="160"/>
      <c r="O366" s="160"/>
      <c r="P366" s="160"/>
      <c r="Q366" s="160"/>
      <c r="R366" s="160"/>
      <c r="S366" s="160"/>
      <c r="T366" s="160"/>
      <c r="U366" s="160"/>
      <c r="V366" s="160"/>
      <c r="W366" s="160"/>
      <c r="X366" s="160"/>
      <c r="Y366" s="160"/>
      <c r="Z366" s="160"/>
      <c r="AA366" s="160"/>
      <c r="AB366" s="160"/>
      <c r="AC366" s="160"/>
      <c r="AD366" s="160"/>
      <c r="AE366" s="160"/>
      <c r="AF366" s="160"/>
      <c r="AG366" s="160"/>
      <c r="AH366" s="160"/>
      <c r="AI366" s="160"/>
      <c r="AJ366" s="160"/>
      <c r="AK366" s="160"/>
      <c r="AL366" s="160"/>
      <c r="AM366" s="160"/>
      <c r="AN366" s="160"/>
      <c r="AO366" s="160"/>
      <c r="AP366" s="160"/>
      <c r="AQ366" s="160"/>
      <c r="AR366" s="160"/>
      <c r="AS366" s="160"/>
      <c r="AT366" s="160"/>
      <c r="AU366" s="160"/>
      <c r="AV366" s="160"/>
      <c r="AW366" s="160"/>
      <c r="AX366" s="160"/>
      <c r="AY366" s="160"/>
      <c r="AZ366" s="160"/>
      <c r="BA366" s="160"/>
      <c r="BB366" s="160"/>
      <c r="BC366" s="160"/>
      <c r="BD366" s="160"/>
      <c r="BE366" s="160"/>
      <c r="BF366" s="160"/>
      <c r="BG366" s="160"/>
      <c r="BH366" s="36"/>
      <c r="BI366" s="150" t="str" cm="1">
        <f t="array" ref="BI366">IF(A366="","",IFERROR(MATCH(1,INDEX((pjNo=A366)*(pjType="Project"),0),0),""))</f>
        <v/>
      </c>
      <c r="BJ366" s="150" t="str">
        <f>IF(D366="","",IFERROR(INDEX(tblStaff[Staff Level],MATCH(D366,tblStaff[Initials],0)),"?"))</f>
        <v>Mid Level Designer</v>
      </c>
      <c r="BK366" s="151" t="str" cm="1">
        <f t="array" ref="BK366">IF(BI366="","",INDEX(pjStart,BI366))</f>
        <v/>
      </c>
      <c r="BL366" s="151" t="str" cm="1">
        <f t="array" ref="BL366">IF(BI366="","",INDEX(pjEnd,BI366))</f>
        <v/>
      </c>
      <c r="BM366" s="150">
        <f>IF(BI366="",0,IF(C366="Active",1,IF(C366="Prospective",IF(Assumptions!$B$6="Active only",0,Assumptions!$B$7),0)))</f>
        <v>0</v>
      </c>
      <c r="BN366" s="150">
        <v>5</v>
      </c>
      <c r="BO366" s="36"/>
      <c r="BP366" s="36"/>
    </row>
    <row r="367" spans="1:68" hidden="1" outlineLevel="1" x14ac:dyDescent="0.25">
      <c r="A367" s="158" t="str">
        <f t="shared" si="168"/>
        <v/>
      </c>
      <c r="B367" s="157" t="str" cm="1">
        <f t="array" ref="B367">IF(BI367="","",INDEX(pjName,BI367))</f>
        <v/>
      </c>
      <c r="C367" s="158" t="str" cm="1">
        <f t="array" ref="C367">IF(BI367="","",IF(INDEX(pjStatus,BI367)="","",INDEX(pjStatus,BI367)))</f>
        <v/>
      </c>
      <c r="D367" s="158" t="str" cm="1">
        <f t="array" ref="D367">IFERROR(INDEX(tblStaff[Initials],BN367),"")</f>
        <v>KD</v>
      </c>
      <c r="E367" s="159" t="str" cm="1">
        <f t="array" ref="E367">IF(OR(BI367="",D367=""),"",IFERROR(SUMPRODUCT((pjNo=A367)*(pjType="Phase")*INDEX(Projects!$I$5:$O$1188,0,MATCH(D367,Projects!$I$4:$O$4,0))*pjWk),0))</f>
        <v/>
      </c>
      <c r="F367" s="159" t="str">
        <f t="shared" si="169"/>
        <v/>
      </c>
      <c r="G367" s="159" t="str">
        <f t="shared" si="170"/>
        <v/>
      </c>
      <c r="H367" s="160"/>
      <c r="I367" s="160"/>
      <c r="J367" s="160"/>
      <c r="K367" s="160"/>
      <c r="L367" s="160"/>
      <c r="M367" s="160"/>
      <c r="N367" s="160"/>
      <c r="O367" s="160"/>
      <c r="P367" s="160"/>
      <c r="Q367" s="160"/>
      <c r="R367" s="160"/>
      <c r="S367" s="160"/>
      <c r="T367" s="160"/>
      <c r="U367" s="160"/>
      <c r="V367" s="160"/>
      <c r="W367" s="160"/>
      <c r="X367" s="160"/>
      <c r="Y367" s="160"/>
      <c r="Z367" s="160"/>
      <c r="AA367" s="160"/>
      <c r="AB367" s="160"/>
      <c r="AC367" s="160"/>
      <c r="AD367" s="160"/>
      <c r="AE367" s="160"/>
      <c r="AF367" s="160"/>
      <c r="AG367" s="160"/>
      <c r="AH367" s="160"/>
      <c r="AI367" s="160"/>
      <c r="AJ367" s="160"/>
      <c r="AK367" s="160"/>
      <c r="AL367" s="160"/>
      <c r="AM367" s="160"/>
      <c r="AN367" s="160"/>
      <c r="AO367" s="160"/>
      <c r="AP367" s="160"/>
      <c r="AQ367" s="160"/>
      <c r="AR367" s="160"/>
      <c r="AS367" s="160"/>
      <c r="AT367" s="160"/>
      <c r="AU367" s="160"/>
      <c r="AV367" s="160"/>
      <c r="AW367" s="160"/>
      <c r="AX367" s="160"/>
      <c r="AY367" s="160"/>
      <c r="AZ367" s="160"/>
      <c r="BA367" s="160"/>
      <c r="BB367" s="160"/>
      <c r="BC367" s="160"/>
      <c r="BD367" s="160"/>
      <c r="BE367" s="160"/>
      <c r="BF367" s="160"/>
      <c r="BG367" s="160"/>
      <c r="BH367" s="36"/>
      <c r="BI367" s="150" t="str" cm="1">
        <f t="array" ref="BI367">IF(A367="","",IFERROR(MATCH(1,INDEX((pjNo=A367)*(pjType="Project"),0),0),""))</f>
        <v/>
      </c>
      <c r="BJ367" s="150" t="str">
        <f>IF(D367="","",IFERROR(INDEX(tblStaff[Staff Level],MATCH(D367,tblStaff[Initials],0)),"?"))</f>
        <v>Mid Level Designer</v>
      </c>
      <c r="BK367" s="151" t="str" cm="1">
        <f t="array" ref="BK367">IF(BI367="","",INDEX(pjStart,BI367))</f>
        <v/>
      </c>
      <c r="BL367" s="151" t="str" cm="1">
        <f t="array" ref="BL367">IF(BI367="","",INDEX(pjEnd,BI367))</f>
        <v/>
      </c>
      <c r="BM367" s="150">
        <f>IF(BI367="",0,IF(C367="Active",1,IF(C367="Prospective",IF(Assumptions!$B$6="Active only",0,Assumptions!$B$7),0)))</f>
        <v>0</v>
      </c>
      <c r="BN367" s="150">
        <v>6</v>
      </c>
      <c r="BO367" s="36"/>
      <c r="BP367" s="36"/>
    </row>
    <row r="368" spans="1:68" hidden="1" outlineLevel="1" x14ac:dyDescent="0.25">
      <c r="A368" s="158" t="str">
        <f t="shared" si="168"/>
        <v/>
      </c>
      <c r="B368" s="157" t="str" cm="1">
        <f t="array" ref="B368">IF(BI368="","",INDEX(pjName,BI368))</f>
        <v/>
      </c>
      <c r="C368" s="158" t="str" cm="1">
        <f t="array" ref="C368">IF(BI368="","",IF(INDEX(pjStatus,BI368)="","",INDEX(pjStatus,BI368)))</f>
        <v/>
      </c>
      <c r="D368" s="158" t="str" cm="1">
        <f t="array" ref="D368">IFERROR(INDEX(tblStaff[Initials],BN368),"")</f>
        <v>XX</v>
      </c>
      <c r="E368" s="159" t="str" cm="1">
        <f t="array" ref="E368">IF(OR(BI368="",D368=""),"",IFERROR(SUMPRODUCT((pjNo=A368)*(pjType="Phase")*INDEX(Projects!$I$5:$O$1188,0,MATCH(D368,Projects!$I$4:$O$4,0))*pjWk),0))</f>
        <v/>
      </c>
      <c r="F368" s="159" t="str">
        <f t="shared" si="169"/>
        <v/>
      </c>
      <c r="G368" s="159" t="str">
        <f t="shared" si="170"/>
        <v/>
      </c>
      <c r="H368" s="160"/>
      <c r="I368" s="160"/>
      <c r="J368" s="160"/>
      <c r="K368" s="160"/>
      <c r="L368" s="160"/>
      <c r="M368" s="160"/>
      <c r="N368" s="160"/>
      <c r="O368" s="160"/>
      <c r="P368" s="160"/>
      <c r="Q368" s="160"/>
      <c r="R368" s="160"/>
      <c r="S368" s="160"/>
      <c r="T368" s="160"/>
      <c r="U368" s="160"/>
      <c r="V368" s="160"/>
      <c r="W368" s="160"/>
      <c r="X368" s="160"/>
      <c r="Y368" s="160"/>
      <c r="Z368" s="160"/>
      <c r="AA368" s="160"/>
      <c r="AB368" s="160"/>
      <c r="AC368" s="160"/>
      <c r="AD368" s="160"/>
      <c r="AE368" s="160"/>
      <c r="AF368" s="160"/>
      <c r="AG368" s="160"/>
      <c r="AH368" s="160"/>
      <c r="AI368" s="160"/>
      <c r="AJ368" s="160"/>
      <c r="AK368" s="160"/>
      <c r="AL368" s="160"/>
      <c r="AM368" s="160"/>
      <c r="AN368" s="160"/>
      <c r="AO368" s="160"/>
      <c r="AP368" s="160"/>
      <c r="AQ368" s="160"/>
      <c r="AR368" s="160"/>
      <c r="AS368" s="160"/>
      <c r="AT368" s="160"/>
      <c r="AU368" s="160"/>
      <c r="AV368" s="160"/>
      <c r="AW368" s="160"/>
      <c r="AX368" s="160"/>
      <c r="AY368" s="160"/>
      <c r="AZ368" s="160"/>
      <c r="BA368" s="160"/>
      <c r="BB368" s="160"/>
      <c r="BC368" s="160"/>
      <c r="BD368" s="160"/>
      <c r="BE368" s="160"/>
      <c r="BF368" s="160"/>
      <c r="BG368" s="160"/>
      <c r="BH368" s="36"/>
      <c r="BI368" s="150" t="str" cm="1">
        <f t="array" ref="BI368">IF(A368="","",IFERROR(MATCH(1,INDEX((pjNo=A368)*(pjType="Project"),0),0),""))</f>
        <v/>
      </c>
      <c r="BJ368" s="150" t="str">
        <f>IF(D368="","",IFERROR(INDEX(tblStaff[Staff Level],MATCH(D368,tblStaff[Initials],0)),"?"))</f>
        <v>Project Designer</v>
      </c>
      <c r="BK368" s="151" t="str" cm="1">
        <f t="array" ref="BK368">IF(BI368="","",INDEX(pjStart,BI368))</f>
        <v/>
      </c>
      <c r="BL368" s="151" t="str" cm="1">
        <f t="array" ref="BL368">IF(BI368="","",INDEX(pjEnd,BI368))</f>
        <v/>
      </c>
      <c r="BM368" s="150">
        <f>IF(BI368="",0,IF(C368="Active",1,IF(C368="Prospective",IF(Assumptions!$B$6="Active only",0,Assumptions!$B$7),0)))</f>
        <v>0</v>
      </c>
      <c r="BN368" s="150">
        <v>7</v>
      </c>
      <c r="BO368" s="36"/>
      <c r="BP368" s="36"/>
    </row>
    <row r="369" spans="1:68" hidden="1" outlineLevel="1" x14ac:dyDescent="0.25">
      <c r="A369" s="162" t="str">
        <f t="shared" si="168"/>
        <v/>
      </c>
      <c r="B369" s="161" t="str" cm="1">
        <f t="array" ref="B369">IF(BI369="","",INDEX(pjName,BI369))</f>
        <v/>
      </c>
      <c r="C369" s="162" t="str" cm="1">
        <f t="array" ref="C369">IF(BI369="","",IF(INDEX(pjStatus,BI369)="","",INDEX(pjStatus,BI369)))</f>
        <v/>
      </c>
      <c r="D369" s="162" t="str" cm="1">
        <f t="array" ref="D369">IFERROR(INDEX(tblStaff[Initials],BN369),"")</f>
        <v/>
      </c>
      <c r="E369" s="163" t="str" cm="1">
        <f t="array" ref="E369">IF(OR(BI369="",D369=""),"",IFERROR(SUMPRODUCT((pjNo=A369)*(pjType="Phase")*INDEX(Projects!$I$5:$O$1188,0,MATCH(D369,Projects!$I$4:$O$4,0))*pjWk),0))</f>
        <v/>
      </c>
      <c r="F369" s="163" t="str">
        <f t="shared" si="169"/>
        <v/>
      </c>
      <c r="G369" s="163" t="str">
        <f t="shared" si="170"/>
        <v/>
      </c>
      <c r="H369" s="164"/>
      <c r="I369" s="164"/>
      <c r="J369" s="164"/>
      <c r="K369" s="164"/>
      <c r="L369" s="164"/>
      <c r="M369" s="164"/>
      <c r="N369" s="164"/>
      <c r="O369" s="164"/>
      <c r="P369" s="164"/>
      <c r="Q369" s="164"/>
      <c r="R369" s="164"/>
      <c r="S369" s="164"/>
      <c r="T369" s="164"/>
      <c r="U369" s="164"/>
      <c r="V369" s="164"/>
      <c r="W369" s="164"/>
      <c r="X369" s="164"/>
      <c r="Y369" s="164"/>
      <c r="Z369" s="164"/>
      <c r="AA369" s="164"/>
      <c r="AB369" s="164"/>
      <c r="AC369" s="164"/>
      <c r="AD369" s="164"/>
      <c r="AE369" s="164"/>
      <c r="AF369" s="164"/>
      <c r="AG369" s="164"/>
      <c r="AH369" s="164"/>
      <c r="AI369" s="164"/>
      <c r="AJ369" s="164"/>
      <c r="AK369" s="164"/>
      <c r="AL369" s="164"/>
      <c r="AM369" s="164"/>
      <c r="AN369" s="164"/>
      <c r="AO369" s="164"/>
      <c r="AP369" s="164"/>
      <c r="AQ369" s="164"/>
      <c r="AR369" s="164"/>
      <c r="AS369" s="164"/>
      <c r="AT369" s="164"/>
      <c r="AU369" s="164"/>
      <c r="AV369" s="164"/>
      <c r="AW369" s="164"/>
      <c r="AX369" s="164"/>
      <c r="AY369" s="164"/>
      <c r="AZ369" s="164"/>
      <c r="BA369" s="164"/>
      <c r="BB369" s="164"/>
      <c r="BC369" s="164"/>
      <c r="BD369" s="164"/>
      <c r="BE369" s="164"/>
      <c r="BF369" s="164"/>
      <c r="BG369" s="164"/>
      <c r="BH369" s="36"/>
      <c r="BI369" s="150" t="str" cm="1">
        <f t="array" ref="BI369">IF(A369="","",IFERROR(MATCH(1,INDEX((pjNo=A369)*(pjType="Project"),0),0),""))</f>
        <v/>
      </c>
      <c r="BJ369" s="150" t="str">
        <f>IF(D369="","",IFERROR(INDEX(tblStaff[Staff Level],MATCH(D369,tblStaff[Initials],0)),"?"))</f>
        <v/>
      </c>
      <c r="BK369" s="151" t="str" cm="1">
        <f t="array" ref="BK369">IF(BI369="","",INDEX(pjStart,BI369))</f>
        <v/>
      </c>
      <c r="BL369" s="151" t="str" cm="1">
        <f t="array" ref="BL369">IF(BI369="","",INDEX(pjEnd,BI369))</f>
        <v/>
      </c>
      <c r="BM369" s="150">
        <f>IF(BI369="",0,IF(C369="Active",1,IF(C369="Prospective",IF(Assumptions!$B$6="Active only",0,Assumptions!$B$7),0)))</f>
        <v>0</v>
      </c>
      <c r="BN369" s="150">
        <v>8</v>
      </c>
      <c r="BO369" s="36"/>
      <c r="BP369" s="36"/>
    </row>
    <row r="370" spans="1:68" collapsed="1" x14ac:dyDescent="0.25">
      <c r="A370" s="171"/>
      <c r="B370" s="173" t="str">
        <f>IF(A371="","",A371&amp;" · "&amp;B371)</f>
        <v/>
      </c>
      <c r="C370" s="171" t="str">
        <f>IF(A371="","",C371)</f>
        <v/>
      </c>
      <c r="D370" s="171"/>
      <c r="E370" s="172">
        <f>SUM(E371:E378)</f>
        <v>0</v>
      </c>
      <c r="F370" s="172">
        <f>SUM(F371:F378)</f>
        <v>0</v>
      </c>
      <c r="G370" s="172" t="str">
        <f>IF(E370=0,"",E370-F370)</f>
        <v/>
      </c>
      <c r="H370" s="174">
        <f t="shared" ref="H370:AM370" si="171">SUM(H371:H378)</f>
        <v>0</v>
      </c>
      <c r="I370" s="174">
        <f t="shared" si="171"/>
        <v>0</v>
      </c>
      <c r="J370" s="174">
        <f t="shared" si="171"/>
        <v>0</v>
      </c>
      <c r="K370" s="174">
        <f t="shared" si="171"/>
        <v>0</v>
      </c>
      <c r="L370" s="174">
        <f t="shared" si="171"/>
        <v>0</v>
      </c>
      <c r="M370" s="174">
        <f t="shared" si="171"/>
        <v>0</v>
      </c>
      <c r="N370" s="174">
        <f t="shared" si="171"/>
        <v>0</v>
      </c>
      <c r="O370" s="174">
        <f t="shared" si="171"/>
        <v>0</v>
      </c>
      <c r="P370" s="174">
        <f t="shared" si="171"/>
        <v>0</v>
      </c>
      <c r="Q370" s="174">
        <f t="shared" si="171"/>
        <v>0</v>
      </c>
      <c r="R370" s="174">
        <f t="shared" si="171"/>
        <v>0</v>
      </c>
      <c r="S370" s="174">
        <f t="shared" si="171"/>
        <v>0</v>
      </c>
      <c r="T370" s="174">
        <f t="shared" si="171"/>
        <v>0</v>
      </c>
      <c r="U370" s="174">
        <f t="shared" si="171"/>
        <v>0</v>
      </c>
      <c r="V370" s="174">
        <f t="shared" si="171"/>
        <v>0</v>
      </c>
      <c r="W370" s="174">
        <f t="shared" si="171"/>
        <v>0</v>
      </c>
      <c r="X370" s="174">
        <f t="shared" si="171"/>
        <v>0</v>
      </c>
      <c r="Y370" s="174">
        <f t="shared" si="171"/>
        <v>0</v>
      </c>
      <c r="Z370" s="174">
        <f t="shared" si="171"/>
        <v>0</v>
      </c>
      <c r="AA370" s="174">
        <f t="shared" si="171"/>
        <v>0</v>
      </c>
      <c r="AB370" s="174">
        <f t="shared" si="171"/>
        <v>0</v>
      </c>
      <c r="AC370" s="174">
        <f t="shared" si="171"/>
        <v>0</v>
      </c>
      <c r="AD370" s="174">
        <f t="shared" si="171"/>
        <v>0</v>
      </c>
      <c r="AE370" s="174">
        <f t="shared" si="171"/>
        <v>0</v>
      </c>
      <c r="AF370" s="174">
        <f t="shared" si="171"/>
        <v>0</v>
      </c>
      <c r="AG370" s="174">
        <f t="shared" si="171"/>
        <v>0</v>
      </c>
      <c r="AH370" s="174">
        <f t="shared" si="171"/>
        <v>0</v>
      </c>
      <c r="AI370" s="174">
        <f t="shared" si="171"/>
        <v>0</v>
      </c>
      <c r="AJ370" s="174">
        <f t="shared" si="171"/>
        <v>0</v>
      </c>
      <c r="AK370" s="174">
        <f t="shared" si="171"/>
        <v>0</v>
      </c>
      <c r="AL370" s="174">
        <f t="shared" si="171"/>
        <v>0</v>
      </c>
      <c r="AM370" s="174">
        <f t="shared" si="171"/>
        <v>0</v>
      </c>
      <c r="AN370" s="174">
        <f t="shared" ref="AN370:BG370" si="172">SUM(AN371:AN378)</f>
        <v>0</v>
      </c>
      <c r="AO370" s="174">
        <f t="shared" si="172"/>
        <v>0</v>
      </c>
      <c r="AP370" s="174">
        <f t="shared" si="172"/>
        <v>0</v>
      </c>
      <c r="AQ370" s="174">
        <f t="shared" si="172"/>
        <v>0</v>
      </c>
      <c r="AR370" s="174">
        <f t="shared" si="172"/>
        <v>0</v>
      </c>
      <c r="AS370" s="174">
        <f t="shared" si="172"/>
        <v>0</v>
      </c>
      <c r="AT370" s="174">
        <f t="shared" si="172"/>
        <v>0</v>
      </c>
      <c r="AU370" s="174">
        <f t="shared" si="172"/>
        <v>0</v>
      </c>
      <c r="AV370" s="174">
        <f t="shared" si="172"/>
        <v>0</v>
      </c>
      <c r="AW370" s="174">
        <f t="shared" si="172"/>
        <v>0</v>
      </c>
      <c r="AX370" s="174">
        <f t="shared" si="172"/>
        <v>0</v>
      </c>
      <c r="AY370" s="174">
        <f t="shared" si="172"/>
        <v>0</v>
      </c>
      <c r="AZ370" s="174">
        <f t="shared" si="172"/>
        <v>0</v>
      </c>
      <c r="BA370" s="174">
        <f t="shared" si="172"/>
        <v>0</v>
      </c>
      <c r="BB370" s="174">
        <f t="shared" si="172"/>
        <v>0</v>
      </c>
      <c r="BC370" s="174">
        <f t="shared" si="172"/>
        <v>0</v>
      </c>
      <c r="BD370" s="174">
        <f t="shared" si="172"/>
        <v>0</v>
      </c>
      <c r="BE370" s="174">
        <f t="shared" si="172"/>
        <v>0</v>
      </c>
      <c r="BF370" s="174">
        <f t="shared" si="172"/>
        <v>0</v>
      </c>
      <c r="BG370" s="174">
        <f t="shared" si="172"/>
        <v>0</v>
      </c>
      <c r="BH370" s="36"/>
      <c r="BI370" s="150"/>
      <c r="BJ370" s="150"/>
      <c r="BK370" s="151"/>
      <c r="BL370" s="151"/>
      <c r="BM370" s="150"/>
      <c r="BN370" s="150"/>
      <c r="BO370" s="36"/>
      <c r="BP370" s="36"/>
    </row>
    <row r="371" spans="1:68" hidden="1" outlineLevel="1" x14ac:dyDescent="0.25">
      <c r="A371" s="167" t="str">
        <f t="shared" ref="A371:A378" si="173">IF(N(INDEX($BP$20:$BP$67,12))=0,"",INDEX($BP$20:$BP$67,12))</f>
        <v/>
      </c>
      <c r="B371" s="168" t="str" cm="1">
        <f t="array" ref="B371">IF(BI371="","",INDEX(pjName,BI371))</f>
        <v/>
      </c>
      <c r="C371" s="167" t="str" cm="1">
        <f t="array" ref="C371">IF(BI371="","",IF(INDEX(pjStatus,BI371)="","",INDEX(pjStatus,BI371)))</f>
        <v/>
      </c>
      <c r="D371" s="167" t="str" cm="1">
        <f t="array" ref="D371">IFERROR(INDEX(tblStaff[Initials],BN371),"")</f>
        <v>PK</v>
      </c>
      <c r="E371" s="169" t="str" cm="1">
        <f t="array" ref="E371">IF(OR(BI371="",D371=""),"",IFERROR(SUMPRODUCT((pjNo=A371)*(pjType="Phase")*INDEX(Projects!$I$5:$O$1188,0,MATCH(D371,Projects!$I$4:$O$4,0))*pjWk),0))</f>
        <v/>
      </c>
      <c r="F371" s="169" t="str">
        <f t="shared" ref="F371:F378" si="174">IF(BI371="","",SUM(H371:BG371))</f>
        <v/>
      </c>
      <c r="G371" s="169" t="str">
        <f t="shared" ref="G371:G378" si="175">IF(OR(E371="",F371=""),"",E371-F371)</f>
        <v/>
      </c>
      <c r="H371" s="170"/>
      <c r="I371" s="170"/>
      <c r="J371" s="170"/>
      <c r="K371" s="170"/>
      <c r="L371" s="170"/>
      <c r="M371" s="170"/>
      <c r="N371" s="170"/>
      <c r="O371" s="170"/>
      <c r="P371" s="170"/>
      <c r="Q371" s="170"/>
      <c r="R371" s="170"/>
      <c r="S371" s="170"/>
      <c r="T371" s="170"/>
      <c r="U371" s="170"/>
      <c r="V371" s="170"/>
      <c r="W371" s="170"/>
      <c r="X371" s="170"/>
      <c r="Y371" s="170"/>
      <c r="Z371" s="170"/>
      <c r="AA371" s="170"/>
      <c r="AB371" s="170"/>
      <c r="AC371" s="170"/>
      <c r="AD371" s="170"/>
      <c r="AE371" s="170"/>
      <c r="AF371" s="170"/>
      <c r="AG371" s="170"/>
      <c r="AH371" s="170"/>
      <c r="AI371" s="170"/>
      <c r="AJ371" s="170"/>
      <c r="AK371" s="170"/>
      <c r="AL371" s="170"/>
      <c r="AM371" s="170"/>
      <c r="AN371" s="170"/>
      <c r="AO371" s="170"/>
      <c r="AP371" s="170"/>
      <c r="AQ371" s="170"/>
      <c r="AR371" s="170"/>
      <c r="AS371" s="170"/>
      <c r="AT371" s="170"/>
      <c r="AU371" s="170"/>
      <c r="AV371" s="170"/>
      <c r="AW371" s="170"/>
      <c r="AX371" s="170"/>
      <c r="AY371" s="170"/>
      <c r="AZ371" s="170"/>
      <c r="BA371" s="170"/>
      <c r="BB371" s="170"/>
      <c r="BC371" s="170"/>
      <c r="BD371" s="170"/>
      <c r="BE371" s="170"/>
      <c r="BF371" s="170"/>
      <c r="BG371" s="170"/>
      <c r="BH371" s="36"/>
      <c r="BI371" s="150" t="str" cm="1">
        <f t="array" ref="BI371">IF(A371="","",IFERROR(MATCH(1,INDEX((pjNo=A371)*(pjType="Project"),0),0),""))</f>
        <v/>
      </c>
      <c r="BJ371" s="150" t="str">
        <f>IF(D371="","",IFERROR(INDEX(tblStaff[Staff Level],MATCH(D371,tblStaff[Initials],0)),"?"))</f>
        <v>Principal</v>
      </c>
      <c r="BK371" s="151" t="str" cm="1">
        <f t="array" ref="BK371">IF(BI371="","",INDEX(pjStart,BI371))</f>
        <v/>
      </c>
      <c r="BL371" s="151" t="str" cm="1">
        <f t="array" ref="BL371">IF(BI371="","",INDEX(pjEnd,BI371))</f>
        <v/>
      </c>
      <c r="BM371" s="150">
        <f>IF(BI371="",0,IF(C371="Active",1,IF(C371="Prospective",IF(Assumptions!$B$6="Active only",0,Assumptions!$B$7),0)))</f>
        <v>0</v>
      </c>
      <c r="BN371" s="150">
        <v>1</v>
      </c>
      <c r="BO371" s="36"/>
      <c r="BP371" s="36"/>
    </row>
    <row r="372" spans="1:68" hidden="1" outlineLevel="1" x14ac:dyDescent="0.25">
      <c r="A372" s="167" t="str">
        <f t="shared" si="173"/>
        <v/>
      </c>
      <c r="B372" s="168" t="str" cm="1">
        <f t="array" ref="B372">IF(BI372="","",INDEX(pjName,BI372))</f>
        <v/>
      </c>
      <c r="C372" s="167" t="str" cm="1">
        <f t="array" ref="C372">IF(BI372="","",IF(INDEX(pjStatus,BI372)="","",INDEX(pjStatus,BI372)))</f>
        <v/>
      </c>
      <c r="D372" s="167" t="str" cm="1">
        <f t="array" ref="D372">IFERROR(INDEX(tblStaff[Initials],BN372),"")</f>
        <v>DF</v>
      </c>
      <c r="E372" s="169" t="str" cm="1">
        <f t="array" ref="E372">IF(OR(BI372="",D372=""),"",IFERROR(SUMPRODUCT((pjNo=A372)*(pjType="Phase")*INDEX(Projects!$I$5:$O$1188,0,MATCH(D372,Projects!$I$4:$O$4,0))*pjWk),0))</f>
        <v/>
      </c>
      <c r="F372" s="169" t="str">
        <f t="shared" si="174"/>
        <v/>
      </c>
      <c r="G372" s="169" t="str">
        <f t="shared" si="175"/>
        <v/>
      </c>
      <c r="H372" s="170"/>
      <c r="I372" s="170"/>
      <c r="J372" s="170"/>
      <c r="K372" s="170"/>
      <c r="L372" s="170"/>
      <c r="M372" s="170"/>
      <c r="N372" s="170"/>
      <c r="O372" s="170"/>
      <c r="P372" s="170"/>
      <c r="Q372" s="170"/>
      <c r="R372" s="170"/>
      <c r="S372" s="170"/>
      <c r="T372" s="170"/>
      <c r="U372" s="170"/>
      <c r="V372" s="170"/>
      <c r="W372" s="170"/>
      <c r="X372" s="170"/>
      <c r="Y372" s="170"/>
      <c r="Z372" s="170"/>
      <c r="AA372" s="170"/>
      <c r="AB372" s="170"/>
      <c r="AC372" s="170"/>
      <c r="AD372" s="170"/>
      <c r="AE372" s="170"/>
      <c r="AF372" s="170"/>
      <c r="AG372" s="170"/>
      <c r="AH372" s="170"/>
      <c r="AI372" s="170"/>
      <c r="AJ372" s="170"/>
      <c r="AK372" s="170"/>
      <c r="AL372" s="170"/>
      <c r="AM372" s="170"/>
      <c r="AN372" s="170"/>
      <c r="AO372" s="170"/>
      <c r="AP372" s="170"/>
      <c r="AQ372" s="170"/>
      <c r="AR372" s="170"/>
      <c r="AS372" s="170"/>
      <c r="AT372" s="170"/>
      <c r="AU372" s="170"/>
      <c r="AV372" s="170"/>
      <c r="AW372" s="170"/>
      <c r="AX372" s="170"/>
      <c r="AY372" s="170"/>
      <c r="AZ372" s="170"/>
      <c r="BA372" s="170"/>
      <c r="BB372" s="170"/>
      <c r="BC372" s="170"/>
      <c r="BD372" s="170"/>
      <c r="BE372" s="170"/>
      <c r="BF372" s="170"/>
      <c r="BG372" s="170"/>
      <c r="BH372" s="36"/>
      <c r="BI372" s="150" t="str" cm="1">
        <f t="array" ref="BI372">IF(A372="","",IFERROR(MATCH(1,INDEX((pjNo=A372)*(pjType="Project"),0),0),""))</f>
        <v/>
      </c>
      <c r="BJ372" s="150" t="str">
        <f>IF(D372="","",IFERROR(INDEX(tblStaff[Staff Level],MATCH(D372,tblStaff[Initials],0)),"?"))</f>
        <v>Principal</v>
      </c>
      <c r="BK372" s="151" t="str" cm="1">
        <f t="array" ref="BK372">IF(BI372="","",INDEX(pjStart,BI372))</f>
        <v/>
      </c>
      <c r="BL372" s="151" t="str" cm="1">
        <f t="array" ref="BL372">IF(BI372="","",INDEX(pjEnd,BI372))</f>
        <v/>
      </c>
      <c r="BM372" s="150">
        <f>IF(BI372="",0,IF(C372="Active",1,IF(C372="Prospective",IF(Assumptions!$B$6="Active only",0,Assumptions!$B$7),0)))</f>
        <v>0</v>
      </c>
      <c r="BN372" s="150">
        <v>2</v>
      </c>
      <c r="BO372" s="36"/>
      <c r="BP372" s="36"/>
    </row>
    <row r="373" spans="1:68" hidden="1" outlineLevel="1" x14ac:dyDescent="0.25">
      <c r="A373" s="158" t="str">
        <f t="shared" si="173"/>
        <v/>
      </c>
      <c r="B373" s="157" t="str" cm="1">
        <f t="array" ref="B373">IF(BI373="","",INDEX(pjName,BI373))</f>
        <v/>
      </c>
      <c r="C373" s="158" t="str" cm="1">
        <f t="array" ref="C373">IF(BI373="","",IF(INDEX(pjStatus,BI373)="","",INDEX(pjStatus,BI373)))</f>
        <v/>
      </c>
      <c r="D373" s="158" t="str" cm="1">
        <f t="array" ref="D373">IFERROR(INDEX(tblStaff[Initials],BN373),"")</f>
        <v>KJ</v>
      </c>
      <c r="E373" s="159" t="str" cm="1">
        <f t="array" ref="E373">IF(OR(BI373="",D373=""),"",IFERROR(SUMPRODUCT((pjNo=A373)*(pjType="Phase")*INDEX(Projects!$I$5:$O$1188,0,MATCH(D373,Projects!$I$4:$O$4,0))*pjWk),0))</f>
        <v/>
      </c>
      <c r="F373" s="159" t="str">
        <f t="shared" si="174"/>
        <v/>
      </c>
      <c r="G373" s="159" t="str">
        <f t="shared" si="175"/>
        <v/>
      </c>
      <c r="H373" s="160"/>
      <c r="I373" s="160"/>
      <c r="J373" s="160"/>
      <c r="K373" s="160"/>
      <c r="L373" s="160"/>
      <c r="M373" s="160"/>
      <c r="N373" s="160"/>
      <c r="O373" s="160"/>
      <c r="P373" s="160"/>
      <c r="Q373" s="160"/>
      <c r="R373" s="160"/>
      <c r="S373" s="160"/>
      <c r="T373" s="160"/>
      <c r="U373" s="160"/>
      <c r="V373" s="160"/>
      <c r="W373" s="160"/>
      <c r="X373" s="160"/>
      <c r="Y373" s="160"/>
      <c r="Z373" s="160"/>
      <c r="AA373" s="160"/>
      <c r="AB373" s="160"/>
      <c r="AC373" s="160"/>
      <c r="AD373" s="160"/>
      <c r="AE373" s="160"/>
      <c r="AF373" s="160"/>
      <c r="AG373" s="160"/>
      <c r="AH373" s="160"/>
      <c r="AI373" s="160"/>
      <c r="AJ373" s="160"/>
      <c r="AK373" s="160"/>
      <c r="AL373" s="160"/>
      <c r="AM373" s="160"/>
      <c r="AN373" s="160"/>
      <c r="AO373" s="160"/>
      <c r="AP373" s="160"/>
      <c r="AQ373" s="160"/>
      <c r="AR373" s="160"/>
      <c r="AS373" s="160"/>
      <c r="AT373" s="160"/>
      <c r="AU373" s="160"/>
      <c r="AV373" s="160"/>
      <c r="AW373" s="160"/>
      <c r="AX373" s="160"/>
      <c r="AY373" s="160"/>
      <c r="AZ373" s="160"/>
      <c r="BA373" s="160"/>
      <c r="BB373" s="160"/>
      <c r="BC373" s="160"/>
      <c r="BD373" s="160"/>
      <c r="BE373" s="160"/>
      <c r="BF373" s="160"/>
      <c r="BG373" s="160"/>
      <c r="BH373" s="36"/>
      <c r="BI373" s="150" t="str" cm="1">
        <f t="array" ref="BI373">IF(A373="","",IFERROR(MATCH(1,INDEX((pjNo=A373)*(pjType="Project"),0),0),""))</f>
        <v/>
      </c>
      <c r="BJ373" s="150" t="str">
        <f>IF(D373="","",IFERROR(INDEX(tblStaff[Staff Level],MATCH(D373,tblStaff[Initials],0)),"?"))</f>
        <v>Director</v>
      </c>
      <c r="BK373" s="151" t="str" cm="1">
        <f t="array" ref="BK373">IF(BI373="","",INDEX(pjStart,BI373))</f>
        <v/>
      </c>
      <c r="BL373" s="151" t="str" cm="1">
        <f t="array" ref="BL373">IF(BI373="","",INDEX(pjEnd,BI373))</f>
        <v/>
      </c>
      <c r="BM373" s="150">
        <f>IF(BI373="",0,IF(C373="Active",1,IF(C373="Prospective",IF(Assumptions!$B$6="Active only",0,Assumptions!$B$7),0)))</f>
        <v>0</v>
      </c>
      <c r="BN373" s="150">
        <v>3</v>
      </c>
      <c r="BO373" s="36"/>
      <c r="BP373" s="36"/>
    </row>
    <row r="374" spans="1:68" hidden="1" outlineLevel="1" x14ac:dyDescent="0.25">
      <c r="A374" s="158" t="str">
        <f t="shared" si="173"/>
        <v/>
      </c>
      <c r="B374" s="157" t="str" cm="1">
        <f t="array" ref="B374">IF(BI374="","",INDEX(pjName,BI374))</f>
        <v/>
      </c>
      <c r="C374" s="158" t="str" cm="1">
        <f t="array" ref="C374">IF(BI374="","",IF(INDEX(pjStatus,BI374)="","",INDEX(pjStatus,BI374)))</f>
        <v/>
      </c>
      <c r="D374" s="158" t="str" cm="1">
        <f t="array" ref="D374">IFERROR(INDEX(tblStaff[Initials],BN374),"")</f>
        <v>HL</v>
      </c>
      <c r="E374" s="159" t="str" cm="1">
        <f t="array" ref="E374">IF(OR(BI374="",D374=""),"",IFERROR(SUMPRODUCT((pjNo=A374)*(pjType="Phase")*INDEX(Projects!$I$5:$O$1188,0,MATCH(D374,Projects!$I$4:$O$4,0))*pjWk),0))</f>
        <v/>
      </c>
      <c r="F374" s="159" t="str">
        <f t="shared" si="174"/>
        <v/>
      </c>
      <c r="G374" s="159" t="str">
        <f t="shared" si="175"/>
        <v/>
      </c>
      <c r="H374" s="160"/>
      <c r="I374" s="160"/>
      <c r="J374" s="160"/>
      <c r="K374" s="160"/>
      <c r="L374" s="160"/>
      <c r="M374" s="160"/>
      <c r="N374" s="160"/>
      <c r="O374" s="160"/>
      <c r="P374" s="160"/>
      <c r="Q374" s="160"/>
      <c r="R374" s="160"/>
      <c r="S374" s="160"/>
      <c r="T374" s="160"/>
      <c r="U374" s="160"/>
      <c r="V374" s="160"/>
      <c r="W374" s="160"/>
      <c r="X374" s="160"/>
      <c r="Y374" s="160"/>
      <c r="Z374" s="160"/>
      <c r="AA374" s="160"/>
      <c r="AB374" s="160"/>
      <c r="AC374" s="160"/>
      <c r="AD374" s="160"/>
      <c r="AE374" s="160"/>
      <c r="AF374" s="160"/>
      <c r="AG374" s="160"/>
      <c r="AH374" s="160"/>
      <c r="AI374" s="160"/>
      <c r="AJ374" s="160"/>
      <c r="AK374" s="160"/>
      <c r="AL374" s="160"/>
      <c r="AM374" s="160"/>
      <c r="AN374" s="160"/>
      <c r="AO374" s="160"/>
      <c r="AP374" s="160"/>
      <c r="AQ374" s="160"/>
      <c r="AR374" s="160"/>
      <c r="AS374" s="160"/>
      <c r="AT374" s="160"/>
      <c r="AU374" s="160"/>
      <c r="AV374" s="160"/>
      <c r="AW374" s="160"/>
      <c r="AX374" s="160"/>
      <c r="AY374" s="160"/>
      <c r="AZ374" s="160"/>
      <c r="BA374" s="160"/>
      <c r="BB374" s="160"/>
      <c r="BC374" s="160"/>
      <c r="BD374" s="160"/>
      <c r="BE374" s="160"/>
      <c r="BF374" s="160"/>
      <c r="BG374" s="160"/>
      <c r="BH374" s="36"/>
      <c r="BI374" s="150" t="str" cm="1">
        <f t="array" ref="BI374">IF(A374="","",IFERROR(MATCH(1,INDEX((pjNo=A374)*(pjType="Project"),0),0),""))</f>
        <v/>
      </c>
      <c r="BJ374" s="150" t="str">
        <f>IF(D374="","",IFERROR(INDEX(tblStaff[Staff Level],MATCH(D374,tblStaff[Initials],0)),"?"))</f>
        <v>Senior Designer</v>
      </c>
      <c r="BK374" s="151" t="str" cm="1">
        <f t="array" ref="BK374">IF(BI374="","",INDEX(pjStart,BI374))</f>
        <v/>
      </c>
      <c r="BL374" s="151" t="str" cm="1">
        <f t="array" ref="BL374">IF(BI374="","",INDEX(pjEnd,BI374))</f>
        <v/>
      </c>
      <c r="BM374" s="150">
        <f>IF(BI374="",0,IF(C374="Active",1,IF(C374="Prospective",IF(Assumptions!$B$6="Active only",0,Assumptions!$B$7),0)))</f>
        <v>0</v>
      </c>
      <c r="BN374" s="150">
        <v>4</v>
      </c>
      <c r="BO374" s="36"/>
      <c r="BP374" s="36"/>
    </row>
    <row r="375" spans="1:68" hidden="1" outlineLevel="1" x14ac:dyDescent="0.25">
      <c r="A375" s="158" t="str">
        <f t="shared" si="173"/>
        <v/>
      </c>
      <c r="B375" s="157" t="str" cm="1">
        <f t="array" ref="B375">IF(BI375="","",INDEX(pjName,BI375))</f>
        <v/>
      </c>
      <c r="C375" s="158" t="str" cm="1">
        <f t="array" ref="C375">IF(BI375="","",IF(INDEX(pjStatus,BI375)="","",INDEX(pjStatus,BI375)))</f>
        <v/>
      </c>
      <c r="D375" s="158" t="str" cm="1">
        <f t="array" ref="D375">IFERROR(INDEX(tblStaff[Initials],BN375),"")</f>
        <v>EHH</v>
      </c>
      <c r="E375" s="159" t="str" cm="1">
        <f t="array" ref="E375">IF(OR(BI375="",D375=""),"",IFERROR(SUMPRODUCT((pjNo=A375)*(pjType="Phase")*INDEX(Projects!$I$5:$O$1188,0,MATCH(D375,Projects!$I$4:$O$4,0))*pjWk),0))</f>
        <v/>
      </c>
      <c r="F375" s="159" t="str">
        <f t="shared" si="174"/>
        <v/>
      </c>
      <c r="G375" s="159" t="str">
        <f t="shared" si="175"/>
        <v/>
      </c>
      <c r="H375" s="160"/>
      <c r="I375" s="160"/>
      <c r="J375" s="160"/>
      <c r="K375" s="160"/>
      <c r="L375" s="160"/>
      <c r="M375" s="160"/>
      <c r="N375" s="160"/>
      <c r="O375" s="160"/>
      <c r="P375" s="160"/>
      <c r="Q375" s="160"/>
      <c r="R375" s="160"/>
      <c r="S375" s="160"/>
      <c r="T375" s="160"/>
      <c r="U375" s="160"/>
      <c r="V375" s="160"/>
      <c r="W375" s="160"/>
      <c r="X375" s="160"/>
      <c r="Y375" s="160"/>
      <c r="Z375" s="160"/>
      <c r="AA375" s="160"/>
      <c r="AB375" s="160"/>
      <c r="AC375" s="160"/>
      <c r="AD375" s="160"/>
      <c r="AE375" s="160"/>
      <c r="AF375" s="160"/>
      <c r="AG375" s="160"/>
      <c r="AH375" s="160"/>
      <c r="AI375" s="160"/>
      <c r="AJ375" s="160"/>
      <c r="AK375" s="160"/>
      <c r="AL375" s="160"/>
      <c r="AM375" s="160"/>
      <c r="AN375" s="160"/>
      <c r="AO375" s="160"/>
      <c r="AP375" s="160"/>
      <c r="AQ375" s="160"/>
      <c r="AR375" s="160"/>
      <c r="AS375" s="160"/>
      <c r="AT375" s="160"/>
      <c r="AU375" s="160"/>
      <c r="AV375" s="160"/>
      <c r="AW375" s="160"/>
      <c r="AX375" s="160"/>
      <c r="AY375" s="160"/>
      <c r="AZ375" s="160"/>
      <c r="BA375" s="160"/>
      <c r="BB375" s="160"/>
      <c r="BC375" s="160"/>
      <c r="BD375" s="160"/>
      <c r="BE375" s="160"/>
      <c r="BF375" s="160"/>
      <c r="BG375" s="160"/>
      <c r="BH375" s="36"/>
      <c r="BI375" s="150" t="str" cm="1">
        <f t="array" ref="BI375">IF(A375="","",IFERROR(MATCH(1,INDEX((pjNo=A375)*(pjType="Project"),0),0),""))</f>
        <v/>
      </c>
      <c r="BJ375" s="150" t="str">
        <f>IF(D375="","",IFERROR(INDEX(tblStaff[Staff Level],MATCH(D375,tblStaff[Initials],0)),"?"))</f>
        <v>Mid Level Designer</v>
      </c>
      <c r="BK375" s="151" t="str" cm="1">
        <f t="array" ref="BK375">IF(BI375="","",INDEX(pjStart,BI375))</f>
        <v/>
      </c>
      <c r="BL375" s="151" t="str" cm="1">
        <f t="array" ref="BL375">IF(BI375="","",INDEX(pjEnd,BI375))</f>
        <v/>
      </c>
      <c r="BM375" s="150">
        <f>IF(BI375="",0,IF(C375="Active",1,IF(C375="Prospective",IF(Assumptions!$B$6="Active only",0,Assumptions!$B$7),0)))</f>
        <v>0</v>
      </c>
      <c r="BN375" s="150">
        <v>5</v>
      </c>
      <c r="BO375" s="36"/>
      <c r="BP375" s="36"/>
    </row>
    <row r="376" spans="1:68" hidden="1" outlineLevel="1" x14ac:dyDescent="0.25">
      <c r="A376" s="158" t="str">
        <f t="shared" si="173"/>
        <v/>
      </c>
      <c r="B376" s="157" t="str" cm="1">
        <f t="array" ref="B376">IF(BI376="","",INDEX(pjName,BI376))</f>
        <v/>
      </c>
      <c r="C376" s="158" t="str" cm="1">
        <f t="array" ref="C376">IF(BI376="","",IF(INDEX(pjStatus,BI376)="","",INDEX(pjStatus,BI376)))</f>
        <v/>
      </c>
      <c r="D376" s="158" t="str" cm="1">
        <f t="array" ref="D376">IFERROR(INDEX(tblStaff[Initials],BN376),"")</f>
        <v>KD</v>
      </c>
      <c r="E376" s="159" t="str" cm="1">
        <f t="array" ref="E376">IF(OR(BI376="",D376=""),"",IFERROR(SUMPRODUCT((pjNo=A376)*(pjType="Phase")*INDEX(Projects!$I$5:$O$1188,0,MATCH(D376,Projects!$I$4:$O$4,0))*pjWk),0))</f>
        <v/>
      </c>
      <c r="F376" s="159" t="str">
        <f t="shared" si="174"/>
        <v/>
      </c>
      <c r="G376" s="159" t="str">
        <f t="shared" si="175"/>
        <v/>
      </c>
      <c r="H376" s="160"/>
      <c r="I376" s="160"/>
      <c r="J376" s="160"/>
      <c r="K376" s="160"/>
      <c r="L376" s="160"/>
      <c r="M376" s="160"/>
      <c r="N376" s="160"/>
      <c r="O376" s="160"/>
      <c r="P376" s="160"/>
      <c r="Q376" s="160"/>
      <c r="R376" s="160"/>
      <c r="S376" s="160"/>
      <c r="T376" s="160"/>
      <c r="U376" s="160"/>
      <c r="V376" s="160"/>
      <c r="W376" s="160"/>
      <c r="X376" s="160"/>
      <c r="Y376" s="160"/>
      <c r="Z376" s="160"/>
      <c r="AA376" s="160"/>
      <c r="AB376" s="160"/>
      <c r="AC376" s="160"/>
      <c r="AD376" s="160"/>
      <c r="AE376" s="160"/>
      <c r="AF376" s="160"/>
      <c r="AG376" s="160"/>
      <c r="AH376" s="160"/>
      <c r="AI376" s="160"/>
      <c r="AJ376" s="160"/>
      <c r="AK376" s="160"/>
      <c r="AL376" s="160"/>
      <c r="AM376" s="160"/>
      <c r="AN376" s="160"/>
      <c r="AO376" s="160"/>
      <c r="AP376" s="160"/>
      <c r="AQ376" s="160"/>
      <c r="AR376" s="160"/>
      <c r="AS376" s="160"/>
      <c r="AT376" s="160"/>
      <c r="AU376" s="160"/>
      <c r="AV376" s="160"/>
      <c r="AW376" s="160"/>
      <c r="AX376" s="160"/>
      <c r="AY376" s="160"/>
      <c r="AZ376" s="160"/>
      <c r="BA376" s="160"/>
      <c r="BB376" s="160"/>
      <c r="BC376" s="160"/>
      <c r="BD376" s="160"/>
      <c r="BE376" s="160"/>
      <c r="BF376" s="160"/>
      <c r="BG376" s="160"/>
      <c r="BH376" s="36"/>
      <c r="BI376" s="150" t="str" cm="1">
        <f t="array" ref="BI376">IF(A376="","",IFERROR(MATCH(1,INDEX((pjNo=A376)*(pjType="Project"),0),0),""))</f>
        <v/>
      </c>
      <c r="BJ376" s="150" t="str">
        <f>IF(D376="","",IFERROR(INDEX(tblStaff[Staff Level],MATCH(D376,tblStaff[Initials],0)),"?"))</f>
        <v>Mid Level Designer</v>
      </c>
      <c r="BK376" s="151" t="str" cm="1">
        <f t="array" ref="BK376">IF(BI376="","",INDEX(pjStart,BI376))</f>
        <v/>
      </c>
      <c r="BL376" s="151" t="str" cm="1">
        <f t="array" ref="BL376">IF(BI376="","",INDEX(pjEnd,BI376))</f>
        <v/>
      </c>
      <c r="BM376" s="150">
        <f>IF(BI376="",0,IF(C376="Active",1,IF(C376="Prospective",IF(Assumptions!$B$6="Active only",0,Assumptions!$B$7),0)))</f>
        <v>0</v>
      </c>
      <c r="BN376" s="150">
        <v>6</v>
      </c>
      <c r="BO376" s="36"/>
      <c r="BP376" s="36"/>
    </row>
    <row r="377" spans="1:68" hidden="1" outlineLevel="1" x14ac:dyDescent="0.25">
      <c r="A377" s="158" t="str">
        <f t="shared" si="173"/>
        <v/>
      </c>
      <c r="B377" s="157" t="str" cm="1">
        <f t="array" ref="B377">IF(BI377="","",INDEX(pjName,BI377))</f>
        <v/>
      </c>
      <c r="C377" s="158" t="str" cm="1">
        <f t="array" ref="C377">IF(BI377="","",IF(INDEX(pjStatus,BI377)="","",INDEX(pjStatus,BI377)))</f>
        <v/>
      </c>
      <c r="D377" s="158" t="str" cm="1">
        <f t="array" ref="D377">IFERROR(INDEX(tblStaff[Initials],BN377),"")</f>
        <v>XX</v>
      </c>
      <c r="E377" s="159" t="str" cm="1">
        <f t="array" ref="E377">IF(OR(BI377="",D377=""),"",IFERROR(SUMPRODUCT((pjNo=A377)*(pjType="Phase")*INDEX(Projects!$I$5:$O$1188,0,MATCH(D377,Projects!$I$4:$O$4,0))*pjWk),0))</f>
        <v/>
      </c>
      <c r="F377" s="159" t="str">
        <f t="shared" si="174"/>
        <v/>
      </c>
      <c r="G377" s="159" t="str">
        <f t="shared" si="175"/>
        <v/>
      </c>
      <c r="H377" s="160"/>
      <c r="I377" s="160"/>
      <c r="J377" s="160"/>
      <c r="K377" s="160"/>
      <c r="L377" s="160"/>
      <c r="M377" s="160"/>
      <c r="N377" s="160"/>
      <c r="O377" s="160"/>
      <c r="P377" s="160"/>
      <c r="Q377" s="160"/>
      <c r="R377" s="160"/>
      <c r="S377" s="160"/>
      <c r="T377" s="160"/>
      <c r="U377" s="160"/>
      <c r="V377" s="160"/>
      <c r="W377" s="160"/>
      <c r="X377" s="160"/>
      <c r="Y377" s="160"/>
      <c r="Z377" s="160"/>
      <c r="AA377" s="160"/>
      <c r="AB377" s="160"/>
      <c r="AC377" s="160"/>
      <c r="AD377" s="160"/>
      <c r="AE377" s="160"/>
      <c r="AF377" s="160"/>
      <c r="AG377" s="160"/>
      <c r="AH377" s="160"/>
      <c r="AI377" s="160"/>
      <c r="AJ377" s="160"/>
      <c r="AK377" s="160"/>
      <c r="AL377" s="160"/>
      <c r="AM377" s="160"/>
      <c r="AN377" s="160"/>
      <c r="AO377" s="160"/>
      <c r="AP377" s="160"/>
      <c r="AQ377" s="160"/>
      <c r="AR377" s="160"/>
      <c r="AS377" s="160"/>
      <c r="AT377" s="160"/>
      <c r="AU377" s="160"/>
      <c r="AV377" s="160"/>
      <c r="AW377" s="160"/>
      <c r="AX377" s="160"/>
      <c r="AY377" s="160"/>
      <c r="AZ377" s="160"/>
      <c r="BA377" s="160"/>
      <c r="BB377" s="160"/>
      <c r="BC377" s="160"/>
      <c r="BD377" s="160"/>
      <c r="BE377" s="160"/>
      <c r="BF377" s="160"/>
      <c r="BG377" s="160"/>
      <c r="BH377" s="36"/>
      <c r="BI377" s="150" t="str" cm="1">
        <f t="array" ref="BI377">IF(A377="","",IFERROR(MATCH(1,INDEX((pjNo=A377)*(pjType="Project"),0),0),""))</f>
        <v/>
      </c>
      <c r="BJ377" s="150" t="str">
        <f>IF(D377="","",IFERROR(INDEX(tblStaff[Staff Level],MATCH(D377,tblStaff[Initials],0)),"?"))</f>
        <v>Project Designer</v>
      </c>
      <c r="BK377" s="151" t="str" cm="1">
        <f t="array" ref="BK377">IF(BI377="","",INDEX(pjStart,BI377))</f>
        <v/>
      </c>
      <c r="BL377" s="151" t="str" cm="1">
        <f t="array" ref="BL377">IF(BI377="","",INDEX(pjEnd,BI377))</f>
        <v/>
      </c>
      <c r="BM377" s="150">
        <f>IF(BI377="",0,IF(C377="Active",1,IF(C377="Prospective",IF(Assumptions!$B$6="Active only",0,Assumptions!$B$7),0)))</f>
        <v>0</v>
      </c>
      <c r="BN377" s="150">
        <v>7</v>
      </c>
      <c r="BO377" s="36"/>
      <c r="BP377" s="36"/>
    </row>
    <row r="378" spans="1:68" hidden="1" outlineLevel="1" x14ac:dyDescent="0.25">
      <c r="A378" s="158" t="str">
        <f t="shared" si="173"/>
        <v/>
      </c>
      <c r="B378" s="157" t="str" cm="1">
        <f t="array" ref="B378">IF(BI378="","",INDEX(pjName,BI378))</f>
        <v/>
      </c>
      <c r="C378" s="158" t="str" cm="1">
        <f t="array" ref="C378">IF(BI378="","",IF(INDEX(pjStatus,BI378)="","",INDEX(pjStatus,BI378)))</f>
        <v/>
      </c>
      <c r="D378" s="158" t="str" cm="1">
        <f t="array" ref="D378">IFERROR(INDEX(tblStaff[Initials],BN378),"")</f>
        <v/>
      </c>
      <c r="E378" s="159" t="str" cm="1">
        <f t="array" ref="E378">IF(OR(BI378="",D378=""),"",IFERROR(SUMPRODUCT((pjNo=A378)*(pjType="Phase")*INDEX(Projects!$I$5:$O$1188,0,MATCH(D378,Projects!$I$4:$O$4,0))*pjWk),0))</f>
        <v/>
      </c>
      <c r="F378" s="159" t="str">
        <f t="shared" si="174"/>
        <v/>
      </c>
      <c r="G378" s="159" t="str">
        <f t="shared" si="175"/>
        <v/>
      </c>
      <c r="H378" s="160"/>
      <c r="I378" s="160"/>
      <c r="J378" s="160"/>
      <c r="K378" s="160"/>
      <c r="L378" s="160"/>
      <c r="M378" s="160"/>
      <c r="N378" s="160"/>
      <c r="O378" s="160"/>
      <c r="P378" s="160"/>
      <c r="Q378" s="160"/>
      <c r="R378" s="160"/>
      <c r="S378" s="160"/>
      <c r="T378" s="160"/>
      <c r="U378" s="160"/>
      <c r="V378" s="160"/>
      <c r="W378" s="160"/>
      <c r="X378" s="160"/>
      <c r="Y378" s="160"/>
      <c r="Z378" s="160"/>
      <c r="AA378" s="160"/>
      <c r="AB378" s="160"/>
      <c r="AC378" s="160"/>
      <c r="AD378" s="160"/>
      <c r="AE378" s="160"/>
      <c r="AF378" s="160"/>
      <c r="AG378" s="160"/>
      <c r="AH378" s="160"/>
      <c r="AI378" s="160"/>
      <c r="AJ378" s="160"/>
      <c r="AK378" s="160"/>
      <c r="AL378" s="160"/>
      <c r="AM378" s="160"/>
      <c r="AN378" s="160"/>
      <c r="AO378" s="160"/>
      <c r="AP378" s="160"/>
      <c r="AQ378" s="160"/>
      <c r="AR378" s="160"/>
      <c r="AS378" s="160"/>
      <c r="AT378" s="160"/>
      <c r="AU378" s="160"/>
      <c r="AV378" s="160"/>
      <c r="AW378" s="160"/>
      <c r="AX378" s="160"/>
      <c r="AY378" s="160"/>
      <c r="AZ378" s="160"/>
      <c r="BA378" s="160"/>
      <c r="BB378" s="160"/>
      <c r="BC378" s="160"/>
      <c r="BD378" s="160"/>
      <c r="BE378" s="160"/>
      <c r="BF378" s="160"/>
      <c r="BG378" s="160"/>
      <c r="BH378" s="36"/>
      <c r="BI378" s="150" t="str" cm="1">
        <f t="array" ref="BI378">IF(A378="","",IFERROR(MATCH(1,INDEX((pjNo=A378)*(pjType="Project"),0),0),""))</f>
        <v/>
      </c>
      <c r="BJ378" s="150" t="str">
        <f>IF(D378="","",IFERROR(INDEX(tblStaff[Staff Level],MATCH(D378,tblStaff[Initials],0)),"?"))</f>
        <v/>
      </c>
      <c r="BK378" s="151" t="str" cm="1">
        <f t="array" ref="BK378">IF(BI378="","",INDEX(pjStart,BI378))</f>
        <v/>
      </c>
      <c r="BL378" s="151" t="str" cm="1">
        <f t="array" ref="BL378">IF(BI378="","",INDEX(pjEnd,BI378))</f>
        <v/>
      </c>
      <c r="BM378" s="150">
        <f>IF(BI378="",0,IF(C378="Active",1,IF(C378="Prospective",IF(Assumptions!$B$6="Active only",0,Assumptions!$B$7),0)))</f>
        <v>0</v>
      </c>
      <c r="BN378" s="150">
        <v>8</v>
      </c>
      <c r="BO378" s="36"/>
      <c r="BP378" s="36"/>
    </row>
    <row r="379" spans="1:68" collapsed="1" x14ac:dyDescent="0.25"/>
  </sheetData>
  <mergeCells count="9">
    <mergeCell ref="AF16:AI16"/>
    <mergeCell ref="AJ16:AM16"/>
    <mergeCell ref="AN16:AQ16"/>
    <mergeCell ref="H16:K16"/>
    <mergeCell ref="L16:O16"/>
    <mergeCell ref="P16:S16"/>
    <mergeCell ref="T16:W16"/>
    <mergeCell ref="X16:AA16"/>
    <mergeCell ref="AB16:AE16"/>
  </mergeCells>
  <conditionalFormatting sqref="A20:E378">
    <cfRule type="expression" dxfId="45" priority="36">
      <formula>OR($E20="",$E20=0)</formula>
    </cfRule>
  </conditionalFormatting>
  <conditionalFormatting sqref="A19:BG378">
    <cfRule type="expression" dxfId="44" priority="31" stopIfTrue="1">
      <formula>$BN19=""</formula>
    </cfRule>
  </conditionalFormatting>
  <conditionalFormatting sqref="F20:G378">
    <cfRule type="expression" dxfId="43" priority="32">
      <formula>AND(ISNUMBER($F20),ISNUMBER($E20),$F20&gt;$E20)</formula>
    </cfRule>
    <cfRule type="expression" dxfId="42" priority="34">
      <formula>AND(ISNUMBER($F20),ISNUMBER($E20),$E20&gt;0,$F20&gt;0)</formula>
    </cfRule>
  </conditionalFormatting>
  <conditionalFormatting sqref="H6:BG6">
    <cfRule type="expression" dxfId="41" priority="26">
      <formula>H6="Near"</formula>
    </cfRule>
    <cfRule type="expression" dxfId="40" priority="27">
      <formula>H6="Mid"</formula>
    </cfRule>
    <cfRule type="expression" dxfId="39" priority="28">
      <formula>H6="Long"</formula>
    </cfRule>
  </conditionalFormatting>
  <conditionalFormatting sqref="H15:BG15">
    <cfRule type="expression" dxfId="35" priority="25">
      <formula>H15&gt;0</formula>
    </cfRule>
  </conditionalFormatting>
  <conditionalFormatting sqref="H20:BG378">
    <cfRule type="expression" dxfId="34" priority="38">
      <formula>AND(H20&lt;&gt;"",COUNTIFS(pjNo,$A20,pjPhase,"Concept",pjStart,"&lt;="&amp;H$5+6,pjEnd,"&gt;="&amp;H$5)&gt;0)</formula>
    </cfRule>
    <cfRule type="expression" dxfId="33" priority="40">
      <formula>AND(H20&lt;&gt;"",COUNTIFS(pjNo,$A20,pjPhase,"SD",pjStart,"&lt;="&amp;H$5+6,pjEnd,"&gt;="&amp;H$5)&gt;0)</formula>
    </cfRule>
    <cfRule type="expression" dxfId="32" priority="42">
      <formula>AND(H20&lt;&gt;"",COUNTIFS(pjNo,$A20,pjPhase,"DD",pjStart,"&lt;="&amp;H$5+6,pjEnd,"&gt;="&amp;H$5)&gt;0)</formula>
    </cfRule>
    <cfRule type="expression" dxfId="31" priority="44">
      <formula>AND(H20&lt;&gt;"",COUNTIFS(pjNo,$A20,pjPhase,"CD",pjStart,"&lt;="&amp;H$5+6,pjEnd,"&gt;="&amp;H$5)&gt;0)</formula>
    </cfRule>
    <cfRule type="expression" dxfId="30" priority="46">
      <formula>AND(H20&lt;&gt;"",COUNTIFS(pjNo,$A20,pjPhase,"Bidding",pjStart,"&lt;="&amp;H$5+6,pjEnd,"&gt;="&amp;H$5)&gt;0)</formula>
    </cfRule>
    <cfRule type="expression" dxfId="29" priority="48">
      <formula>AND(H20&lt;&gt;"",COUNTIFS(pjNo,$A20,pjPhase,"Permitting",pjStart,"&lt;="&amp;H$5+6,pjEnd,"&gt;="&amp;H$5)&gt;0)</formula>
    </cfRule>
    <cfRule type="expression" dxfId="28" priority="50">
      <formula>AND(H20&lt;&gt;"",COUNTIFS(pjNo,$A20,pjPhase,"CA",pjStart,"&lt;="&amp;H$5+6,pjEnd,"&gt;="&amp;H$5)&gt;0)</formula>
    </cfRule>
    <cfRule type="expression" dxfId="27" priority="52">
      <formula>H20&lt;&gt;""</formula>
    </cfRule>
    <cfRule type="expression" dxfId="26" priority="54">
      <formula>AND($A20&lt;&gt;"",COUNTIFS(pjNo,$A20,pjType,"Phase",pjStart,"&lt;="&amp;H$5+6,pjEnd,"&gt;="&amp;H$5)=0)</formula>
    </cfRule>
    <cfRule type="expression" dxfId="25" priority="56">
      <formula>AND(H20&lt;&gt;"",COUNTIFS(pjNo,$A20,pjType,"Phase",pjStart,"&lt;="&amp;H$5+6,pjEnd,"&gt;="&amp;H$5)=0)</formula>
    </cfRule>
    <cfRule type="expression" dxfId="24" priority="58">
      <formula>AND(H20&lt;&gt;"",COUNTIFS(pjNo,$A20,pjPhase,"Entitlement",pjStart,"&lt;="&amp;H$5+6,pjEnd,"&gt;="&amp;H$5)&gt;0)</formula>
    </cfRule>
  </conditionalFormatting>
  <dataValidations count="1">
    <dataValidation type="decimal" allowBlank="1" showInputMessage="1" showErrorMessage="1" errorTitle="Hours" error="Enter hours for the week (0-200)." sqref="H20:BG378" xr:uid="{2EB93E10-20C6-4B34-9F11-465C5F677389}">
      <formula1>0</formula1>
      <formula2>200</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2" id="{0452C4E2-3510-48FF-B403-C8D93C6DA97C}">
            <xm:f>H9&gt;Assumptions!$B$8</xm:f>
            <x14:dxf>
              <font>
                <color rgb="FF9C0006"/>
              </font>
              <fill>
                <patternFill patternType="solid">
                  <fgColor indexed="64"/>
                  <bgColor rgb="FFFFC7CE"/>
                </patternFill>
              </fill>
            </x14:dxf>
          </x14:cfRule>
          <x14:cfRule type="expression" priority="23" id="{D86F30E3-4D69-4122-A0D3-E522AE6B8C1C}">
            <xm:f>H9&lt;Assumptions!$B$9</xm:f>
            <x14:dxf>
              <font>
                <color rgb="FF9C5700"/>
              </font>
              <fill>
                <patternFill patternType="solid">
                  <fgColor indexed="64"/>
                  <bgColor rgb="FFFFEB9C"/>
                </patternFill>
              </fill>
            </x14:dxf>
          </x14:cfRule>
          <x14:cfRule type="expression" priority="24" id="{683C8E72-7C64-474A-B03D-B6E9C35660CC}">
            <xm:f>AND(H9&gt;=Assumptions!$B$9,H9&lt;=Assumptions!$B$8)</xm:f>
            <x14:dxf>
              <font>
                <color rgb="FF006100"/>
              </font>
              <fill>
                <patternFill patternType="solid">
                  <fgColor indexed="64"/>
                  <bgColor rgb="FFC6EFCE"/>
                </patternFill>
              </fill>
            </x14:dxf>
          </x14:cfRule>
          <xm:sqref>H9:BG14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C52-8587-4FBF-B7C8-2849EE0A1032}">
  <dimension ref="A1:BC103"/>
  <sheetViews>
    <sheetView showGridLines="0" workbookViewId="0">
      <pane xSplit="3" ySplit="5" topLeftCell="D6" activePane="bottomRight" state="frozen"/>
      <selection pane="topRight" activeCell="D1" sqref="D1"/>
      <selection pane="bottomLeft" activeCell="A6" sqref="A6"/>
      <selection pane="bottomRight" activeCell="L15" sqref="L15"/>
    </sheetView>
  </sheetViews>
  <sheetFormatPr defaultRowHeight="15" outlineLevelRow="1" x14ac:dyDescent="0.25"/>
  <cols>
    <col min="1" max="1" width="38.140625" customWidth="1"/>
    <col min="2" max="3" width="13.7109375" customWidth="1"/>
    <col min="4" max="55" width="9.85546875" customWidth="1"/>
  </cols>
  <sheetData>
    <row r="1" spans="1:55" ht="18.75" x14ac:dyDescent="0.3">
      <c r="A1" s="1" t="s">
        <v>46</v>
      </c>
    </row>
    <row r="2" spans="1:55" x14ac:dyDescent="0.25">
      <c r="A2" s="2" t="str">
        <f>"Scenario: "&amp;Assumptions!B6&amp;IF(Assumptions!B6="Active only",""," (prospective weighted at "&amp;TEXT(Assumptions!B7,"0%")&amp;")")&amp;"  |  Weeks begin Monday. Everything here is formula-driven — edit Projects or Assumptions."</f>
        <v>Scenario: Active + Prospective (prospective weighted at 100%)  |  Weeks begin Monday. Everything here is formula-driven — edit Projects or Assumptions.</v>
      </c>
    </row>
    <row r="4" spans="1:55" x14ac:dyDescent="0.25">
      <c r="A4" s="73" t="s">
        <v>47</v>
      </c>
      <c r="B4" s="71"/>
      <c r="C4" s="71"/>
      <c r="D4" s="71">
        <f>1</f>
        <v>1</v>
      </c>
      <c r="E4" s="71">
        <f t="shared" ref="E4:AJ4" si="0">D4+1</f>
        <v>2</v>
      </c>
      <c r="F4" s="71">
        <f t="shared" si="0"/>
        <v>3</v>
      </c>
      <c r="G4" s="71">
        <f t="shared" si="0"/>
        <v>4</v>
      </c>
      <c r="H4" s="71">
        <f t="shared" si="0"/>
        <v>5</v>
      </c>
      <c r="I4" s="71">
        <f t="shared" si="0"/>
        <v>6</v>
      </c>
      <c r="J4" s="71">
        <f t="shared" si="0"/>
        <v>7</v>
      </c>
      <c r="K4" s="71">
        <f t="shared" si="0"/>
        <v>8</v>
      </c>
      <c r="L4" s="71">
        <f t="shared" si="0"/>
        <v>9</v>
      </c>
      <c r="M4" s="71">
        <f t="shared" si="0"/>
        <v>10</v>
      </c>
      <c r="N4" s="71">
        <f t="shared" si="0"/>
        <v>11</v>
      </c>
      <c r="O4" s="71">
        <f t="shared" si="0"/>
        <v>12</v>
      </c>
      <c r="P4" s="71">
        <f t="shared" si="0"/>
        <v>13</v>
      </c>
      <c r="Q4" s="71">
        <f t="shared" si="0"/>
        <v>14</v>
      </c>
      <c r="R4" s="71">
        <f t="shared" si="0"/>
        <v>15</v>
      </c>
      <c r="S4" s="71">
        <f t="shared" si="0"/>
        <v>16</v>
      </c>
      <c r="T4" s="71">
        <f t="shared" si="0"/>
        <v>17</v>
      </c>
      <c r="U4" s="71">
        <f t="shared" si="0"/>
        <v>18</v>
      </c>
      <c r="V4" s="71">
        <f t="shared" si="0"/>
        <v>19</v>
      </c>
      <c r="W4" s="71">
        <f t="shared" si="0"/>
        <v>20</v>
      </c>
      <c r="X4" s="71">
        <f t="shared" si="0"/>
        <v>21</v>
      </c>
      <c r="Y4" s="71">
        <f t="shared" si="0"/>
        <v>22</v>
      </c>
      <c r="Z4" s="71">
        <f t="shared" si="0"/>
        <v>23</v>
      </c>
      <c r="AA4" s="71">
        <f t="shared" si="0"/>
        <v>24</v>
      </c>
      <c r="AB4" s="71">
        <f t="shared" si="0"/>
        <v>25</v>
      </c>
      <c r="AC4" s="71">
        <f t="shared" si="0"/>
        <v>26</v>
      </c>
      <c r="AD4" s="71">
        <f t="shared" si="0"/>
        <v>27</v>
      </c>
      <c r="AE4" s="71">
        <f t="shared" si="0"/>
        <v>28</v>
      </c>
      <c r="AF4" s="71">
        <f t="shared" si="0"/>
        <v>29</v>
      </c>
      <c r="AG4" s="71">
        <f t="shared" si="0"/>
        <v>30</v>
      </c>
      <c r="AH4" s="71">
        <f t="shared" si="0"/>
        <v>31</v>
      </c>
      <c r="AI4" s="71">
        <f t="shared" si="0"/>
        <v>32</v>
      </c>
      <c r="AJ4" s="71">
        <f t="shared" si="0"/>
        <v>33</v>
      </c>
      <c r="AK4" s="71">
        <f t="shared" ref="AK4:BC4" si="1">AJ4+1</f>
        <v>34</v>
      </c>
      <c r="AL4" s="71">
        <f t="shared" si="1"/>
        <v>35</v>
      </c>
      <c r="AM4" s="71">
        <f t="shared" si="1"/>
        <v>36</v>
      </c>
      <c r="AN4" s="71">
        <f t="shared" si="1"/>
        <v>37</v>
      </c>
      <c r="AO4" s="71">
        <f t="shared" si="1"/>
        <v>38</v>
      </c>
      <c r="AP4" s="71">
        <f t="shared" si="1"/>
        <v>39</v>
      </c>
      <c r="AQ4" s="71">
        <f t="shared" si="1"/>
        <v>40</v>
      </c>
      <c r="AR4" s="71">
        <f t="shared" si="1"/>
        <v>41</v>
      </c>
      <c r="AS4" s="71">
        <f t="shared" si="1"/>
        <v>42</v>
      </c>
      <c r="AT4" s="71">
        <f t="shared" si="1"/>
        <v>43</v>
      </c>
      <c r="AU4" s="71">
        <f t="shared" si="1"/>
        <v>44</v>
      </c>
      <c r="AV4" s="71">
        <f t="shared" si="1"/>
        <v>45</v>
      </c>
      <c r="AW4" s="71">
        <f t="shared" si="1"/>
        <v>46</v>
      </c>
      <c r="AX4" s="71">
        <f t="shared" si="1"/>
        <v>47</v>
      </c>
      <c r="AY4" s="71">
        <f t="shared" si="1"/>
        <v>48</v>
      </c>
      <c r="AZ4" s="71">
        <f t="shared" si="1"/>
        <v>49</v>
      </c>
      <c r="BA4" s="71">
        <f t="shared" si="1"/>
        <v>50</v>
      </c>
      <c r="BB4" s="71">
        <f t="shared" si="1"/>
        <v>51</v>
      </c>
      <c r="BC4" s="71">
        <f t="shared" si="1"/>
        <v>52</v>
      </c>
    </row>
    <row r="5" spans="1:55" x14ac:dyDescent="0.25">
      <c r="A5" s="73" t="s">
        <v>48</v>
      </c>
      <c r="B5" s="71" t="s">
        <v>49</v>
      </c>
      <c r="C5" s="71" t="s">
        <v>50</v>
      </c>
      <c r="D5" s="72">
        <f>Assumptions!$B$5</f>
        <v>46300</v>
      </c>
      <c r="E5" s="72">
        <f t="shared" ref="E5:AJ5" si="2">D5+7</f>
        <v>46307</v>
      </c>
      <c r="F5" s="72">
        <f t="shared" si="2"/>
        <v>46314</v>
      </c>
      <c r="G5" s="72">
        <f t="shared" si="2"/>
        <v>46321</v>
      </c>
      <c r="H5" s="72">
        <f t="shared" si="2"/>
        <v>46328</v>
      </c>
      <c r="I5" s="72">
        <f t="shared" si="2"/>
        <v>46335</v>
      </c>
      <c r="J5" s="72">
        <f t="shared" si="2"/>
        <v>46342</v>
      </c>
      <c r="K5" s="72">
        <f t="shared" si="2"/>
        <v>46349</v>
      </c>
      <c r="L5" s="72">
        <f t="shared" si="2"/>
        <v>46356</v>
      </c>
      <c r="M5" s="72">
        <f t="shared" si="2"/>
        <v>46363</v>
      </c>
      <c r="N5" s="72">
        <f t="shared" si="2"/>
        <v>46370</v>
      </c>
      <c r="O5" s="72">
        <f t="shared" si="2"/>
        <v>46377</v>
      </c>
      <c r="P5" s="72">
        <f t="shared" si="2"/>
        <v>46384</v>
      </c>
      <c r="Q5" s="72">
        <f t="shared" si="2"/>
        <v>46391</v>
      </c>
      <c r="R5" s="72">
        <f t="shared" si="2"/>
        <v>46398</v>
      </c>
      <c r="S5" s="72">
        <f t="shared" si="2"/>
        <v>46405</v>
      </c>
      <c r="T5" s="72">
        <f t="shared" si="2"/>
        <v>46412</v>
      </c>
      <c r="U5" s="72">
        <f t="shared" si="2"/>
        <v>46419</v>
      </c>
      <c r="V5" s="72">
        <f t="shared" si="2"/>
        <v>46426</v>
      </c>
      <c r="W5" s="72">
        <f t="shared" si="2"/>
        <v>46433</v>
      </c>
      <c r="X5" s="72">
        <f t="shared" si="2"/>
        <v>46440</v>
      </c>
      <c r="Y5" s="72">
        <f t="shared" si="2"/>
        <v>46447</v>
      </c>
      <c r="Z5" s="72">
        <f t="shared" si="2"/>
        <v>46454</v>
      </c>
      <c r="AA5" s="72">
        <f t="shared" si="2"/>
        <v>46461</v>
      </c>
      <c r="AB5" s="72">
        <f t="shared" si="2"/>
        <v>46468</v>
      </c>
      <c r="AC5" s="72">
        <f t="shared" si="2"/>
        <v>46475</v>
      </c>
      <c r="AD5" s="72">
        <f t="shared" si="2"/>
        <v>46482</v>
      </c>
      <c r="AE5" s="72">
        <f t="shared" si="2"/>
        <v>46489</v>
      </c>
      <c r="AF5" s="72">
        <f t="shared" si="2"/>
        <v>46496</v>
      </c>
      <c r="AG5" s="72">
        <f t="shared" si="2"/>
        <v>46503</v>
      </c>
      <c r="AH5" s="72">
        <f t="shared" si="2"/>
        <v>46510</v>
      </c>
      <c r="AI5" s="72">
        <f t="shared" si="2"/>
        <v>46517</v>
      </c>
      <c r="AJ5" s="72">
        <f t="shared" si="2"/>
        <v>46524</v>
      </c>
      <c r="AK5" s="72">
        <f t="shared" ref="AK5:BC5" si="3">AJ5+7</f>
        <v>46531</v>
      </c>
      <c r="AL5" s="72">
        <f t="shared" si="3"/>
        <v>46538</v>
      </c>
      <c r="AM5" s="72">
        <f t="shared" si="3"/>
        <v>46545</v>
      </c>
      <c r="AN5" s="72">
        <f t="shared" si="3"/>
        <v>46552</v>
      </c>
      <c r="AO5" s="72">
        <f t="shared" si="3"/>
        <v>46559</v>
      </c>
      <c r="AP5" s="72">
        <f t="shared" si="3"/>
        <v>46566</v>
      </c>
      <c r="AQ5" s="72">
        <f t="shared" si="3"/>
        <v>46573</v>
      </c>
      <c r="AR5" s="72">
        <f t="shared" si="3"/>
        <v>46580</v>
      </c>
      <c r="AS5" s="72">
        <f t="shared" si="3"/>
        <v>46587</v>
      </c>
      <c r="AT5" s="72">
        <f t="shared" si="3"/>
        <v>46594</v>
      </c>
      <c r="AU5" s="72">
        <f t="shared" si="3"/>
        <v>46601</v>
      </c>
      <c r="AV5" s="72">
        <f t="shared" si="3"/>
        <v>46608</v>
      </c>
      <c r="AW5" s="72">
        <f t="shared" si="3"/>
        <v>46615</v>
      </c>
      <c r="AX5" s="72">
        <f t="shared" si="3"/>
        <v>46622</v>
      </c>
      <c r="AY5" s="72">
        <f t="shared" si="3"/>
        <v>46629</v>
      </c>
      <c r="AZ5" s="72">
        <f t="shared" si="3"/>
        <v>46636</v>
      </c>
      <c r="BA5" s="72">
        <f t="shared" si="3"/>
        <v>46643</v>
      </c>
      <c r="BB5" s="72">
        <f t="shared" si="3"/>
        <v>46650</v>
      </c>
      <c r="BC5" s="72">
        <f t="shared" si="3"/>
        <v>46657</v>
      </c>
    </row>
    <row r="7" spans="1:55" x14ac:dyDescent="0.25">
      <c r="A7" s="175" t="s">
        <v>188</v>
      </c>
      <c r="B7" s="175"/>
      <c r="C7" s="175"/>
      <c r="D7" s="175"/>
      <c r="E7" s="175"/>
      <c r="F7" s="175"/>
      <c r="G7" s="175"/>
      <c r="H7" s="175"/>
      <c r="I7" s="175"/>
      <c r="J7" s="175"/>
      <c r="K7" s="175"/>
      <c r="L7" s="175"/>
      <c r="M7" s="175"/>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row>
    <row r="8" spans="1:55" x14ac:dyDescent="0.25">
      <c r="A8" s="180" t="str">
        <f>IFERROR(INDEX(tblStaff[Initials],1)&amp;" · "&amp;INDEX(tblStaff[Staff Level],1),"")</f>
        <v>PK · Principal</v>
      </c>
      <c r="B8" s="178">
        <f t="shared" ref="B8:B17" si="4">IF($A8="","",IFERROR(AVERAGE(D8:BC8),""))</f>
        <v>11.153846153846153</v>
      </c>
      <c r="C8" s="178">
        <f t="shared" ref="C8:C17" si="5">IF($A8="","",IFERROR(MAX(D8:BC8),""))</f>
        <v>61</v>
      </c>
      <c r="D8" s="179" cm="1">
        <f t="array" ref="D8">IF($A8="","",SUMPRODUCT((tlStaff=INDEX(tblStaff[Initials],1))*tlWeight*Timeline!H$20:H$378))</f>
        <v>56</v>
      </c>
      <c r="E8" s="179" cm="1">
        <f t="array" ref="E8">IF($A8="","",SUMPRODUCT((tlStaff=INDEX(tblStaff[Initials],1))*tlWeight*Timeline!I$20:I$378))</f>
        <v>60</v>
      </c>
      <c r="F8" s="179" cm="1">
        <f t="array" ref="F8">IF($A8="","",SUMPRODUCT((tlStaff=INDEX(tblStaff[Initials],1))*tlWeight*Timeline!J$20:J$378))</f>
        <v>53</v>
      </c>
      <c r="G8" s="179" cm="1">
        <f t="array" ref="G8">IF($A8="","",SUMPRODUCT((tlStaff=INDEX(tblStaff[Initials],1))*tlWeight*Timeline!K$20:K$378))</f>
        <v>61</v>
      </c>
      <c r="H8" s="179" cm="1">
        <f t="array" ref="H8">IF($A8="","",SUMPRODUCT((tlStaff=INDEX(tblStaff[Initials],1))*tlWeight*Timeline!L$20:L$378))</f>
        <v>45</v>
      </c>
      <c r="I8" s="179" cm="1">
        <f t="array" ref="I8">IF($A8="","",SUMPRODUCT((tlStaff=INDEX(tblStaff[Initials],1))*tlWeight*Timeline!M$20:M$378))</f>
        <v>37</v>
      </c>
      <c r="J8" s="179" cm="1">
        <f t="array" ref="J8">IF($A8="","",SUMPRODUCT((tlStaff=INDEX(tblStaff[Initials],1))*tlWeight*Timeline!N$20:N$378))</f>
        <v>29</v>
      </c>
      <c r="K8" s="179" cm="1">
        <f t="array" ref="K8">IF($A8="","",SUMPRODUCT((tlStaff=INDEX(tblStaff[Initials],1))*tlWeight*Timeline!O$20:O$378))</f>
        <v>29</v>
      </c>
      <c r="L8" s="179" cm="1">
        <f t="array" ref="L8">IF($A8="","",SUMPRODUCT((tlStaff=INDEX(tblStaff[Initials],1))*tlWeight*Timeline!P$20:P$378))</f>
        <v>28</v>
      </c>
      <c r="M8" s="179" cm="1">
        <f t="array" ref="M8">IF($A8="","",SUMPRODUCT((tlStaff=INDEX(tblStaff[Initials],1))*tlWeight*Timeline!Q$20:Q$378))</f>
        <v>12</v>
      </c>
      <c r="N8" s="179" cm="1">
        <f t="array" ref="N8">IF($A8="","",SUMPRODUCT((tlStaff=INDEX(tblStaff[Initials],1))*tlWeight*Timeline!R$20:R$378))</f>
        <v>12</v>
      </c>
      <c r="O8" s="179" cm="1">
        <f t="array" ref="O8">IF($A8="","",SUMPRODUCT((tlStaff=INDEX(tblStaff[Initials],1))*tlWeight*Timeline!S$20:S$378))</f>
        <v>8</v>
      </c>
      <c r="P8" s="179" cm="1">
        <f t="array" ref="P8">IF($A8="","",SUMPRODUCT((tlStaff=INDEX(tblStaff[Initials],1))*tlWeight*Timeline!T$20:T$378))</f>
        <v>8</v>
      </c>
      <c r="Q8" s="179" cm="1">
        <f t="array" ref="Q8">IF($A8="","",SUMPRODUCT((tlStaff=INDEX(tblStaff[Initials],1))*tlWeight*Timeline!U$20:U$378))</f>
        <v>8</v>
      </c>
      <c r="R8" s="179" cm="1">
        <f t="array" ref="R8">IF($A8="","",SUMPRODUCT((tlStaff=INDEX(tblStaff[Initials],1))*tlWeight*Timeline!V$20:V$378))</f>
        <v>8</v>
      </c>
      <c r="S8" s="179" cm="1">
        <f t="array" ref="S8">IF($A8="","",SUMPRODUCT((tlStaff=INDEX(tblStaff[Initials],1))*tlWeight*Timeline!W$20:W$378))</f>
        <v>8</v>
      </c>
      <c r="T8" s="179" cm="1">
        <f t="array" ref="T8">IF($A8="","",SUMPRODUCT((tlStaff=INDEX(tblStaff[Initials],1))*tlWeight*Timeline!X$20:X$378))</f>
        <v>12</v>
      </c>
      <c r="U8" s="179" cm="1">
        <f t="array" ref="U8">IF($A8="","",SUMPRODUCT((tlStaff=INDEX(tblStaff[Initials],1))*tlWeight*Timeline!Y$20:Y$378))</f>
        <v>8</v>
      </c>
      <c r="V8" s="179" cm="1">
        <f t="array" ref="V8">IF($A8="","",SUMPRODUCT((tlStaff=INDEX(tblStaff[Initials],1))*tlWeight*Timeline!Z$20:Z$378))</f>
        <v>8</v>
      </c>
      <c r="W8" s="179" cm="1">
        <f t="array" ref="W8">IF($A8="","",SUMPRODUCT((tlStaff=INDEX(tblStaff[Initials],1))*tlWeight*Timeline!AA$20:AA$378))</f>
        <v>12</v>
      </c>
      <c r="X8" s="179" cm="1">
        <f t="array" ref="X8">IF($A8="","",SUMPRODUCT((tlStaff=INDEX(tblStaff[Initials],1))*tlWeight*Timeline!AB$20:AB$378))</f>
        <v>16</v>
      </c>
      <c r="Y8" s="179" cm="1">
        <f t="array" ref="Y8">IF($A8="","",SUMPRODUCT((tlStaff=INDEX(tblStaff[Initials],1))*tlWeight*Timeline!AC$20:AC$378))</f>
        <v>16</v>
      </c>
      <c r="Z8" s="179" cm="1">
        <f t="array" ref="Z8">IF($A8="","",SUMPRODUCT((tlStaff=INDEX(tblStaff[Initials],1))*tlWeight*Timeline!AD$20:AD$378))</f>
        <v>20</v>
      </c>
      <c r="AA8" s="179" cm="1">
        <f t="array" ref="AA8">IF($A8="","",SUMPRODUCT((tlStaff=INDEX(tblStaff[Initials],1))*tlWeight*Timeline!AE$20:AE$378))</f>
        <v>0</v>
      </c>
      <c r="AB8" s="179" cm="1">
        <f t="array" ref="AB8">IF($A8="","",SUMPRODUCT((tlStaff=INDEX(tblStaff[Initials],1))*tlWeight*Timeline!AF$20:AF$378))</f>
        <v>0</v>
      </c>
      <c r="AC8" s="179" cm="1">
        <f t="array" ref="AC8">IF($A8="","",SUMPRODUCT((tlStaff=INDEX(tblStaff[Initials],1))*tlWeight*Timeline!AG$20:AG$378))</f>
        <v>0</v>
      </c>
      <c r="AD8" s="179" cm="1">
        <f t="array" ref="AD8">IF($A8="","",SUMPRODUCT((tlStaff=INDEX(tblStaff[Initials],1))*tlWeight*Timeline!AH$20:AH$378))</f>
        <v>2</v>
      </c>
      <c r="AE8" s="179" cm="1">
        <f t="array" ref="AE8">IF($A8="","",SUMPRODUCT((tlStaff=INDEX(tblStaff[Initials],1))*tlWeight*Timeline!AI$20:AI$378))</f>
        <v>2</v>
      </c>
      <c r="AF8" s="179" cm="1">
        <f t="array" ref="AF8">IF($A8="","",SUMPRODUCT((tlStaff=INDEX(tblStaff[Initials],1))*tlWeight*Timeline!AJ$20:AJ$378))</f>
        <v>2</v>
      </c>
      <c r="AG8" s="179" cm="1">
        <f t="array" ref="AG8">IF($A8="","",SUMPRODUCT((tlStaff=INDEX(tblStaff[Initials],1))*tlWeight*Timeline!AK$20:AK$378))</f>
        <v>2</v>
      </c>
      <c r="AH8" s="179" cm="1">
        <f t="array" ref="AH8">IF($A8="","",SUMPRODUCT((tlStaff=INDEX(tblStaff[Initials],1))*tlWeight*Timeline!AL$20:AL$378))</f>
        <v>2</v>
      </c>
      <c r="AI8" s="179" cm="1">
        <f t="array" ref="AI8">IF($A8="","",SUMPRODUCT((tlStaff=INDEX(tblStaff[Initials],1))*tlWeight*Timeline!AM$20:AM$378))</f>
        <v>2</v>
      </c>
      <c r="AJ8" s="179" cm="1">
        <f t="array" ref="AJ8">IF($A8="","",SUMPRODUCT((tlStaff=INDEX(tblStaff[Initials],1))*tlWeight*Timeline!AN$20:AN$378))</f>
        <v>2</v>
      </c>
      <c r="AK8" s="179" cm="1">
        <f t="array" ref="AK8">IF($A8="","",SUMPRODUCT((tlStaff=INDEX(tblStaff[Initials],1))*tlWeight*Timeline!AO$20:AO$378))</f>
        <v>2</v>
      </c>
      <c r="AL8" s="179" cm="1">
        <f t="array" ref="AL8">IF($A8="","",SUMPRODUCT((tlStaff=INDEX(tblStaff[Initials],1))*tlWeight*Timeline!AP$20:AP$378))</f>
        <v>2</v>
      </c>
      <c r="AM8" s="179" cm="1">
        <f t="array" ref="AM8">IF($A8="","",SUMPRODUCT((tlStaff=INDEX(tblStaff[Initials],1))*tlWeight*Timeline!AQ$20:AQ$378))</f>
        <v>2</v>
      </c>
      <c r="AN8" s="179" cm="1">
        <f t="array" ref="AN8">IF($A8="","",SUMPRODUCT((tlStaff=INDEX(tblStaff[Initials],1))*tlWeight*Timeline!AR$20:AR$378))</f>
        <v>2</v>
      </c>
      <c r="AO8" s="179" cm="1">
        <f t="array" ref="AO8">IF($A8="","",SUMPRODUCT((tlStaff=INDEX(tblStaff[Initials],1))*tlWeight*Timeline!AS$20:AS$378))</f>
        <v>2</v>
      </c>
      <c r="AP8" s="179" cm="1">
        <f t="array" ref="AP8">IF($A8="","",SUMPRODUCT((tlStaff=INDEX(tblStaff[Initials],1))*tlWeight*Timeline!AT$20:AT$378))</f>
        <v>2</v>
      </c>
      <c r="AQ8" s="179" cm="1">
        <f t="array" ref="AQ8">IF($A8="","",SUMPRODUCT((tlStaff=INDEX(tblStaff[Initials],1))*tlWeight*Timeline!AU$20:AU$378))</f>
        <v>0</v>
      </c>
      <c r="AR8" s="179" cm="1">
        <f t="array" ref="AR8">IF($A8="","",SUMPRODUCT((tlStaff=INDEX(tblStaff[Initials],1))*tlWeight*Timeline!AV$20:AV$378))</f>
        <v>0</v>
      </c>
      <c r="AS8" s="179" cm="1">
        <f t="array" ref="AS8">IF($A8="","",SUMPRODUCT((tlStaff=INDEX(tblStaff[Initials],1))*tlWeight*Timeline!AW$20:AW$378))</f>
        <v>0</v>
      </c>
      <c r="AT8" s="179" cm="1">
        <f t="array" ref="AT8">IF($A8="","",SUMPRODUCT((tlStaff=INDEX(tblStaff[Initials],1))*tlWeight*Timeline!AX$20:AX$378))</f>
        <v>0</v>
      </c>
      <c r="AU8" s="179" cm="1">
        <f t="array" ref="AU8">IF($A8="","",SUMPRODUCT((tlStaff=INDEX(tblStaff[Initials],1))*tlWeight*Timeline!AY$20:AY$378))</f>
        <v>0</v>
      </c>
      <c r="AV8" s="179" cm="1">
        <f t="array" ref="AV8">IF($A8="","",SUMPRODUCT((tlStaff=INDEX(tblStaff[Initials],1))*tlWeight*Timeline!AZ$20:AZ$378))</f>
        <v>0</v>
      </c>
      <c r="AW8" s="179" cm="1">
        <f t="array" ref="AW8">IF($A8="","",SUMPRODUCT((tlStaff=INDEX(tblStaff[Initials],1))*tlWeight*Timeline!BA$20:BA$378))</f>
        <v>0</v>
      </c>
      <c r="AX8" s="179" cm="1">
        <f t="array" ref="AX8">IF($A8="","",SUMPRODUCT((tlStaff=INDEX(tblStaff[Initials],1))*tlWeight*Timeline!BB$20:BB$378))</f>
        <v>0</v>
      </c>
      <c r="AY8" s="179" cm="1">
        <f t="array" ref="AY8">IF($A8="","",SUMPRODUCT((tlStaff=INDEX(tblStaff[Initials],1))*tlWeight*Timeline!BC$20:BC$378))</f>
        <v>0</v>
      </c>
      <c r="AZ8" s="179" cm="1">
        <f t="array" ref="AZ8">IF($A8="","",SUMPRODUCT((tlStaff=INDEX(tblStaff[Initials],1))*tlWeight*Timeline!BD$20:BD$378))</f>
        <v>0</v>
      </c>
      <c r="BA8" s="179" cm="1">
        <f t="array" ref="BA8">IF($A8="","",SUMPRODUCT((tlStaff=INDEX(tblStaff[Initials],1))*tlWeight*Timeline!BE$20:BE$378))</f>
        <v>0</v>
      </c>
      <c r="BB8" s="179" cm="1">
        <f t="array" ref="BB8">IF($A8="","",SUMPRODUCT((tlStaff=INDEX(tblStaff[Initials],1))*tlWeight*Timeline!BF$20:BF$378))</f>
        <v>0</v>
      </c>
      <c r="BC8" s="179" cm="1">
        <f t="array" ref="BC8">IF($A8="","",SUMPRODUCT((tlStaff=INDEX(tblStaff[Initials],1))*tlWeight*Timeline!BG$20:BG$378))</f>
        <v>0</v>
      </c>
    </row>
    <row r="9" spans="1:55" x14ac:dyDescent="0.25">
      <c r="A9" s="180" t="str">
        <f>IFERROR(INDEX(tblStaff[Initials],2)&amp;" · "&amp;INDEX(tblStaff[Staff Level],2),"")</f>
        <v>DF · Principal</v>
      </c>
      <c r="B9" s="178">
        <f t="shared" si="4"/>
        <v>9.9615384615384617</v>
      </c>
      <c r="C9" s="178">
        <f t="shared" si="5"/>
        <v>34</v>
      </c>
      <c r="D9" s="179" cm="1">
        <f t="array" ref="D9">IF($A9="","",SUMPRODUCT((tlStaff=INDEX(tblStaff[Initials],2))*tlWeight*Timeline!H$20:H$378))</f>
        <v>26</v>
      </c>
      <c r="E9" s="179" cm="1">
        <f t="array" ref="E9">IF($A9="","",SUMPRODUCT((tlStaff=INDEX(tblStaff[Initials],2))*tlWeight*Timeline!I$20:I$378))</f>
        <v>26</v>
      </c>
      <c r="F9" s="179" cm="1">
        <f t="array" ref="F9">IF($A9="","",SUMPRODUCT((tlStaff=INDEX(tblStaff[Initials],2))*tlWeight*Timeline!J$20:J$378))</f>
        <v>26</v>
      </c>
      <c r="G9" s="179" cm="1">
        <f t="array" ref="G9">IF($A9="","",SUMPRODUCT((tlStaff=INDEX(tblStaff[Initials],2))*tlWeight*Timeline!K$20:K$378))</f>
        <v>34</v>
      </c>
      <c r="H9" s="179" cm="1">
        <f t="array" ref="H9">IF($A9="","",SUMPRODUCT((tlStaff=INDEX(tblStaff[Initials],2))*tlWeight*Timeline!L$20:L$378))</f>
        <v>34</v>
      </c>
      <c r="I9" s="179" cm="1">
        <f t="array" ref="I9">IF($A9="","",SUMPRODUCT((tlStaff=INDEX(tblStaff[Initials],2))*tlWeight*Timeline!M$20:M$378))</f>
        <v>26</v>
      </c>
      <c r="J9" s="179" cm="1">
        <f t="array" ref="J9">IF($A9="","",SUMPRODUCT((tlStaff=INDEX(tblStaff[Initials],2))*tlWeight*Timeline!N$20:N$378))</f>
        <v>26</v>
      </c>
      <c r="K9" s="179" cm="1">
        <f t="array" ref="K9">IF($A9="","",SUMPRODUCT((tlStaff=INDEX(tblStaff[Initials],2))*tlWeight*Timeline!O$20:O$378))</f>
        <v>26</v>
      </c>
      <c r="L9" s="179" cm="1">
        <f t="array" ref="L9">IF($A9="","",SUMPRODUCT((tlStaff=INDEX(tblStaff[Initials],2))*tlWeight*Timeline!P$20:P$378))</f>
        <v>26</v>
      </c>
      <c r="M9" s="179" cm="1">
        <f t="array" ref="M9">IF($A9="","",SUMPRODUCT((tlStaff=INDEX(tblStaff[Initials],2))*tlWeight*Timeline!Q$20:Q$378))</f>
        <v>26</v>
      </c>
      <c r="N9" s="179" cm="1">
        <f t="array" ref="N9">IF($A9="","",SUMPRODUCT((tlStaff=INDEX(tblStaff[Initials],2))*tlWeight*Timeline!R$20:R$378))</f>
        <v>26</v>
      </c>
      <c r="O9" s="179" cm="1">
        <f t="array" ref="O9">IF($A9="","",SUMPRODUCT((tlStaff=INDEX(tblStaff[Initials],2))*tlWeight*Timeline!S$20:S$378))</f>
        <v>26</v>
      </c>
      <c r="P9" s="179" cm="1">
        <f t="array" ref="P9">IF($A9="","",SUMPRODUCT((tlStaff=INDEX(tblStaff[Initials],2))*tlWeight*Timeline!T$20:T$378))</f>
        <v>26</v>
      </c>
      <c r="Q9" s="179" cm="1">
        <f t="array" ref="Q9">IF($A9="","",SUMPRODUCT((tlStaff=INDEX(tblStaff[Initials],2))*tlWeight*Timeline!U$20:U$378))</f>
        <v>26</v>
      </c>
      <c r="R9" s="179" cm="1">
        <f t="array" ref="R9">IF($A9="","",SUMPRODUCT((tlStaff=INDEX(tblStaff[Initials],2))*tlWeight*Timeline!V$20:V$378))</f>
        <v>26</v>
      </c>
      <c r="S9" s="179" cm="1">
        <f t="array" ref="S9">IF($A9="","",SUMPRODUCT((tlStaff=INDEX(tblStaff[Initials],2))*tlWeight*Timeline!W$20:W$378))</f>
        <v>16</v>
      </c>
      <c r="T9" s="179" cm="1">
        <f t="array" ref="T9">IF($A9="","",SUMPRODUCT((tlStaff=INDEX(tblStaff[Initials],2))*tlWeight*Timeline!X$20:X$378))</f>
        <v>16</v>
      </c>
      <c r="U9" s="179" cm="1">
        <f t="array" ref="U9">IF($A9="","",SUMPRODUCT((tlStaff=INDEX(tblStaff[Initials],2))*tlWeight*Timeline!Y$20:Y$378))</f>
        <v>8</v>
      </c>
      <c r="V9" s="179" cm="1">
        <f t="array" ref="V9">IF($A9="","",SUMPRODUCT((tlStaff=INDEX(tblStaff[Initials],2))*tlWeight*Timeline!Z$20:Z$378))</f>
        <v>16</v>
      </c>
      <c r="W9" s="179" cm="1">
        <f t="array" ref="W9">IF($A9="","",SUMPRODUCT((tlStaff=INDEX(tblStaff[Initials],2))*tlWeight*Timeline!AA$20:AA$378))</f>
        <v>16</v>
      </c>
      <c r="X9" s="179" cm="1">
        <f t="array" ref="X9">IF($A9="","",SUMPRODUCT((tlStaff=INDEX(tblStaff[Initials],2))*tlWeight*Timeline!AB$20:AB$378))</f>
        <v>16</v>
      </c>
      <c r="Y9" s="179" cm="1">
        <f t="array" ref="Y9">IF($A9="","",SUMPRODUCT((tlStaff=INDEX(tblStaff[Initials],2))*tlWeight*Timeline!AC$20:AC$378))</f>
        <v>16</v>
      </c>
      <c r="Z9" s="179" cm="1">
        <f t="array" ref="Z9">IF($A9="","",SUMPRODUCT((tlStaff=INDEX(tblStaff[Initials],2))*tlWeight*Timeline!AD$20:AD$378))</f>
        <v>8</v>
      </c>
      <c r="AA9" s="179" cm="1">
        <f t="array" ref="AA9">IF($A9="","",SUMPRODUCT((tlStaff=INDEX(tblStaff[Initials],2))*tlWeight*Timeline!AE$20:AE$378))</f>
        <v>0</v>
      </c>
      <c r="AB9" s="179" cm="1">
        <f t="array" ref="AB9">IF($A9="","",SUMPRODUCT((tlStaff=INDEX(tblStaff[Initials],2))*tlWeight*Timeline!AF$20:AF$378))</f>
        <v>0</v>
      </c>
      <c r="AC9" s="179" cm="1">
        <f t="array" ref="AC9">IF($A9="","",SUMPRODUCT((tlStaff=INDEX(tblStaff[Initials],2))*tlWeight*Timeline!AG$20:AG$378))</f>
        <v>0</v>
      </c>
      <c r="AD9" s="179" cm="1">
        <f t="array" ref="AD9">IF($A9="","",SUMPRODUCT((tlStaff=INDEX(tblStaff[Initials],2))*tlWeight*Timeline!AH$20:AH$378))</f>
        <v>0</v>
      </c>
      <c r="AE9" s="179" cm="1">
        <f t="array" ref="AE9">IF($A9="","",SUMPRODUCT((tlStaff=INDEX(tblStaff[Initials],2))*tlWeight*Timeline!AI$20:AI$378))</f>
        <v>0</v>
      </c>
      <c r="AF9" s="179" cm="1">
        <f t="array" ref="AF9">IF($A9="","",SUMPRODUCT((tlStaff=INDEX(tblStaff[Initials],2))*tlWeight*Timeline!AJ$20:AJ$378))</f>
        <v>0</v>
      </c>
      <c r="AG9" s="179" cm="1">
        <f t="array" ref="AG9">IF($A9="","",SUMPRODUCT((tlStaff=INDEX(tblStaff[Initials],2))*tlWeight*Timeline!AK$20:AK$378))</f>
        <v>0</v>
      </c>
      <c r="AH9" s="179" cm="1">
        <f t="array" ref="AH9">IF($A9="","",SUMPRODUCT((tlStaff=INDEX(tblStaff[Initials],2))*tlWeight*Timeline!AL$20:AL$378))</f>
        <v>0</v>
      </c>
      <c r="AI9" s="179" cm="1">
        <f t="array" ref="AI9">IF($A9="","",SUMPRODUCT((tlStaff=INDEX(tblStaff[Initials],2))*tlWeight*Timeline!AM$20:AM$378))</f>
        <v>0</v>
      </c>
      <c r="AJ9" s="179" cm="1">
        <f t="array" ref="AJ9">IF($A9="","",SUMPRODUCT((tlStaff=INDEX(tblStaff[Initials],2))*tlWeight*Timeline!AN$20:AN$378))</f>
        <v>0</v>
      </c>
      <c r="AK9" s="179" cm="1">
        <f t="array" ref="AK9">IF($A9="","",SUMPRODUCT((tlStaff=INDEX(tblStaff[Initials],2))*tlWeight*Timeline!AO$20:AO$378))</f>
        <v>0</v>
      </c>
      <c r="AL9" s="179" cm="1">
        <f t="array" ref="AL9">IF($A9="","",SUMPRODUCT((tlStaff=INDEX(tblStaff[Initials],2))*tlWeight*Timeline!AP$20:AP$378))</f>
        <v>0</v>
      </c>
      <c r="AM9" s="179" cm="1">
        <f t="array" ref="AM9">IF($A9="","",SUMPRODUCT((tlStaff=INDEX(tblStaff[Initials],2))*tlWeight*Timeline!AQ$20:AQ$378))</f>
        <v>0</v>
      </c>
      <c r="AN9" s="179" cm="1">
        <f t="array" ref="AN9">IF($A9="","",SUMPRODUCT((tlStaff=INDEX(tblStaff[Initials],2))*tlWeight*Timeline!AR$20:AR$378))</f>
        <v>0</v>
      </c>
      <c r="AO9" s="179" cm="1">
        <f t="array" ref="AO9">IF($A9="","",SUMPRODUCT((tlStaff=INDEX(tblStaff[Initials],2))*tlWeight*Timeline!AS$20:AS$378))</f>
        <v>0</v>
      </c>
      <c r="AP9" s="179" cm="1">
        <f t="array" ref="AP9">IF($A9="","",SUMPRODUCT((tlStaff=INDEX(tblStaff[Initials],2))*tlWeight*Timeline!AT$20:AT$378))</f>
        <v>0</v>
      </c>
      <c r="AQ9" s="179" cm="1">
        <f t="array" ref="AQ9">IF($A9="","",SUMPRODUCT((tlStaff=INDEX(tblStaff[Initials],2))*tlWeight*Timeline!AU$20:AU$378))</f>
        <v>0</v>
      </c>
      <c r="AR9" s="179" cm="1">
        <f t="array" ref="AR9">IF($A9="","",SUMPRODUCT((tlStaff=INDEX(tblStaff[Initials],2))*tlWeight*Timeline!AV$20:AV$378))</f>
        <v>0</v>
      </c>
      <c r="AS9" s="179" cm="1">
        <f t="array" ref="AS9">IF($A9="","",SUMPRODUCT((tlStaff=INDEX(tblStaff[Initials],2))*tlWeight*Timeline!AW$20:AW$378))</f>
        <v>0</v>
      </c>
      <c r="AT9" s="179" cm="1">
        <f t="array" ref="AT9">IF($A9="","",SUMPRODUCT((tlStaff=INDEX(tblStaff[Initials],2))*tlWeight*Timeline!AX$20:AX$378))</f>
        <v>0</v>
      </c>
      <c r="AU9" s="179" cm="1">
        <f t="array" ref="AU9">IF($A9="","",SUMPRODUCT((tlStaff=INDEX(tblStaff[Initials],2))*tlWeight*Timeline!AY$20:AY$378))</f>
        <v>0</v>
      </c>
      <c r="AV9" s="179" cm="1">
        <f t="array" ref="AV9">IF($A9="","",SUMPRODUCT((tlStaff=INDEX(tblStaff[Initials],2))*tlWeight*Timeline!AZ$20:AZ$378))</f>
        <v>0</v>
      </c>
      <c r="AW9" s="179" cm="1">
        <f t="array" ref="AW9">IF($A9="","",SUMPRODUCT((tlStaff=INDEX(tblStaff[Initials],2))*tlWeight*Timeline!BA$20:BA$378))</f>
        <v>0</v>
      </c>
      <c r="AX9" s="179" cm="1">
        <f t="array" ref="AX9">IF($A9="","",SUMPRODUCT((tlStaff=INDEX(tblStaff[Initials],2))*tlWeight*Timeline!BB$20:BB$378))</f>
        <v>0</v>
      </c>
      <c r="AY9" s="179" cm="1">
        <f t="array" ref="AY9">IF($A9="","",SUMPRODUCT((tlStaff=INDEX(tblStaff[Initials],2))*tlWeight*Timeline!BC$20:BC$378))</f>
        <v>0</v>
      </c>
      <c r="AZ9" s="179" cm="1">
        <f t="array" ref="AZ9">IF($A9="","",SUMPRODUCT((tlStaff=INDEX(tblStaff[Initials],2))*tlWeight*Timeline!BD$20:BD$378))</f>
        <v>0</v>
      </c>
      <c r="BA9" s="179" cm="1">
        <f t="array" ref="BA9">IF($A9="","",SUMPRODUCT((tlStaff=INDEX(tblStaff[Initials],2))*tlWeight*Timeline!BE$20:BE$378))</f>
        <v>0</v>
      </c>
      <c r="BB9" s="179" cm="1">
        <f t="array" ref="BB9">IF($A9="","",SUMPRODUCT((tlStaff=INDEX(tblStaff[Initials],2))*tlWeight*Timeline!BF$20:BF$378))</f>
        <v>0</v>
      </c>
      <c r="BC9" s="179" cm="1">
        <f t="array" ref="BC9">IF($A9="","",SUMPRODUCT((tlStaff=INDEX(tblStaff[Initials],2))*tlWeight*Timeline!BG$20:BG$378))</f>
        <v>0</v>
      </c>
    </row>
    <row r="10" spans="1:55" x14ac:dyDescent="0.25">
      <c r="A10" s="180" t="str">
        <f>IFERROR(INDEX(tblStaff[Initials],3)&amp;" · "&amp;INDEX(tblStaff[Staff Level],3),"")</f>
        <v>KJ · Director</v>
      </c>
      <c r="B10" s="178">
        <f t="shared" si="4"/>
        <v>11.865384615384615</v>
      </c>
      <c r="C10" s="178">
        <f t="shared" si="5"/>
        <v>38</v>
      </c>
      <c r="D10" s="179" cm="1">
        <f t="array" ref="D10">IF($A10="","",SUMPRODUCT((tlStaff=INDEX(tblStaff[Initials],3))*tlWeight*Timeline!H$20:H$378))</f>
        <v>18</v>
      </c>
      <c r="E10" s="179" cm="1">
        <f t="array" ref="E10">IF($A10="","",SUMPRODUCT((tlStaff=INDEX(tblStaff[Initials],3))*tlWeight*Timeline!I$20:I$378))</f>
        <v>26</v>
      </c>
      <c r="F10" s="179" cm="1">
        <f t="array" ref="F10">IF($A10="","",SUMPRODUCT((tlStaff=INDEX(tblStaff[Initials],3))*tlWeight*Timeline!J$20:J$378))</f>
        <v>26</v>
      </c>
      <c r="G10" s="179" cm="1">
        <f t="array" ref="G10">IF($A10="","",SUMPRODUCT((tlStaff=INDEX(tblStaff[Initials],3))*tlWeight*Timeline!K$20:K$378))</f>
        <v>26</v>
      </c>
      <c r="H10" s="179" cm="1">
        <f t="array" ref="H10">IF($A10="","",SUMPRODUCT((tlStaff=INDEX(tblStaff[Initials],3))*tlWeight*Timeline!L$20:L$378))</f>
        <v>26</v>
      </c>
      <c r="I10" s="179" cm="1">
        <f t="array" ref="I10">IF($A10="","",SUMPRODUCT((tlStaff=INDEX(tblStaff[Initials],3))*tlWeight*Timeline!M$20:M$378))</f>
        <v>26</v>
      </c>
      <c r="J10" s="179" cm="1">
        <f t="array" ref="J10">IF($A10="","",SUMPRODUCT((tlStaff=INDEX(tblStaff[Initials],3))*tlWeight*Timeline!N$20:N$378))</f>
        <v>26</v>
      </c>
      <c r="K10" s="179" cm="1">
        <f t="array" ref="K10">IF($A10="","",SUMPRODUCT((tlStaff=INDEX(tblStaff[Initials],3))*tlWeight*Timeline!O$20:O$378))</f>
        <v>38</v>
      </c>
      <c r="L10" s="179" cm="1">
        <f t="array" ref="L10">IF($A10="","",SUMPRODUCT((tlStaff=INDEX(tblStaff[Initials],3))*tlWeight*Timeline!P$20:P$378))</f>
        <v>38</v>
      </c>
      <c r="M10" s="179" cm="1">
        <f t="array" ref="M10">IF($A10="","",SUMPRODUCT((tlStaff=INDEX(tblStaff[Initials],3))*tlWeight*Timeline!Q$20:Q$378))</f>
        <v>23</v>
      </c>
      <c r="N10" s="179" cm="1">
        <f t="array" ref="N10">IF($A10="","",SUMPRODUCT((tlStaff=INDEX(tblStaff[Initials],3))*tlWeight*Timeline!R$20:R$378))</f>
        <v>23</v>
      </c>
      <c r="O10" s="179" cm="1">
        <f t="array" ref="O10">IF($A10="","",SUMPRODUCT((tlStaff=INDEX(tblStaff[Initials],3))*tlWeight*Timeline!S$20:S$378))</f>
        <v>15</v>
      </c>
      <c r="P10" s="179" cm="1">
        <f t="array" ref="P10">IF($A10="","",SUMPRODUCT((tlStaff=INDEX(tblStaff[Initials],3))*tlWeight*Timeline!T$20:T$378))</f>
        <v>15</v>
      </c>
      <c r="Q10" s="179" cm="1">
        <f t="array" ref="Q10">IF($A10="","",SUMPRODUCT((tlStaff=INDEX(tblStaff[Initials],3))*tlWeight*Timeline!U$20:U$378))</f>
        <v>15</v>
      </c>
      <c r="R10" s="179" cm="1">
        <f t="array" ref="R10">IF($A10="","",SUMPRODUCT((tlStaff=INDEX(tblStaff[Initials],3))*tlWeight*Timeline!V$20:V$378))</f>
        <v>30</v>
      </c>
      <c r="S10" s="179" cm="1">
        <f t="array" ref="S10">IF($A10="","",SUMPRODUCT((tlStaff=INDEX(tblStaff[Initials],3))*tlWeight*Timeline!W$20:W$378))</f>
        <v>28</v>
      </c>
      <c r="T10" s="179" cm="1">
        <f t="array" ref="T10">IF($A10="","",SUMPRODUCT((tlStaff=INDEX(tblStaff[Initials],3))*tlWeight*Timeline!X$20:X$378))</f>
        <v>36</v>
      </c>
      <c r="U10" s="179" cm="1">
        <f t="array" ref="U10">IF($A10="","",SUMPRODUCT((tlStaff=INDEX(tblStaff[Initials],3))*tlWeight*Timeline!Y$20:Y$378))</f>
        <v>24</v>
      </c>
      <c r="V10" s="179" cm="1">
        <f t="array" ref="V10">IF($A10="","",SUMPRODUCT((tlStaff=INDEX(tblStaff[Initials],3))*tlWeight*Timeline!Z$20:Z$378))</f>
        <v>9</v>
      </c>
      <c r="W10" s="179" cm="1">
        <f t="array" ref="W10">IF($A10="","",SUMPRODUCT((tlStaff=INDEX(tblStaff[Initials],3))*tlWeight*Timeline!AA$20:AA$378))</f>
        <v>9</v>
      </c>
      <c r="X10" s="179" cm="1">
        <f t="array" ref="X10">IF($A10="","",SUMPRODUCT((tlStaff=INDEX(tblStaff[Initials],3))*tlWeight*Timeline!AB$20:AB$378))</f>
        <v>9</v>
      </c>
      <c r="Y10" s="179" cm="1">
        <f t="array" ref="Y10">IF($A10="","",SUMPRODUCT((tlStaff=INDEX(tblStaff[Initials],3))*tlWeight*Timeline!AC$20:AC$378))</f>
        <v>9</v>
      </c>
      <c r="Z10" s="179" cm="1">
        <f t="array" ref="Z10">IF($A10="","",SUMPRODUCT((tlStaff=INDEX(tblStaff[Initials],3))*tlWeight*Timeline!AD$20:AD$378))</f>
        <v>9</v>
      </c>
      <c r="AA10" s="179" cm="1">
        <f t="array" ref="AA10">IF($A10="","",SUMPRODUCT((tlStaff=INDEX(tblStaff[Initials],3))*tlWeight*Timeline!AE$20:AE$378))</f>
        <v>5</v>
      </c>
      <c r="AB10" s="179" cm="1">
        <f t="array" ref="AB10">IF($A10="","",SUMPRODUCT((tlStaff=INDEX(tblStaff[Initials],3))*tlWeight*Timeline!AF$20:AF$378))</f>
        <v>1</v>
      </c>
      <c r="AC10" s="179" cm="1">
        <f t="array" ref="AC10">IF($A10="","",SUMPRODUCT((tlStaff=INDEX(tblStaff[Initials],3))*tlWeight*Timeline!AG$20:AG$378))</f>
        <v>1</v>
      </c>
      <c r="AD10" s="179" cm="1">
        <f t="array" ref="AD10">IF($A10="","",SUMPRODUCT((tlStaff=INDEX(tblStaff[Initials],3))*tlWeight*Timeline!AH$20:AH$378))</f>
        <v>5</v>
      </c>
      <c r="AE10" s="179" cm="1">
        <f t="array" ref="AE10">IF($A10="","",SUMPRODUCT((tlStaff=INDEX(tblStaff[Initials],3))*tlWeight*Timeline!AI$20:AI$378))</f>
        <v>5</v>
      </c>
      <c r="AF10" s="179" cm="1">
        <f t="array" ref="AF10">IF($A10="","",SUMPRODUCT((tlStaff=INDEX(tblStaff[Initials],3))*tlWeight*Timeline!AJ$20:AJ$378))</f>
        <v>5</v>
      </c>
      <c r="AG10" s="179" cm="1">
        <f t="array" ref="AG10">IF($A10="","",SUMPRODUCT((tlStaff=INDEX(tblStaff[Initials],3))*tlWeight*Timeline!AK$20:AK$378))</f>
        <v>5</v>
      </c>
      <c r="AH10" s="179" cm="1">
        <f t="array" ref="AH10">IF($A10="","",SUMPRODUCT((tlStaff=INDEX(tblStaff[Initials],3))*tlWeight*Timeline!AL$20:AL$378))</f>
        <v>20</v>
      </c>
      <c r="AI10" s="179" cm="1">
        <f t="array" ref="AI10">IF($A10="","",SUMPRODUCT((tlStaff=INDEX(tblStaff[Initials],3))*tlWeight*Timeline!AM$20:AM$378))</f>
        <v>20</v>
      </c>
      <c r="AJ10" s="179" cm="1">
        <f t="array" ref="AJ10">IF($A10="","",SUMPRODUCT((tlStaff=INDEX(tblStaff[Initials],3))*tlWeight*Timeline!AN$20:AN$378))</f>
        <v>20</v>
      </c>
      <c r="AK10" s="179" cm="1">
        <f t="array" ref="AK10">IF($A10="","",SUMPRODUCT((tlStaff=INDEX(tblStaff[Initials],3))*tlWeight*Timeline!AO$20:AO$378))</f>
        <v>4</v>
      </c>
      <c r="AL10" s="179" cm="1">
        <f t="array" ref="AL10">IF($A10="","",SUMPRODUCT((tlStaff=INDEX(tblStaff[Initials],3))*tlWeight*Timeline!AP$20:AP$378))</f>
        <v>4</v>
      </c>
      <c r="AM10" s="179" cm="1">
        <f t="array" ref="AM10">IF($A10="","",SUMPRODUCT((tlStaff=INDEX(tblStaff[Initials],3))*tlWeight*Timeline!AQ$20:AQ$378))</f>
        <v>4</v>
      </c>
      <c r="AN10" s="179" cm="1">
        <f t="array" ref="AN10">IF($A10="","",SUMPRODUCT((tlStaff=INDEX(tblStaff[Initials],3))*tlWeight*Timeline!AR$20:AR$378))</f>
        <v>4</v>
      </c>
      <c r="AO10" s="179" cm="1">
        <f t="array" ref="AO10">IF($A10="","",SUMPRODUCT((tlStaff=INDEX(tblStaff[Initials],3))*tlWeight*Timeline!AS$20:AS$378))</f>
        <v>4</v>
      </c>
      <c r="AP10" s="179" cm="1">
        <f t="array" ref="AP10">IF($A10="","",SUMPRODUCT((tlStaff=INDEX(tblStaff[Initials],3))*tlWeight*Timeline!AT$20:AT$378))</f>
        <v>4</v>
      </c>
      <c r="AQ10" s="179" cm="1">
        <f t="array" ref="AQ10">IF($A10="","",SUMPRODUCT((tlStaff=INDEX(tblStaff[Initials],3))*tlWeight*Timeline!AU$20:AU$378))</f>
        <v>2</v>
      </c>
      <c r="AR10" s="179" cm="1">
        <f t="array" ref="AR10">IF($A10="","",SUMPRODUCT((tlStaff=INDEX(tblStaff[Initials],3))*tlWeight*Timeline!AV$20:AV$378))</f>
        <v>0</v>
      </c>
      <c r="AS10" s="179" cm="1">
        <f t="array" ref="AS10">IF($A10="","",SUMPRODUCT((tlStaff=INDEX(tblStaff[Initials],3))*tlWeight*Timeline!AW$20:AW$378))</f>
        <v>0</v>
      </c>
      <c r="AT10" s="179" cm="1">
        <f t="array" ref="AT10">IF($A10="","",SUMPRODUCT((tlStaff=INDEX(tblStaff[Initials],3))*tlWeight*Timeline!AX$20:AX$378))</f>
        <v>0</v>
      </c>
      <c r="AU10" s="179" cm="1">
        <f t="array" ref="AU10">IF($A10="","",SUMPRODUCT((tlStaff=INDEX(tblStaff[Initials],3))*tlWeight*Timeline!AY$20:AY$378))</f>
        <v>0</v>
      </c>
      <c r="AV10" s="179" cm="1">
        <f t="array" ref="AV10">IF($A10="","",SUMPRODUCT((tlStaff=INDEX(tblStaff[Initials],3))*tlWeight*Timeline!AZ$20:AZ$378))</f>
        <v>0</v>
      </c>
      <c r="AW10" s="179" cm="1">
        <f t="array" ref="AW10">IF($A10="","",SUMPRODUCT((tlStaff=INDEX(tblStaff[Initials],3))*tlWeight*Timeline!BA$20:BA$378))</f>
        <v>0</v>
      </c>
      <c r="AX10" s="179" cm="1">
        <f t="array" ref="AX10">IF($A10="","",SUMPRODUCT((tlStaff=INDEX(tblStaff[Initials],3))*tlWeight*Timeline!BB$20:BB$378))</f>
        <v>0</v>
      </c>
      <c r="AY10" s="179" cm="1">
        <f t="array" ref="AY10">IF($A10="","",SUMPRODUCT((tlStaff=INDEX(tblStaff[Initials],3))*tlWeight*Timeline!BC$20:BC$378))</f>
        <v>0</v>
      </c>
      <c r="AZ10" s="179" cm="1">
        <f t="array" ref="AZ10">IF($A10="","",SUMPRODUCT((tlStaff=INDEX(tblStaff[Initials],3))*tlWeight*Timeline!BD$20:BD$378))</f>
        <v>0</v>
      </c>
      <c r="BA10" s="179" cm="1">
        <f t="array" ref="BA10">IF($A10="","",SUMPRODUCT((tlStaff=INDEX(tblStaff[Initials],3))*tlWeight*Timeline!BE$20:BE$378))</f>
        <v>0</v>
      </c>
      <c r="BB10" s="179" cm="1">
        <f t="array" ref="BB10">IF($A10="","",SUMPRODUCT((tlStaff=INDEX(tblStaff[Initials],3))*tlWeight*Timeline!BF$20:BF$378))</f>
        <v>0</v>
      </c>
      <c r="BC10" s="179" cm="1">
        <f t="array" ref="BC10">IF($A10="","",SUMPRODUCT((tlStaff=INDEX(tblStaff[Initials],3))*tlWeight*Timeline!BG$20:BG$378))</f>
        <v>0</v>
      </c>
    </row>
    <row r="11" spans="1:55" x14ac:dyDescent="0.25">
      <c r="A11" s="180" t="str">
        <f>IFERROR(INDEX(tblStaff[Initials],4)&amp;" · "&amp;INDEX(tblStaff[Staff Level],4),"")</f>
        <v>HL · Senior Designer</v>
      </c>
      <c r="B11" s="178">
        <f t="shared" si="4"/>
        <v>9.0769230769230766</v>
      </c>
      <c r="C11" s="178">
        <f t="shared" si="5"/>
        <v>52</v>
      </c>
      <c r="D11" s="179" cm="1">
        <f t="array" ref="D11">IF($A11="","",SUMPRODUCT((tlStaff=INDEX(tblStaff[Initials],4))*tlWeight*Timeline!H$20:H$378))</f>
        <v>52</v>
      </c>
      <c r="E11" s="179" cm="1">
        <f t="array" ref="E11">IF($A11="","",SUMPRODUCT((tlStaff=INDEX(tblStaff[Initials],4))*tlWeight*Timeline!I$20:I$378))</f>
        <v>52</v>
      </c>
      <c r="F11" s="179" cm="1">
        <f t="array" ref="F11">IF($A11="","",SUMPRODUCT((tlStaff=INDEX(tblStaff[Initials],4))*tlWeight*Timeline!J$20:J$378))</f>
        <v>52</v>
      </c>
      <c r="G11" s="179" cm="1">
        <f t="array" ref="G11">IF($A11="","",SUMPRODUCT((tlStaff=INDEX(tblStaff[Initials],4))*tlWeight*Timeline!K$20:K$378))</f>
        <v>52</v>
      </c>
      <c r="H11" s="179" cm="1">
        <f t="array" ref="H11">IF($A11="","",SUMPRODUCT((tlStaff=INDEX(tblStaff[Initials],4))*tlWeight*Timeline!L$20:L$378))</f>
        <v>40</v>
      </c>
      <c r="I11" s="179" cm="1">
        <f t="array" ref="I11">IF($A11="","",SUMPRODUCT((tlStaff=INDEX(tblStaff[Initials],4))*tlWeight*Timeline!M$20:M$378))</f>
        <v>40</v>
      </c>
      <c r="J11" s="179" cm="1">
        <f t="array" ref="J11">IF($A11="","",SUMPRODUCT((tlStaff=INDEX(tblStaff[Initials],4))*tlWeight*Timeline!N$20:N$378))</f>
        <v>24</v>
      </c>
      <c r="K11" s="179" cm="1">
        <f t="array" ref="K11">IF($A11="","",SUMPRODUCT((tlStaff=INDEX(tblStaff[Initials],4))*tlWeight*Timeline!O$20:O$378))</f>
        <v>16</v>
      </c>
      <c r="L11" s="179" cm="1">
        <f t="array" ref="L11">IF($A11="","",SUMPRODUCT((tlStaff=INDEX(tblStaff[Initials],4))*tlWeight*Timeline!P$20:P$378))</f>
        <v>16</v>
      </c>
      <c r="M11" s="179" cm="1">
        <f t="array" ref="M11">IF($A11="","",SUMPRODUCT((tlStaff=INDEX(tblStaff[Initials],4))*tlWeight*Timeline!Q$20:Q$378))</f>
        <v>16</v>
      </c>
      <c r="N11" s="179" cm="1">
        <f t="array" ref="N11">IF($A11="","",SUMPRODUCT((tlStaff=INDEX(tblStaff[Initials],4))*tlWeight*Timeline!R$20:R$378))</f>
        <v>16</v>
      </c>
      <c r="O11" s="179" cm="1">
        <f t="array" ref="O11">IF($A11="","",SUMPRODUCT((tlStaff=INDEX(tblStaff[Initials],4))*tlWeight*Timeline!S$20:S$378))</f>
        <v>16</v>
      </c>
      <c r="P11" s="179" cm="1">
        <f t="array" ref="P11">IF($A11="","",SUMPRODUCT((tlStaff=INDEX(tblStaff[Initials],4))*tlWeight*Timeline!T$20:T$378))</f>
        <v>16</v>
      </c>
      <c r="Q11" s="179" cm="1">
        <f t="array" ref="Q11">IF($A11="","",SUMPRODUCT((tlStaff=INDEX(tblStaff[Initials],4))*tlWeight*Timeline!U$20:U$378))</f>
        <v>16</v>
      </c>
      <c r="R11" s="179" cm="1">
        <f t="array" ref="R11">IF($A11="","",SUMPRODUCT((tlStaff=INDEX(tblStaff[Initials],4))*tlWeight*Timeline!V$20:V$378))</f>
        <v>16</v>
      </c>
      <c r="S11" s="179" cm="1">
        <f t="array" ref="S11">IF($A11="","",SUMPRODUCT((tlStaff=INDEX(tblStaff[Initials],4))*tlWeight*Timeline!W$20:W$378))</f>
        <v>16</v>
      </c>
      <c r="T11" s="179" cm="1">
        <f t="array" ref="T11">IF($A11="","",SUMPRODUCT((tlStaff=INDEX(tblStaff[Initials],4))*tlWeight*Timeline!X$20:X$378))</f>
        <v>16</v>
      </c>
      <c r="U11" s="179" cm="1">
        <f t="array" ref="U11">IF($A11="","",SUMPRODUCT((tlStaff=INDEX(tblStaff[Initials],4))*tlWeight*Timeline!Y$20:Y$378))</f>
        <v>0</v>
      </c>
      <c r="V11" s="179" cm="1">
        <f t="array" ref="V11">IF($A11="","",SUMPRODUCT((tlStaff=INDEX(tblStaff[Initials],4))*tlWeight*Timeline!Z$20:Z$378))</f>
        <v>0</v>
      </c>
      <c r="W11" s="179" cm="1">
        <f t="array" ref="W11">IF($A11="","",SUMPRODUCT((tlStaff=INDEX(tblStaff[Initials],4))*tlWeight*Timeline!AA$20:AA$378))</f>
        <v>0</v>
      </c>
      <c r="X11" s="179" cm="1">
        <f t="array" ref="X11">IF($A11="","",SUMPRODUCT((tlStaff=INDEX(tblStaff[Initials],4))*tlWeight*Timeline!AB$20:AB$378))</f>
        <v>0</v>
      </c>
      <c r="Y11" s="179" cm="1">
        <f t="array" ref="Y11">IF($A11="","",SUMPRODUCT((tlStaff=INDEX(tblStaff[Initials],4))*tlWeight*Timeline!AC$20:AC$378))</f>
        <v>0</v>
      </c>
      <c r="Z11" s="179" cm="1">
        <f t="array" ref="Z11">IF($A11="","",SUMPRODUCT((tlStaff=INDEX(tblStaff[Initials],4))*tlWeight*Timeline!AD$20:AD$378))</f>
        <v>0</v>
      </c>
      <c r="AA11" s="179" cm="1">
        <f t="array" ref="AA11">IF($A11="","",SUMPRODUCT((tlStaff=INDEX(tblStaff[Initials],4))*tlWeight*Timeline!AE$20:AE$378))</f>
        <v>0</v>
      </c>
      <c r="AB11" s="179" cm="1">
        <f t="array" ref="AB11">IF($A11="","",SUMPRODUCT((tlStaff=INDEX(tblStaff[Initials],4))*tlWeight*Timeline!AF$20:AF$378))</f>
        <v>0</v>
      </c>
      <c r="AC11" s="179" cm="1">
        <f t="array" ref="AC11">IF($A11="","",SUMPRODUCT((tlStaff=INDEX(tblStaff[Initials],4))*tlWeight*Timeline!AG$20:AG$378))</f>
        <v>0</v>
      </c>
      <c r="AD11" s="179" cm="1">
        <f t="array" ref="AD11">IF($A11="","",SUMPRODUCT((tlStaff=INDEX(tblStaff[Initials],4))*tlWeight*Timeline!AH$20:AH$378))</f>
        <v>0</v>
      </c>
      <c r="AE11" s="179" cm="1">
        <f t="array" ref="AE11">IF($A11="","",SUMPRODUCT((tlStaff=INDEX(tblStaff[Initials],4))*tlWeight*Timeline!AI$20:AI$378))</f>
        <v>0</v>
      </c>
      <c r="AF11" s="179" cm="1">
        <f t="array" ref="AF11">IF($A11="","",SUMPRODUCT((tlStaff=INDEX(tblStaff[Initials],4))*tlWeight*Timeline!AJ$20:AJ$378))</f>
        <v>0</v>
      </c>
      <c r="AG11" s="179" cm="1">
        <f t="array" ref="AG11">IF($A11="","",SUMPRODUCT((tlStaff=INDEX(tblStaff[Initials],4))*tlWeight*Timeline!AK$20:AK$378))</f>
        <v>0</v>
      </c>
      <c r="AH11" s="179" cm="1">
        <f t="array" ref="AH11">IF($A11="","",SUMPRODUCT((tlStaff=INDEX(tblStaff[Initials],4))*tlWeight*Timeline!AL$20:AL$378))</f>
        <v>0</v>
      </c>
      <c r="AI11" s="179" cm="1">
        <f t="array" ref="AI11">IF($A11="","",SUMPRODUCT((tlStaff=INDEX(tblStaff[Initials],4))*tlWeight*Timeline!AM$20:AM$378))</f>
        <v>0</v>
      </c>
      <c r="AJ11" s="179" cm="1">
        <f t="array" ref="AJ11">IF($A11="","",SUMPRODUCT((tlStaff=INDEX(tblStaff[Initials],4))*tlWeight*Timeline!AN$20:AN$378))</f>
        <v>0</v>
      </c>
      <c r="AK11" s="179" cm="1">
        <f t="array" ref="AK11">IF($A11="","",SUMPRODUCT((tlStaff=INDEX(tblStaff[Initials],4))*tlWeight*Timeline!AO$20:AO$378))</f>
        <v>0</v>
      </c>
      <c r="AL11" s="179" cm="1">
        <f t="array" ref="AL11">IF($A11="","",SUMPRODUCT((tlStaff=INDEX(tblStaff[Initials],4))*tlWeight*Timeline!AP$20:AP$378))</f>
        <v>0</v>
      </c>
      <c r="AM11" s="179" cm="1">
        <f t="array" ref="AM11">IF($A11="","",SUMPRODUCT((tlStaff=INDEX(tblStaff[Initials],4))*tlWeight*Timeline!AQ$20:AQ$378))</f>
        <v>0</v>
      </c>
      <c r="AN11" s="179" cm="1">
        <f t="array" ref="AN11">IF($A11="","",SUMPRODUCT((tlStaff=INDEX(tblStaff[Initials],4))*tlWeight*Timeline!AR$20:AR$378))</f>
        <v>0</v>
      </c>
      <c r="AO11" s="179" cm="1">
        <f t="array" ref="AO11">IF($A11="","",SUMPRODUCT((tlStaff=INDEX(tblStaff[Initials],4))*tlWeight*Timeline!AS$20:AS$378))</f>
        <v>0</v>
      </c>
      <c r="AP11" s="179" cm="1">
        <f t="array" ref="AP11">IF($A11="","",SUMPRODUCT((tlStaff=INDEX(tblStaff[Initials],4))*tlWeight*Timeline!AT$20:AT$378))</f>
        <v>0</v>
      </c>
      <c r="AQ11" s="179" cm="1">
        <f t="array" ref="AQ11">IF($A11="","",SUMPRODUCT((tlStaff=INDEX(tblStaff[Initials],4))*tlWeight*Timeline!AU$20:AU$378))</f>
        <v>0</v>
      </c>
      <c r="AR11" s="179" cm="1">
        <f t="array" ref="AR11">IF($A11="","",SUMPRODUCT((tlStaff=INDEX(tblStaff[Initials],4))*tlWeight*Timeline!AV$20:AV$378))</f>
        <v>0</v>
      </c>
      <c r="AS11" s="179" cm="1">
        <f t="array" ref="AS11">IF($A11="","",SUMPRODUCT((tlStaff=INDEX(tblStaff[Initials],4))*tlWeight*Timeline!AW$20:AW$378))</f>
        <v>0</v>
      </c>
      <c r="AT11" s="179" cm="1">
        <f t="array" ref="AT11">IF($A11="","",SUMPRODUCT((tlStaff=INDEX(tblStaff[Initials],4))*tlWeight*Timeline!AX$20:AX$378))</f>
        <v>0</v>
      </c>
      <c r="AU11" s="179" cm="1">
        <f t="array" ref="AU11">IF($A11="","",SUMPRODUCT((tlStaff=INDEX(tblStaff[Initials],4))*tlWeight*Timeline!AY$20:AY$378))</f>
        <v>0</v>
      </c>
      <c r="AV11" s="179" cm="1">
        <f t="array" ref="AV11">IF($A11="","",SUMPRODUCT((tlStaff=INDEX(tblStaff[Initials],4))*tlWeight*Timeline!AZ$20:AZ$378))</f>
        <v>0</v>
      </c>
      <c r="AW11" s="179" cm="1">
        <f t="array" ref="AW11">IF($A11="","",SUMPRODUCT((tlStaff=INDEX(tblStaff[Initials],4))*tlWeight*Timeline!BA$20:BA$378))</f>
        <v>0</v>
      </c>
      <c r="AX11" s="179" cm="1">
        <f t="array" ref="AX11">IF($A11="","",SUMPRODUCT((tlStaff=INDEX(tblStaff[Initials],4))*tlWeight*Timeline!BB$20:BB$378))</f>
        <v>0</v>
      </c>
      <c r="AY11" s="179" cm="1">
        <f t="array" ref="AY11">IF($A11="","",SUMPRODUCT((tlStaff=INDEX(tblStaff[Initials],4))*tlWeight*Timeline!BC$20:BC$378))</f>
        <v>0</v>
      </c>
      <c r="AZ11" s="179" cm="1">
        <f t="array" ref="AZ11">IF($A11="","",SUMPRODUCT((tlStaff=INDEX(tblStaff[Initials],4))*tlWeight*Timeline!BD$20:BD$378))</f>
        <v>0</v>
      </c>
      <c r="BA11" s="179" cm="1">
        <f t="array" ref="BA11">IF($A11="","",SUMPRODUCT((tlStaff=INDEX(tblStaff[Initials],4))*tlWeight*Timeline!BE$20:BE$378))</f>
        <v>0</v>
      </c>
      <c r="BB11" s="179" cm="1">
        <f t="array" ref="BB11">IF($A11="","",SUMPRODUCT((tlStaff=INDEX(tblStaff[Initials],4))*tlWeight*Timeline!BF$20:BF$378))</f>
        <v>0</v>
      </c>
      <c r="BC11" s="179" cm="1">
        <f t="array" ref="BC11">IF($A11="","",SUMPRODUCT((tlStaff=INDEX(tblStaff[Initials],4))*tlWeight*Timeline!BG$20:BG$378))</f>
        <v>0</v>
      </c>
    </row>
    <row r="12" spans="1:55" x14ac:dyDescent="0.25">
      <c r="A12" s="180" t="str">
        <f>IFERROR(INDEX(tblStaff[Initials],5)&amp;" · "&amp;INDEX(tblStaff[Staff Level],5),"")</f>
        <v>EHH · Mid Level Designer</v>
      </c>
      <c r="B12" s="178">
        <f t="shared" si="4"/>
        <v>3.4615384615384617</v>
      </c>
      <c r="C12" s="178">
        <f t="shared" si="5"/>
        <v>16</v>
      </c>
      <c r="D12" s="179" cm="1">
        <f t="array" ref="D12">IF($A12="","",SUMPRODUCT((tlStaff=INDEX(tblStaff[Initials],5))*tlWeight*Timeline!H$20:H$378))</f>
        <v>1</v>
      </c>
      <c r="E12" s="179" cm="1">
        <f t="array" ref="E12">IF($A12="","",SUMPRODUCT((tlStaff=INDEX(tblStaff[Initials],5))*tlWeight*Timeline!I$20:I$378))</f>
        <v>1</v>
      </c>
      <c r="F12" s="179" cm="1">
        <f t="array" ref="F12">IF($A12="","",SUMPRODUCT((tlStaff=INDEX(tblStaff[Initials],5))*tlWeight*Timeline!J$20:J$378))</f>
        <v>1</v>
      </c>
      <c r="G12" s="179" cm="1">
        <f t="array" ref="G12">IF($A12="","",SUMPRODUCT((tlStaff=INDEX(tblStaff[Initials],5))*tlWeight*Timeline!K$20:K$378))</f>
        <v>9</v>
      </c>
      <c r="H12" s="179" cm="1">
        <f t="array" ref="H12">IF($A12="","",SUMPRODUCT((tlStaff=INDEX(tblStaff[Initials],5))*tlWeight*Timeline!L$20:L$378))</f>
        <v>8</v>
      </c>
      <c r="I12" s="179" cm="1">
        <f t="array" ref="I12">IF($A12="","",SUMPRODUCT((tlStaff=INDEX(tblStaff[Initials],5))*tlWeight*Timeline!M$20:M$378))</f>
        <v>8</v>
      </c>
      <c r="J12" s="179" cm="1">
        <f t="array" ref="J12">IF($A12="","",SUMPRODUCT((tlStaff=INDEX(tblStaff[Initials],5))*tlWeight*Timeline!N$20:N$378))</f>
        <v>8</v>
      </c>
      <c r="K12" s="179" cm="1">
        <f t="array" ref="K12">IF($A12="","",SUMPRODUCT((tlStaff=INDEX(tblStaff[Initials],5))*tlWeight*Timeline!O$20:O$378))</f>
        <v>8</v>
      </c>
      <c r="L12" s="179" cm="1">
        <f t="array" ref="L12">IF($A12="","",SUMPRODUCT((tlStaff=INDEX(tblStaff[Initials],5))*tlWeight*Timeline!P$20:P$378))</f>
        <v>8</v>
      </c>
      <c r="M12" s="179" cm="1">
        <f t="array" ref="M12">IF($A12="","",SUMPRODUCT((tlStaff=INDEX(tblStaff[Initials],5))*tlWeight*Timeline!Q$20:Q$378))</f>
        <v>16</v>
      </c>
      <c r="N12" s="179" cm="1">
        <f t="array" ref="N12">IF($A12="","",SUMPRODUCT((tlStaff=INDEX(tblStaff[Initials],5))*tlWeight*Timeline!R$20:R$378))</f>
        <v>16</v>
      </c>
      <c r="O12" s="179" cm="1">
        <f t="array" ref="O12">IF($A12="","",SUMPRODUCT((tlStaff=INDEX(tblStaff[Initials],5))*tlWeight*Timeline!S$20:S$378))</f>
        <v>16</v>
      </c>
      <c r="P12" s="179" cm="1">
        <f t="array" ref="P12">IF($A12="","",SUMPRODUCT((tlStaff=INDEX(tblStaff[Initials],5))*tlWeight*Timeline!T$20:T$378))</f>
        <v>16</v>
      </c>
      <c r="Q12" s="179" cm="1">
        <f t="array" ref="Q12">IF($A12="","",SUMPRODUCT((tlStaff=INDEX(tblStaff[Initials],5))*tlWeight*Timeline!U$20:U$378))</f>
        <v>16</v>
      </c>
      <c r="R12" s="179" cm="1">
        <f t="array" ref="R12">IF($A12="","",SUMPRODUCT((tlStaff=INDEX(tblStaff[Initials],5))*tlWeight*Timeline!V$20:V$378))</f>
        <v>16</v>
      </c>
      <c r="S12" s="179" cm="1">
        <f t="array" ref="S12">IF($A12="","",SUMPRODUCT((tlStaff=INDEX(tblStaff[Initials],5))*tlWeight*Timeline!W$20:W$378))</f>
        <v>16</v>
      </c>
      <c r="T12" s="179" cm="1">
        <f t="array" ref="T12">IF($A12="","",SUMPRODUCT((tlStaff=INDEX(tblStaff[Initials],5))*tlWeight*Timeline!X$20:X$378))</f>
        <v>16</v>
      </c>
      <c r="U12" s="179" cm="1">
        <f t="array" ref="U12">IF($A12="","",SUMPRODUCT((tlStaff=INDEX(tblStaff[Initials],5))*tlWeight*Timeline!Y$20:Y$378))</f>
        <v>0</v>
      </c>
      <c r="V12" s="179" cm="1">
        <f t="array" ref="V12">IF($A12="","",SUMPRODUCT((tlStaff=INDEX(tblStaff[Initials],5))*tlWeight*Timeline!Z$20:Z$378))</f>
        <v>0</v>
      </c>
      <c r="W12" s="179" cm="1">
        <f t="array" ref="W12">IF($A12="","",SUMPRODUCT((tlStaff=INDEX(tblStaff[Initials],5))*tlWeight*Timeline!AA$20:AA$378))</f>
        <v>0</v>
      </c>
      <c r="X12" s="179" cm="1">
        <f t="array" ref="X12">IF($A12="","",SUMPRODUCT((tlStaff=INDEX(tblStaff[Initials],5))*tlWeight*Timeline!AB$20:AB$378))</f>
        <v>0</v>
      </c>
      <c r="Y12" s="179" cm="1">
        <f t="array" ref="Y12">IF($A12="","",SUMPRODUCT((tlStaff=INDEX(tblStaff[Initials],5))*tlWeight*Timeline!AC$20:AC$378))</f>
        <v>0</v>
      </c>
      <c r="Z12" s="179" cm="1">
        <f t="array" ref="Z12">IF($A12="","",SUMPRODUCT((tlStaff=INDEX(tblStaff[Initials],5))*tlWeight*Timeline!AD$20:AD$378))</f>
        <v>0</v>
      </c>
      <c r="AA12" s="179" cm="1">
        <f t="array" ref="AA12">IF($A12="","",SUMPRODUCT((tlStaff=INDEX(tblStaff[Initials],5))*tlWeight*Timeline!AE$20:AE$378))</f>
        <v>0</v>
      </c>
      <c r="AB12" s="179" cm="1">
        <f t="array" ref="AB12">IF($A12="","",SUMPRODUCT((tlStaff=INDEX(tblStaff[Initials],5))*tlWeight*Timeline!AF$20:AF$378))</f>
        <v>0</v>
      </c>
      <c r="AC12" s="179" cm="1">
        <f t="array" ref="AC12">IF($A12="","",SUMPRODUCT((tlStaff=INDEX(tblStaff[Initials],5))*tlWeight*Timeline!AG$20:AG$378))</f>
        <v>0</v>
      </c>
      <c r="AD12" s="179" cm="1">
        <f t="array" ref="AD12">IF($A12="","",SUMPRODUCT((tlStaff=INDEX(tblStaff[Initials],5))*tlWeight*Timeline!AH$20:AH$378))</f>
        <v>0</v>
      </c>
      <c r="AE12" s="179" cm="1">
        <f t="array" ref="AE12">IF($A12="","",SUMPRODUCT((tlStaff=INDEX(tblStaff[Initials],5))*tlWeight*Timeline!AI$20:AI$378))</f>
        <v>0</v>
      </c>
      <c r="AF12" s="179" cm="1">
        <f t="array" ref="AF12">IF($A12="","",SUMPRODUCT((tlStaff=INDEX(tblStaff[Initials],5))*tlWeight*Timeline!AJ$20:AJ$378))</f>
        <v>0</v>
      </c>
      <c r="AG12" s="179" cm="1">
        <f t="array" ref="AG12">IF($A12="","",SUMPRODUCT((tlStaff=INDEX(tblStaff[Initials],5))*tlWeight*Timeline!AK$20:AK$378))</f>
        <v>0</v>
      </c>
      <c r="AH12" s="179" cm="1">
        <f t="array" ref="AH12">IF($A12="","",SUMPRODUCT((tlStaff=INDEX(tblStaff[Initials],5))*tlWeight*Timeline!AL$20:AL$378))</f>
        <v>0</v>
      </c>
      <c r="AI12" s="179" cm="1">
        <f t="array" ref="AI12">IF($A12="","",SUMPRODUCT((tlStaff=INDEX(tblStaff[Initials],5))*tlWeight*Timeline!AM$20:AM$378))</f>
        <v>0</v>
      </c>
      <c r="AJ12" s="179" cm="1">
        <f t="array" ref="AJ12">IF($A12="","",SUMPRODUCT((tlStaff=INDEX(tblStaff[Initials],5))*tlWeight*Timeline!AN$20:AN$378))</f>
        <v>0</v>
      </c>
      <c r="AK12" s="179" cm="1">
        <f t="array" ref="AK12">IF($A12="","",SUMPRODUCT((tlStaff=INDEX(tblStaff[Initials],5))*tlWeight*Timeline!AO$20:AO$378))</f>
        <v>0</v>
      </c>
      <c r="AL12" s="179" cm="1">
        <f t="array" ref="AL12">IF($A12="","",SUMPRODUCT((tlStaff=INDEX(tblStaff[Initials],5))*tlWeight*Timeline!AP$20:AP$378))</f>
        <v>0</v>
      </c>
      <c r="AM12" s="179" cm="1">
        <f t="array" ref="AM12">IF($A12="","",SUMPRODUCT((tlStaff=INDEX(tblStaff[Initials],5))*tlWeight*Timeline!AQ$20:AQ$378))</f>
        <v>0</v>
      </c>
      <c r="AN12" s="179" cm="1">
        <f t="array" ref="AN12">IF($A12="","",SUMPRODUCT((tlStaff=INDEX(tblStaff[Initials],5))*tlWeight*Timeline!AR$20:AR$378))</f>
        <v>0</v>
      </c>
      <c r="AO12" s="179" cm="1">
        <f t="array" ref="AO12">IF($A12="","",SUMPRODUCT((tlStaff=INDEX(tblStaff[Initials],5))*tlWeight*Timeline!AS$20:AS$378))</f>
        <v>0</v>
      </c>
      <c r="AP12" s="179" cm="1">
        <f t="array" ref="AP12">IF($A12="","",SUMPRODUCT((tlStaff=INDEX(tblStaff[Initials],5))*tlWeight*Timeline!AT$20:AT$378))</f>
        <v>0</v>
      </c>
      <c r="AQ12" s="179" cm="1">
        <f t="array" ref="AQ12">IF($A12="","",SUMPRODUCT((tlStaff=INDEX(tblStaff[Initials],5))*tlWeight*Timeline!AU$20:AU$378))</f>
        <v>0</v>
      </c>
      <c r="AR12" s="179" cm="1">
        <f t="array" ref="AR12">IF($A12="","",SUMPRODUCT((tlStaff=INDEX(tblStaff[Initials],5))*tlWeight*Timeline!AV$20:AV$378))</f>
        <v>0</v>
      </c>
      <c r="AS12" s="179" cm="1">
        <f t="array" ref="AS12">IF($A12="","",SUMPRODUCT((tlStaff=INDEX(tblStaff[Initials],5))*tlWeight*Timeline!AW$20:AW$378))</f>
        <v>0</v>
      </c>
      <c r="AT12" s="179" cm="1">
        <f t="array" ref="AT12">IF($A12="","",SUMPRODUCT((tlStaff=INDEX(tblStaff[Initials],5))*tlWeight*Timeline!AX$20:AX$378))</f>
        <v>0</v>
      </c>
      <c r="AU12" s="179" cm="1">
        <f t="array" ref="AU12">IF($A12="","",SUMPRODUCT((tlStaff=INDEX(tblStaff[Initials],5))*tlWeight*Timeline!AY$20:AY$378))</f>
        <v>0</v>
      </c>
      <c r="AV12" s="179" cm="1">
        <f t="array" ref="AV12">IF($A12="","",SUMPRODUCT((tlStaff=INDEX(tblStaff[Initials],5))*tlWeight*Timeline!AZ$20:AZ$378))</f>
        <v>0</v>
      </c>
      <c r="AW12" s="179" cm="1">
        <f t="array" ref="AW12">IF($A12="","",SUMPRODUCT((tlStaff=INDEX(tblStaff[Initials],5))*tlWeight*Timeline!BA$20:BA$378))</f>
        <v>0</v>
      </c>
      <c r="AX12" s="179" cm="1">
        <f t="array" ref="AX12">IF($A12="","",SUMPRODUCT((tlStaff=INDEX(tblStaff[Initials],5))*tlWeight*Timeline!BB$20:BB$378))</f>
        <v>0</v>
      </c>
      <c r="AY12" s="179" cm="1">
        <f t="array" ref="AY12">IF($A12="","",SUMPRODUCT((tlStaff=INDEX(tblStaff[Initials],5))*tlWeight*Timeline!BC$20:BC$378))</f>
        <v>0</v>
      </c>
      <c r="AZ12" s="179" cm="1">
        <f t="array" ref="AZ12">IF($A12="","",SUMPRODUCT((tlStaff=INDEX(tblStaff[Initials],5))*tlWeight*Timeline!BD$20:BD$378))</f>
        <v>0</v>
      </c>
      <c r="BA12" s="179" cm="1">
        <f t="array" ref="BA12">IF($A12="","",SUMPRODUCT((tlStaff=INDEX(tblStaff[Initials],5))*tlWeight*Timeline!BE$20:BE$378))</f>
        <v>0</v>
      </c>
      <c r="BB12" s="179" cm="1">
        <f t="array" ref="BB12">IF($A12="","",SUMPRODUCT((tlStaff=INDEX(tblStaff[Initials],5))*tlWeight*Timeline!BF$20:BF$378))</f>
        <v>0</v>
      </c>
      <c r="BC12" s="179" cm="1">
        <f t="array" ref="BC12">IF($A12="","",SUMPRODUCT((tlStaff=INDEX(tblStaff[Initials],5))*tlWeight*Timeline!BG$20:BG$378))</f>
        <v>0</v>
      </c>
    </row>
    <row r="13" spans="1:55" x14ac:dyDescent="0.25">
      <c r="A13" s="180" t="str">
        <f>IFERROR(INDEX(tblStaff[Initials],6)&amp;" · "&amp;INDEX(tblStaff[Staff Level],6),"")</f>
        <v>KD · Mid Level Designer</v>
      </c>
      <c r="B13" s="178">
        <f t="shared" si="4"/>
        <v>10.923076923076923</v>
      </c>
      <c r="C13" s="178">
        <f t="shared" si="5"/>
        <v>56</v>
      </c>
      <c r="D13" s="179" cm="1">
        <f t="array" ref="D13">IF($A13="","",SUMPRODUCT((tlStaff=INDEX(tblStaff[Initials],6))*tlWeight*Timeline!H$20:H$378))</f>
        <v>40</v>
      </c>
      <c r="E13" s="179" cm="1">
        <f t="array" ref="E13">IF($A13="","",SUMPRODUCT((tlStaff=INDEX(tblStaff[Initials],6))*tlWeight*Timeline!I$20:I$378))</f>
        <v>56</v>
      </c>
      <c r="F13" s="179" cm="1">
        <f t="array" ref="F13">IF($A13="","",SUMPRODUCT((tlStaff=INDEX(tblStaff[Initials],6))*tlWeight*Timeline!J$20:J$378))</f>
        <v>56</v>
      </c>
      <c r="G13" s="179" cm="1">
        <f t="array" ref="G13">IF($A13="","",SUMPRODUCT((tlStaff=INDEX(tblStaff[Initials],6))*tlWeight*Timeline!K$20:K$378))</f>
        <v>56</v>
      </c>
      <c r="H13" s="179" cm="1">
        <f t="array" ref="H13">IF($A13="","",SUMPRODUCT((tlStaff=INDEX(tblStaff[Initials],6))*tlWeight*Timeline!L$20:L$378))</f>
        <v>40</v>
      </c>
      <c r="I13" s="179" cm="1">
        <f t="array" ref="I13">IF($A13="","",SUMPRODUCT((tlStaff=INDEX(tblStaff[Initials],6))*tlWeight*Timeline!M$20:M$378))</f>
        <v>36</v>
      </c>
      <c r="J13" s="179" cm="1">
        <f t="array" ref="J13">IF($A13="","",SUMPRODUCT((tlStaff=INDEX(tblStaff[Initials],6))*tlWeight*Timeline!N$20:N$378))</f>
        <v>40</v>
      </c>
      <c r="K13" s="179" cm="1">
        <f t="array" ref="K13">IF($A13="","",SUMPRODUCT((tlStaff=INDEX(tblStaff[Initials],6))*tlWeight*Timeline!O$20:O$378))</f>
        <v>40</v>
      </c>
      <c r="L13" s="179" cm="1">
        <f t="array" ref="L13">IF($A13="","",SUMPRODUCT((tlStaff=INDEX(tblStaff[Initials],6))*tlWeight*Timeline!P$20:P$378))</f>
        <v>40</v>
      </c>
      <c r="M13" s="179" cm="1">
        <f t="array" ref="M13">IF($A13="","",SUMPRODUCT((tlStaff=INDEX(tblStaff[Initials],6))*tlWeight*Timeline!Q$20:Q$378))</f>
        <v>20</v>
      </c>
      <c r="N13" s="179" cm="1">
        <f t="array" ref="N13">IF($A13="","",SUMPRODUCT((tlStaff=INDEX(tblStaff[Initials],6))*tlWeight*Timeline!R$20:R$378))</f>
        <v>20</v>
      </c>
      <c r="O13" s="179" cm="1">
        <f t="array" ref="O13">IF($A13="","",SUMPRODUCT((tlStaff=INDEX(tblStaff[Initials],6))*tlWeight*Timeline!S$20:S$378))</f>
        <v>0</v>
      </c>
      <c r="P13" s="179" cm="1">
        <f t="array" ref="P13">IF($A13="","",SUMPRODUCT((tlStaff=INDEX(tblStaff[Initials],6))*tlWeight*Timeline!T$20:T$378))</f>
        <v>0</v>
      </c>
      <c r="Q13" s="179" cm="1">
        <f t="array" ref="Q13">IF($A13="","",SUMPRODUCT((tlStaff=INDEX(tblStaff[Initials],6))*tlWeight*Timeline!U$20:U$378))</f>
        <v>0</v>
      </c>
      <c r="R13" s="179" cm="1">
        <f t="array" ref="R13">IF($A13="","",SUMPRODUCT((tlStaff=INDEX(tblStaff[Initials],6))*tlWeight*Timeline!V$20:V$378))</f>
        <v>16</v>
      </c>
      <c r="S13" s="179" cm="1">
        <f t="array" ref="S13">IF($A13="","",SUMPRODUCT((tlStaff=INDEX(tblStaff[Initials],6))*tlWeight*Timeline!W$20:W$378))</f>
        <v>16</v>
      </c>
      <c r="T13" s="179" cm="1">
        <f t="array" ref="T13">IF($A13="","",SUMPRODUCT((tlStaff=INDEX(tblStaff[Initials],6))*tlWeight*Timeline!X$20:X$378))</f>
        <v>16</v>
      </c>
      <c r="U13" s="179" cm="1">
        <f t="array" ref="U13">IF($A13="","",SUMPRODUCT((tlStaff=INDEX(tblStaff[Initials],6))*tlWeight*Timeline!Y$20:Y$378))</f>
        <v>16</v>
      </c>
      <c r="V13" s="179" cm="1">
        <f t="array" ref="V13">IF($A13="","",SUMPRODUCT((tlStaff=INDEX(tblStaff[Initials],6))*tlWeight*Timeline!Z$20:Z$378))</f>
        <v>0</v>
      </c>
      <c r="W13" s="179" cm="1">
        <f t="array" ref="W13">IF($A13="","",SUMPRODUCT((tlStaff=INDEX(tblStaff[Initials],6))*tlWeight*Timeline!AA$20:AA$378))</f>
        <v>0</v>
      </c>
      <c r="X13" s="179" cm="1">
        <f t="array" ref="X13">IF($A13="","",SUMPRODUCT((tlStaff=INDEX(tblStaff[Initials],6))*tlWeight*Timeline!AB$20:AB$378))</f>
        <v>0</v>
      </c>
      <c r="Y13" s="179" cm="1">
        <f t="array" ref="Y13">IF($A13="","",SUMPRODUCT((tlStaff=INDEX(tblStaff[Initials],6))*tlWeight*Timeline!AC$20:AC$378))</f>
        <v>0</v>
      </c>
      <c r="Z13" s="179" cm="1">
        <f t="array" ref="Z13">IF($A13="","",SUMPRODUCT((tlStaff=INDEX(tblStaff[Initials],6))*tlWeight*Timeline!AD$20:AD$378))</f>
        <v>0</v>
      </c>
      <c r="AA13" s="179" cm="1">
        <f t="array" ref="AA13">IF($A13="","",SUMPRODUCT((tlStaff=INDEX(tblStaff[Initials],6))*tlWeight*Timeline!AE$20:AE$378))</f>
        <v>0</v>
      </c>
      <c r="AB13" s="179" cm="1">
        <f t="array" ref="AB13">IF($A13="","",SUMPRODUCT((tlStaff=INDEX(tblStaff[Initials],6))*tlWeight*Timeline!AF$20:AF$378))</f>
        <v>0</v>
      </c>
      <c r="AC13" s="179" cm="1">
        <f t="array" ref="AC13">IF($A13="","",SUMPRODUCT((tlStaff=INDEX(tblStaff[Initials],6))*tlWeight*Timeline!AG$20:AG$378))</f>
        <v>0</v>
      </c>
      <c r="AD13" s="179" cm="1">
        <f t="array" ref="AD13">IF($A13="","",SUMPRODUCT((tlStaff=INDEX(tblStaff[Initials],6))*tlWeight*Timeline!AH$20:AH$378))</f>
        <v>0</v>
      </c>
      <c r="AE13" s="179" cm="1">
        <f t="array" ref="AE13">IF($A13="","",SUMPRODUCT((tlStaff=INDEX(tblStaff[Initials],6))*tlWeight*Timeline!AI$20:AI$378))</f>
        <v>0</v>
      </c>
      <c r="AF13" s="179" cm="1">
        <f t="array" ref="AF13">IF($A13="","",SUMPRODUCT((tlStaff=INDEX(tblStaff[Initials],6))*tlWeight*Timeline!AJ$20:AJ$378))</f>
        <v>0</v>
      </c>
      <c r="AG13" s="179" cm="1">
        <f t="array" ref="AG13">IF($A13="","",SUMPRODUCT((tlStaff=INDEX(tblStaff[Initials],6))*tlWeight*Timeline!AK$20:AK$378))</f>
        <v>0</v>
      </c>
      <c r="AH13" s="179" cm="1">
        <f t="array" ref="AH13">IF($A13="","",SUMPRODUCT((tlStaff=INDEX(tblStaff[Initials],6))*tlWeight*Timeline!AL$20:AL$378))</f>
        <v>20</v>
      </c>
      <c r="AI13" s="179" cm="1">
        <f t="array" ref="AI13">IF($A13="","",SUMPRODUCT((tlStaff=INDEX(tblStaff[Initials],6))*tlWeight*Timeline!AM$20:AM$378))</f>
        <v>20</v>
      </c>
      <c r="AJ13" s="179" cm="1">
        <f t="array" ref="AJ13">IF($A13="","",SUMPRODUCT((tlStaff=INDEX(tblStaff[Initials],6))*tlWeight*Timeline!AN$20:AN$378))</f>
        <v>20</v>
      </c>
      <c r="AK13" s="179" cm="1">
        <f t="array" ref="AK13">IF($A13="","",SUMPRODUCT((tlStaff=INDEX(tblStaff[Initials],6))*tlWeight*Timeline!AO$20:AO$378))</f>
        <v>0</v>
      </c>
      <c r="AL13" s="179" cm="1">
        <f t="array" ref="AL13">IF($A13="","",SUMPRODUCT((tlStaff=INDEX(tblStaff[Initials],6))*tlWeight*Timeline!AP$20:AP$378))</f>
        <v>0</v>
      </c>
      <c r="AM13" s="179" cm="1">
        <f t="array" ref="AM13">IF($A13="","",SUMPRODUCT((tlStaff=INDEX(tblStaff[Initials],6))*tlWeight*Timeline!AQ$20:AQ$378))</f>
        <v>0</v>
      </c>
      <c r="AN13" s="179" cm="1">
        <f t="array" ref="AN13">IF($A13="","",SUMPRODUCT((tlStaff=INDEX(tblStaff[Initials],6))*tlWeight*Timeline!AR$20:AR$378))</f>
        <v>0</v>
      </c>
      <c r="AO13" s="179" cm="1">
        <f t="array" ref="AO13">IF($A13="","",SUMPRODUCT((tlStaff=INDEX(tblStaff[Initials],6))*tlWeight*Timeline!AS$20:AS$378))</f>
        <v>0</v>
      </c>
      <c r="AP13" s="179" cm="1">
        <f t="array" ref="AP13">IF($A13="","",SUMPRODUCT((tlStaff=INDEX(tblStaff[Initials],6))*tlWeight*Timeline!AT$20:AT$378))</f>
        <v>0</v>
      </c>
      <c r="AQ13" s="179" cm="1">
        <f t="array" ref="AQ13">IF($A13="","",SUMPRODUCT((tlStaff=INDEX(tblStaff[Initials],6))*tlWeight*Timeline!AU$20:AU$378))</f>
        <v>0</v>
      </c>
      <c r="AR13" s="179" cm="1">
        <f t="array" ref="AR13">IF($A13="","",SUMPRODUCT((tlStaff=INDEX(tblStaff[Initials],6))*tlWeight*Timeline!AV$20:AV$378))</f>
        <v>0</v>
      </c>
      <c r="AS13" s="179" cm="1">
        <f t="array" ref="AS13">IF($A13="","",SUMPRODUCT((tlStaff=INDEX(tblStaff[Initials],6))*tlWeight*Timeline!AW$20:AW$378))</f>
        <v>0</v>
      </c>
      <c r="AT13" s="179" cm="1">
        <f t="array" ref="AT13">IF($A13="","",SUMPRODUCT((tlStaff=INDEX(tblStaff[Initials],6))*tlWeight*Timeline!AX$20:AX$378))</f>
        <v>0</v>
      </c>
      <c r="AU13" s="179" cm="1">
        <f t="array" ref="AU13">IF($A13="","",SUMPRODUCT((tlStaff=INDEX(tblStaff[Initials],6))*tlWeight*Timeline!AY$20:AY$378))</f>
        <v>0</v>
      </c>
      <c r="AV13" s="179" cm="1">
        <f t="array" ref="AV13">IF($A13="","",SUMPRODUCT((tlStaff=INDEX(tblStaff[Initials],6))*tlWeight*Timeline!AZ$20:AZ$378))</f>
        <v>0</v>
      </c>
      <c r="AW13" s="179" cm="1">
        <f t="array" ref="AW13">IF($A13="","",SUMPRODUCT((tlStaff=INDEX(tblStaff[Initials],6))*tlWeight*Timeline!BA$20:BA$378))</f>
        <v>0</v>
      </c>
      <c r="AX13" s="179" cm="1">
        <f t="array" ref="AX13">IF($A13="","",SUMPRODUCT((tlStaff=INDEX(tblStaff[Initials],6))*tlWeight*Timeline!BB$20:BB$378))</f>
        <v>0</v>
      </c>
      <c r="AY13" s="179" cm="1">
        <f t="array" ref="AY13">IF($A13="","",SUMPRODUCT((tlStaff=INDEX(tblStaff[Initials],6))*tlWeight*Timeline!BC$20:BC$378))</f>
        <v>0</v>
      </c>
      <c r="AZ13" s="179" cm="1">
        <f t="array" ref="AZ13">IF($A13="","",SUMPRODUCT((tlStaff=INDEX(tblStaff[Initials],6))*tlWeight*Timeline!BD$20:BD$378))</f>
        <v>0</v>
      </c>
      <c r="BA13" s="179" cm="1">
        <f t="array" ref="BA13">IF($A13="","",SUMPRODUCT((tlStaff=INDEX(tblStaff[Initials],6))*tlWeight*Timeline!BE$20:BE$378))</f>
        <v>0</v>
      </c>
      <c r="BB13" s="179" cm="1">
        <f t="array" ref="BB13">IF($A13="","",SUMPRODUCT((tlStaff=INDEX(tblStaff[Initials],6))*tlWeight*Timeline!BF$20:BF$378))</f>
        <v>0</v>
      </c>
      <c r="BC13" s="179" cm="1">
        <f t="array" ref="BC13">IF($A13="","",SUMPRODUCT((tlStaff=INDEX(tblStaff[Initials],6))*tlWeight*Timeline!BG$20:BG$378))</f>
        <v>0</v>
      </c>
    </row>
    <row r="14" spans="1:55" x14ac:dyDescent="0.25">
      <c r="A14" s="180" t="str">
        <f>IFERROR(INDEX(tblStaff[Initials],7)&amp;" · "&amp;INDEX(tblStaff[Staff Level],7),"")</f>
        <v>XX · Project Designer</v>
      </c>
      <c r="B14" s="178">
        <f t="shared" si="4"/>
        <v>15.192307692307692</v>
      </c>
      <c r="C14" s="178">
        <f t="shared" si="5"/>
        <v>60</v>
      </c>
      <c r="D14" s="179" cm="1">
        <f t="array" ref="D14">IF($A14="","",SUMPRODUCT((tlStaff=INDEX(tblStaff[Initials],7))*tlWeight*Timeline!H$20:H$378))</f>
        <v>38</v>
      </c>
      <c r="E14" s="179" cm="1">
        <f t="array" ref="E14">IF($A14="","",SUMPRODUCT((tlStaff=INDEX(tblStaff[Initials],7))*tlWeight*Timeline!I$20:I$378))</f>
        <v>38</v>
      </c>
      <c r="F14" s="179" cm="1">
        <f t="array" ref="F14">IF($A14="","",SUMPRODUCT((tlStaff=INDEX(tblStaff[Initials],7))*tlWeight*Timeline!J$20:J$378))</f>
        <v>46</v>
      </c>
      <c r="G14" s="179" cm="1">
        <f t="array" ref="G14">IF($A14="","",SUMPRODUCT((tlStaff=INDEX(tblStaff[Initials],7))*tlWeight*Timeline!K$20:K$378))</f>
        <v>46</v>
      </c>
      <c r="H14" s="179" cm="1">
        <f t="array" ref="H14">IF($A14="","",SUMPRODUCT((tlStaff=INDEX(tblStaff[Initials],7))*tlWeight*Timeline!L$20:L$378))</f>
        <v>38</v>
      </c>
      <c r="I14" s="179" cm="1">
        <f t="array" ref="I14">IF($A14="","",SUMPRODUCT((tlStaff=INDEX(tblStaff[Initials],7))*tlWeight*Timeline!M$20:M$378))</f>
        <v>38</v>
      </c>
      <c r="J14" s="179" cm="1">
        <f t="array" ref="J14">IF($A14="","",SUMPRODUCT((tlStaff=INDEX(tblStaff[Initials],7))*tlWeight*Timeline!N$20:N$378))</f>
        <v>38</v>
      </c>
      <c r="K14" s="179" cm="1">
        <f t="array" ref="K14">IF($A14="","",SUMPRODUCT((tlStaff=INDEX(tblStaff[Initials],7))*tlWeight*Timeline!O$20:O$378))</f>
        <v>56</v>
      </c>
      <c r="L14" s="179" cm="1">
        <f t="array" ref="L14">IF($A14="","",SUMPRODUCT((tlStaff=INDEX(tblStaff[Initials],7))*tlWeight*Timeline!P$20:P$378))</f>
        <v>56</v>
      </c>
      <c r="M14" s="179" cm="1">
        <f t="array" ref="M14">IF($A14="","",SUMPRODUCT((tlStaff=INDEX(tblStaff[Initials],7))*tlWeight*Timeline!Q$20:Q$378))</f>
        <v>40</v>
      </c>
      <c r="N14" s="179" cm="1">
        <f t="array" ref="N14">IF($A14="","",SUMPRODUCT((tlStaff=INDEX(tblStaff[Initials],7))*tlWeight*Timeline!R$20:R$378))</f>
        <v>40</v>
      </c>
      <c r="O14" s="179" cm="1">
        <f t="array" ref="O14">IF($A14="","",SUMPRODUCT((tlStaff=INDEX(tblStaff[Initials],7))*tlWeight*Timeline!S$20:S$378))</f>
        <v>44</v>
      </c>
      <c r="P14" s="179" cm="1">
        <f t="array" ref="P14">IF($A14="","",SUMPRODUCT((tlStaff=INDEX(tblStaff[Initials],7))*tlWeight*Timeline!T$20:T$378))</f>
        <v>40</v>
      </c>
      <c r="Q14" s="179" cm="1">
        <f t="array" ref="Q14">IF($A14="","",SUMPRODUCT((tlStaff=INDEX(tblStaff[Initials],7))*tlWeight*Timeline!U$20:U$378))</f>
        <v>40</v>
      </c>
      <c r="R14" s="179" cm="1">
        <f t="array" ref="R14">IF($A14="","",SUMPRODUCT((tlStaff=INDEX(tblStaff[Initials],7))*tlWeight*Timeline!V$20:V$378))</f>
        <v>48</v>
      </c>
      <c r="S14" s="179" cm="1">
        <f t="array" ref="S14">IF($A14="","",SUMPRODUCT((tlStaff=INDEX(tblStaff[Initials],7))*tlWeight*Timeline!W$20:W$378))</f>
        <v>60</v>
      </c>
      <c r="T14" s="179" cm="1">
        <f t="array" ref="T14">IF($A14="","",SUMPRODUCT((tlStaff=INDEX(tblStaff[Initials],7))*tlWeight*Timeline!X$20:X$378))</f>
        <v>60</v>
      </c>
      <c r="U14" s="179" cm="1">
        <f t="array" ref="U14">IF($A14="","",SUMPRODUCT((tlStaff=INDEX(tblStaff[Initials],7))*tlWeight*Timeline!Y$20:Y$378))</f>
        <v>20</v>
      </c>
      <c r="V14" s="179" cm="1">
        <f t="array" ref="V14">IF($A14="","",SUMPRODUCT((tlStaff=INDEX(tblStaff[Initials],7))*tlWeight*Timeline!Z$20:Z$378))</f>
        <v>0</v>
      </c>
      <c r="W14" s="179" cm="1">
        <f t="array" ref="W14">IF($A14="","",SUMPRODUCT((tlStaff=INDEX(tblStaff[Initials],7))*tlWeight*Timeline!AA$20:AA$378))</f>
        <v>0</v>
      </c>
      <c r="X14" s="179" cm="1">
        <f t="array" ref="X14">IF($A14="","",SUMPRODUCT((tlStaff=INDEX(tblStaff[Initials],7))*tlWeight*Timeline!AB$20:AB$378))</f>
        <v>0</v>
      </c>
      <c r="Y14" s="179" cm="1">
        <f t="array" ref="Y14">IF($A14="","",SUMPRODUCT((tlStaff=INDEX(tblStaff[Initials],7))*tlWeight*Timeline!AC$20:AC$378))</f>
        <v>0</v>
      </c>
      <c r="Z14" s="179" cm="1">
        <f t="array" ref="Z14">IF($A14="","",SUMPRODUCT((tlStaff=INDEX(tblStaff[Initials],7))*tlWeight*Timeline!AD$20:AD$378))</f>
        <v>0</v>
      </c>
      <c r="AA14" s="179" cm="1">
        <f t="array" ref="AA14">IF($A14="","",SUMPRODUCT((tlStaff=INDEX(tblStaff[Initials],7))*tlWeight*Timeline!AE$20:AE$378))</f>
        <v>0</v>
      </c>
      <c r="AB14" s="179" cm="1">
        <f t="array" ref="AB14">IF($A14="","",SUMPRODUCT((tlStaff=INDEX(tblStaff[Initials],7))*tlWeight*Timeline!AF$20:AF$378))</f>
        <v>0</v>
      </c>
      <c r="AC14" s="179" cm="1">
        <f t="array" ref="AC14">IF($A14="","",SUMPRODUCT((tlStaff=INDEX(tblStaff[Initials],7))*tlWeight*Timeline!AG$20:AG$378))</f>
        <v>0</v>
      </c>
      <c r="AD14" s="179" cm="1">
        <f t="array" ref="AD14">IF($A14="","",SUMPRODUCT((tlStaff=INDEX(tblStaff[Initials],7))*tlWeight*Timeline!AH$20:AH$378))</f>
        <v>0</v>
      </c>
      <c r="AE14" s="179" cm="1">
        <f t="array" ref="AE14">IF($A14="","",SUMPRODUCT((tlStaff=INDEX(tblStaff[Initials],7))*tlWeight*Timeline!AI$20:AI$378))</f>
        <v>0</v>
      </c>
      <c r="AF14" s="179" cm="1">
        <f t="array" ref="AF14">IF($A14="","",SUMPRODUCT((tlStaff=INDEX(tblStaff[Initials],7))*tlWeight*Timeline!AJ$20:AJ$378))</f>
        <v>0</v>
      </c>
      <c r="AG14" s="179" cm="1">
        <f t="array" ref="AG14">IF($A14="","",SUMPRODUCT((tlStaff=INDEX(tblStaff[Initials],7))*tlWeight*Timeline!AK$20:AK$378))</f>
        <v>0</v>
      </c>
      <c r="AH14" s="179" cm="1">
        <f t="array" ref="AH14">IF($A14="","",SUMPRODUCT((tlStaff=INDEX(tblStaff[Initials],7))*tlWeight*Timeline!AL$20:AL$378))</f>
        <v>4</v>
      </c>
      <c r="AI14" s="179" cm="1">
        <f t="array" ref="AI14">IF($A14="","",SUMPRODUCT((tlStaff=INDEX(tblStaff[Initials],7))*tlWeight*Timeline!AM$20:AM$378))</f>
        <v>0</v>
      </c>
      <c r="AJ14" s="179" cm="1">
        <f t="array" ref="AJ14">IF($A14="","",SUMPRODUCT((tlStaff=INDEX(tblStaff[Initials],7))*tlWeight*Timeline!AN$20:AN$378))</f>
        <v>0</v>
      </c>
      <c r="AK14" s="179" cm="1">
        <f t="array" ref="AK14">IF($A14="","",SUMPRODUCT((tlStaff=INDEX(tblStaff[Initials],7))*tlWeight*Timeline!AO$20:AO$378))</f>
        <v>0</v>
      </c>
      <c r="AL14" s="179" cm="1">
        <f t="array" ref="AL14">IF($A14="","",SUMPRODUCT((tlStaff=INDEX(tblStaff[Initials],7))*tlWeight*Timeline!AP$20:AP$378))</f>
        <v>0</v>
      </c>
      <c r="AM14" s="179" cm="1">
        <f t="array" ref="AM14">IF($A14="","",SUMPRODUCT((tlStaff=INDEX(tblStaff[Initials],7))*tlWeight*Timeline!AQ$20:AQ$378))</f>
        <v>0</v>
      </c>
      <c r="AN14" s="179" cm="1">
        <f t="array" ref="AN14">IF($A14="","",SUMPRODUCT((tlStaff=INDEX(tblStaff[Initials],7))*tlWeight*Timeline!AR$20:AR$378))</f>
        <v>0</v>
      </c>
      <c r="AO14" s="179" cm="1">
        <f t="array" ref="AO14">IF($A14="","",SUMPRODUCT((tlStaff=INDEX(tblStaff[Initials],7))*tlWeight*Timeline!AS$20:AS$378))</f>
        <v>0</v>
      </c>
      <c r="AP14" s="179" cm="1">
        <f t="array" ref="AP14">IF($A14="","",SUMPRODUCT((tlStaff=INDEX(tblStaff[Initials],7))*tlWeight*Timeline!AT$20:AT$378))</f>
        <v>0</v>
      </c>
      <c r="AQ14" s="179" cm="1">
        <f t="array" ref="AQ14">IF($A14="","",SUMPRODUCT((tlStaff=INDEX(tblStaff[Initials],7))*tlWeight*Timeline!AU$20:AU$378))</f>
        <v>0</v>
      </c>
      <c r="AR14" s="179" cm="1">
        <f t="array" ref="AR14">IF($A14="","",SUMPRODUCT((tlStaff=INDEX(tblStaff[Initials],7))*tlWeight*Timeline!AV$20:AV$378))</f>
        <v>0</v>
      </c>
      <c r="AS14" s="179" cm="1">
        <f t="array" ref="AS14">IF($A14="","",SUMPRODUCT((tlStaff=INDEX(tblStaff[Initials],7))*tlWeight*Timeline!AW$20:AW$378))</f>
        <v>0</v>
      </c>
      <c r="AT14" s="179" cm="1">
        <f t="array" ref="AT14">IF($A14="","",SUMPRODUCT((tlStaff=INDEX(tblStaff[Initials],7))*tlWeight*Timeline!AX$20:AX$378))</f>
        <v>0</v>
      </c>
      <c r="AU14" s="179" cm="1">
        <f t="array" ref="AU14">IF($A14="","",SUMPRODUCT((tlStaff=INDEX(tblStaff[Initials],7))*tlWeight*Timeline!AY$20:AY$378))</f>
        <v>0</v>
      </c>
      <c r="AV14" s="179" cm="1">
        <f t="array" ref="AV14">IF($A14="","",SUMPRODUCT((tlStaff=INDEX(tblStaff[Initials],7))*tlWeight*Timeline!AZ$20:AZ$378))</f>
        <v>0</v>
      </c>
      <c r="AW14" s="179" cm="1">
        <f t="array" ref="AW14">IF($A14="","",SUMPRODUCT((tlStaff=INDEX(tblStaff[Initials],7))*tlWeight*Timeline!BA$20:BA$378))</f>
        <v>0</v>
      </c>
      <c r="AX14" s="179" cm="1">
        <f t="array" ref="AX14">IF($A14="","",SUMPRODUCT((tlStaff=INDEX(tblStaff[Initials],7))*tlWeight*Timeline!BB$20:BB$378))</f>
        <v>0</v>
      </c>
      <c r="AY14" s="179" cm="1">
        <f t="array" ref="AY14">IF($A14="","",SUMPRODUCT((tlStaff=INDEX(tblStaff[Initials],7))*tlWeight*Timeline!BC$20:BC$378))</f>
        <v>0</v>
      </c>
      <c r="AZ14" s="179" cm="1">
        <f t="array" ref="AZ14">IF($A14="","",SUMPRODUCT((tlStaff=INDEX(tblStaff[Initials],7))*tlWeight*Timeline!BD$20:BD$378))</f>
        <v>0</v>
      </c>
      <c r="BA14" s="179" cm="1">
        <f t="array" ref="BA14">IF($A14="","",SUMPRODUCT((tlStaff=INDEX(tblStaff[Initials],7))*tlWeight*Timeline!BE$20:BE$378))</f>
        <v>0</v>
      </c>
      <c r="BB14" s="179" cm="1">
        <f t="array" ref="BB14">IF($A14="","",SUMPRODUCT((tlStaff=INDEX(tblStaff[Initials],7))*tlWeight*Timeline!BF$20:BF$378))</f>
        <v>0</v>
      </c>
      <c r="BC14" s="179" cm="1">
        <f t="array" ref="BC14">IF($A14="","",SUMPRODUCT((tlStaff=INDEX(tblStaff[Initials],7))*tlWeight*Timeline!BG$20:BG$378))</f>
        <v>0</v>
      </c>
    </row>
    <row r="15" spans="1:55" x14ac:dyDescent="0.25">
      <c r="A15" s="180" t="str">
        <f>IFERROR(INDEX(tblStaff[Initials],8)&amp;" · "&amp;INDEX(tblStaff[Staff Level],8),"")</f>
        <v/>
      </c>
      <c r="B15" s="178" t="str">
        <f t="shared" si="4"/>
        <v/>
      </c>
      <c r="C15" s="178" t="str">
        <f t="shared" si="5"/>
        <v/>
      </c>
      <c r="D15" s="179" t="str" cm="1">
        <f t="array" ref="D15">IF($A15="","",SUMPRODUCT((tlStaff=INDEX(tblStaff[Initials],8))*tlWeight*Timeline!H$20:H$378))</f>
        <v/>
      </c>
      <c r="E15" s="179" t="str" cm="1">
        <f t="array" ref="E15">IF($A15="","",SUMPRODUCT((tlStaff=INDEX(tblStaff[Initials],8))*tlWeight*Timeline!I$20:I$378))</f>
        <v/>
      </c>
      <c r="F15" s="179" t="str" cm="1">
        <f t="array" ref="F15">IF($A15="","",SUMPRODUCT((tlStaff=INDEX(tblStaff[Initials],8))*tlWeight*Timeline!J$20:J$378))</f>
        <v/>
      </c>
      <c r="G15" s="179" t="str" cm="1">
        <f t="array" ref="G15">IF($A15="","",SUMPRODUCT((tlStaff=INDEX(tblStaff[Initials],8))*tlWeight*Timeline!K$20:K$378))</f>
        <v/>
      </c>
      <c r="H15" s="179" t="str" cm="1">
        <f t="array" ref="H15">IF($A15="","",SUMPRODUCT((tlStaff=INDEX(tblStaff[Initials],8))*tlWeight*Timeline!L$20:L$378))</f>
        <v/>
      </c>
      <c r="I15" s="179" t="str" cm="1">
        <f t="array" ref="I15">IF($A15="","",SUMPRODUCT((tlStaff=INDEX(tblStaff[Initials],8))*tlWeight*Timeline!M$20:M$378))</f>
        <v/>
      </c>
      <c r="J15" s="179" t="str" cm="1">
        <f t="array" ref="J15">IF($A15="","",SUMPRODUCT((tlStaff=INDEX(tblStaff[Initials],8))*tlWeight*Timeline!N$20:N$378))</f>
        <v/>
      </c>
      <c r="K15" s="179" t="str" cm="1">
        <f t="array" ref="K15">IF($A15="","",SUMPRODUCT((tlStaff=INDEX(tblStaff[Initials],8))*tlWeight*Timeline!O$20:O$378))</f>
        <v/>
      </c>
      <c r="L15" s="179" t="str" cm="1">
        <f t="array" ref="L15">IF($A15="","",SUMPRODUCT((tlStaff=INDEX(tblStaff[Initials],8))*tlWeight*Timeline!P$20:P$378))</f>
        <v/>
      </c>
      <c r="M15" s="179" t="str" cm="1">
        <f t="array" ref="M15">IF($A15="","",SUMPRODUCT((tlStaff=INDEX(tblStaff[Initials],8))*tlWeight*Timeline!Q$20:Q$378))</f>
        <v/>
      </c>
      <c r="N15" s="179" t="str" cm="1">
        <f t="array" ref="N15">IF($A15="","",SUMPRODUCT((tlStaff=INDEX(tblStaff[Initials],8))*tlWeight*Timeline!R$20:R$378))</f>
        <v/>
      </c>
      <c r="O15" s="179" t="str" cm="1">
        <f t="array" ref="O15">IF($A15="","",SUMPRODUCT((tlStaff=INDEX(tblStaff[Initials],8))*tlWeight*Timeline!S$20:S$378))</f>
        <v/>
      </c>
      <c r="P15" s="179" t="str" cm="1">
        <f t="array" ref="P15">IF($A15="","",SUMPRODUCT((tlStaff=INDEX(tblStaff[Initials],8))*tlWeight*Timeline!T$20:T$378))</f>
        <v/>
      </c>
      <c r="Q15" s="179" t="str" cm="1">
        <f t="array" ref="Q15">IF($A15="","",SUMPRODUCT((tlStaff=INDEX(tblStaff[Initials],8))*tlWeight*Timeline!U$20:U$378))</f>
        <v/>
      </c>
      <c r="R15" s="179" t="str" cm="1">
        <f t="array" ref="R15">IF($A15="","",SUMPRODUCT((tlStaff=INDEX(tblStaff[Initials],8))*tlWeight*Timeline!V$20:V$378))</f>
        <v/>
      </c>
      <c r="S15" s="179" t="str" cm="1">
        <f t="array" ref="S15">IF($A15="","",SUMPRODUCT((tlStaff=INDEX(tblStaff[Initials],8))*tlWeight*Timeline!W$20:W$378))</f>
        <v/>
      </c>
      <c r="T15" s="179" t="str" cm="1">
        <f t="array" ref="T15">IF($A15="","",SUMPRODUCT((tlStaff=INDEX(tblStaff[Initials],8))*tlWeight*Timeline!X$20:X$378))</f>
        <v/>
      </c>
      <c r="U15" s="179" t="str" cm="1">
        <f t="array" ref="U15">IF($A15="","",SUMPRODUCT((tlStaff=INDEX(tblStaff[Initials],8))*tlWeight*Timeline!Y$20:Y$378))</f>
        <v/>
      </c>
      <c r="V15" s="179" t="str" cm="1">
        <f t="array" ref="V15">IF($A15="","",SUMPRODUCT((tlStaff=INDEX(tblStaff[Initials],8))*tlWeight*Timeline!Z$20:Z$378))</f>
        <v/>
      </c>
      <c r="W15" s="179" t="str" cm="1">
        <f t="array" ref="W15">IF($A15="","",SUMPRODUCT((tlStaff=INDEX(tblStaff[Initials],8))*tlWeight*Timeline!AA$20:AA$378))</f>
        <v/>
      </c>
      <c r="X15" s="179" t="str" cm="1">
        <f t="array" ref="X15">IF($A15="","",SUMPRODUCT((tlStaff=INDEX(tblStaff[Initials],8))*tlWeight*Timeline!AB$20:AB$378))</f>
        <v/>
      </c>
      <c r="Y15" s="179" t="str" cm="1">
        <f t="array" ref="Y15">IF($A15="","",SUMPRODUCT((tlStaff=INDEX(tblStaff[Initials],8))*tlWeight*Timeline!AC$20:AC$378))</f>
        <v/>
      </c>
      <c r="Z15" s="179" t="str" cm="1">
        <f t="array" ref="Z15">IF($A15="","",SUMPRODUCT((tlStaff=INDEX(tblStaff[Initials],8))*tlWeight*Timeline!AD$20:AD$378))</f>
        <v/>
      </c>
      <c r="AA15" s="179" t="str" cm="1">
        <f t="array" ref="AA15">IF($A15="","",SUMPRODUCT((tlStaff=INDEX(tblStaff[Initials],8))*tlWeight*Timeline!AE$20:AE$378))</f>
        <v/>
      </c>
      <c r="AB15" s="179" t="str" cm="1">
        <f t="array" ref="AB15">IF($A15="","",SUMPRODUCT((tlStaff=INDEX(tblStaff[Initials],8))*tlWeight*Timeline!AF$20:AF$378))</f>
        <v/>
      </c>
      <c r="AC15" s="179" t="str" cm="1">
        <f t="array" ref="AC15">IF($A15="","",SUMPRODUCT((tlStaff=INDEX(tblStaff[Initials],8))*tlWeight*Timeline!AG$20:AG$378))</f>
        <v/>
      </c>
      <c r="AD15" s="179" t="str" cm="1">
        <f t="array" ref="AD15">IF($A15="","",SUMPRODUCT((tlStaff=INDEX(tblStaff[Initials],8))*tlWeight*Timeline!AH$20:AH$378))</f>
        <v/>
      </c>
      <c r="AE15" s="179" t="str" cm="1">
        <f t="array" ref="AE15">IF($A15="","",SUMPRODUCT((tlStaff=INDEX(tblStaff[Initials],8))*tlWeight*Timeline!AI$20:AI$378))</f>
        <v/>
      </c>
      <c r="AF15" s="179" t="str" cm="1">
        <f t="array" ref="AF15">IF($A15="","",SUMPRODUCT((tlStaff=INDEX(tblStaff[Initials],8))*tlWeight*Timeline!AJ$20:AJ$378))</f>
        <v/>
      </c>
      <c r="AG15" s="179" t="str" cm="1">
        <f t="array" ref="AG15">IF($A15="","",SUMPRODUCT((tlStaff=INDEX(tblStaff[Initials],8))*tlWeight*Timeline!AK$20:AK$378))</f>
        <v/>
      </c>
      <c r="AH15" s="179" t="str" cm="1">
        <f t="array" ref="AH15">IF($A15="","",SUMPRODUCT((tlStaff=INDEX(tblStaff[Initials],8))*tlWeight*Timeline!AL$20:AL$378))</f>
        <v/>
      </c>
      <c r="AI15" s="179" t="str" cm="1">
        <f t="array" ref="AI15">IF($A15="","",SUMPRODUCT((tlStaff=INDEX(tblStaff[Initials],8))*tlWeight*Timeline!AM$20:AM$378))</f>
        <v/>
      </c>
      <c r="AJ15" s="179" t="str" cm="1">
        <f t="array" ref="AJ15">IF($A15="","",SUMPRODUCT((tlStaff=INDEX(tblStaff[Initials],8))*tlWeight*Timeline!AN$20:AN$378))</f>
        <v/>
      </c>
      <c r="AK15" s="179" t="str" cm="1">
        <f t="array" ref="AK15">IF($A15="","",SUMPRODUCT((tlStaff=INDEX(tblStaff[Initials],8))*tlWeight*Timeline!AO$20:AO$378))</f>
        <v/>
      </c>
      <c r="AL15" s="179" t="str" cm="1">
        <f t="array" ref="AL15">IF($A15="","",SUMPRODUCT((tlStaff=INDEX(tblStaff[Initials],8))*tlWeight*Timeline!AP$20:AP$378))</f>
        <v/>
      </c>
      <c r="AM15" s="179" t="str" cm="1">
        <f t="array" ref="AM15">IF($A15="","",SUMPRODUCT((tlStaff=INDEX(tblStaff[Initials],8))*tlWeight*Timeline!AQ$20:AQ$378))</f>
        <v/>
      </c>
      <c r="AN15" s="179" t="str" cm="1">
        <f t="array" ref="AN15">IF($A15="","",SUMPRODUCT((tlStaff=INDEX(tblStaff[Initials],8))*tlWeight*Timeline!AR$20:AR$378))</f>
        <v/>
      </c>
      <c r="AO15" s="179" t="str" cm="1">
        <f t="array" ref="AO15">IF($A15="","",SUMPRODUCT((tlStaff=INDEX(tblStaff[Initials],8))*tlWeight*Timeline!AS$20:AS$378))</f>
        <v/>
      </c>
      <c r="AP15" s="179" t="str" cm="1">
        <f t="array" ref="AP15">IF($A15="","",SUMPRODUCT((tlStaff=INDEX(tblStaff[Initials],8))*tlWeight*Timeline!AT$20:AT$378))</f>
        <v/>
      </c>
      <c r="AQ15" s="179" t="str" cm="1">
        <f t="array" ref="AQ15">IF($A15="","",SUMPRODUCT((tlStaff=INDEX(tblStaff[Initials],8))*tlWeight*Timeline!AU$20:AU$378))</f>
        <v/>
      </c>
      <c r="AR15" s="179" t="str" cm="1">
        <f t="array" ref="AR15">IF($A15="","",SUMPRODUCT((tlStaff=INDEX(tblStaff[Initials],8))*tlWeight*Timeline!AV$20:AV$378))</f>
        <v/>
      </c>
      <c r="AS15" s="179" t="str" cm="1">
        <f t="array" ref="AS15">IF($A15="","",SUMPRODUCT((tlStaff=INDEX(tblStaff[Initials],8))*tlWeight*Timeline!AW$20:AW$378))</f>
        <v/>
      </c>
      <c r="AT15" s="179" t="str" cm="1">
        <f t="array" ref="AT15">IF($A15="","",SUMPRODUCT((tlStaff=INDEX(tblStaff[Initials],8))*tlWeight*Timeline!AX$20:AX$378))</f>
        <v/>
      </c>
      <c r="AU15" s="179" t="str" cm="1">
        <f t="array" ref="AU15">IF($A15="","",SUMPRODUCT((tlStaff=INDEX(tblStaff[Initials],8))*tlWeight*Timeline!AY$20:AY$378))</f>
        <v/>
      </c>
      <c r="AV15" s="179" t="str" cm="1">
        <f t="array" ref="AV15">IF($A15="","",SUMPRODUCT((tlStaff=INDEX(tblStaff[Initials],8))*tlWeight*Timeline!AZ$20:AZ$378))</f>
        <v/>
      </c>
      <c r="AW15" s="179" t="str" cm="1">
        <f t="array" ref="AW15">IF($A15="","",SUMPRODUCT((tlStaff=INDEX(tblStaff[Initials],8))*tlWeight*Timeline!BA$20:BA$378))</f>
        <v/>
      </c>
      <c r="AX15" s="179" t="str" cm="1">
        <f t="array" ref="AX15">IF($A15="","",SUMPRODUCT((tlStaff=INDEX(tblStaff[Initials],8))*tlWeight*Timeline!BB$20:BB$378))</f>
        <v/>
      </c>
      <c r="AY15" s="179" t="str" cm="1">
        <f t="array" ref="AY15">IF($A15="","",SUMPRODUCT((tlStaff=INDEX(tblStaff[Initials],8))*tlWeight*Timeline!BC$20:BC$378))</f>
        <v/>
      </c>
      <c r="AZ15" s="179" t="str" cm="1">
        <f t="array" ref="AZ15">IF($A15="","",SUMPRODUCT((tlStaff=INDEX(tblStaff[Initials],8))*tlWeight*Timeline!BD$20:BD$378))</f>
        <v/>
      </c>
      <c r="BA15" s="179" t="str" cm="1">
        <f t="array" ref="BA15">IF($A15="","",SUMPRODUCT((tlStaff=INDEX(tblStaff[Initials],8))*tlWeight*Timeline!BE$20:BE$378))</f>
        <v/>
      </c>
      <c r="BB15" s="179" t="str" cm="1">
        <f t="array" ref="BB15">IF($A15="","",SUMPRODUCT((tlStaff=INDEX(tblStaff[Initials],8))*tlWeight*Timeline!BF$20:BF$378))</f>
        <v/>
      </c>
      <c r="BC15" s="179" t="str" cm="1">
        <f t="array" ref="BC15">IF($A15="","",SUMPRODUCT((tlStaff=INDEX(tblStaff[Initials],8))*tlWeight*Timeline!BG$20:BG$378))</f>
        <v/>
      </c>
    </row>
    <row r="16" spans="1:55" x14ac:dyDescent="0.25">
      <c r="A16" s="180" t="str">
        <f>IFERROR(INDEX(tblStaff[Initials],9)&amp;" · "&amp;INDEX(tblStaff[Staff Level],9),"")</f>
        <v/>
      </c>
      <c r="B16" s="178" t="str">
        <f t="shared" si="4"/>
        <v/>
      </c>
      <c r="C16" s="178" t="str">
        <f t="shared" si="5"/>
        <v/>
      </c>
      <c r="D16" s="179" t="str" cm="1">
        <f t="array" ref="D16">IF($A16="","",SUMPRODUCT((tlStaff=INDEX(tblStaff[Initials],9))*tlWeight*Timeline!H$20:H$378))</f>
        <v/>
      </c>
      <c r="E16" s="179" t="str" cm="1">
        <f t="array" ref="E16">IF($A16="","",SUMPRODUCT((tlStaff=INDEX(tblStaff[Initials],9))*tlWeight*Timeline!I$20:I$378))</f>
        <v/>
      </c>
      <c r="F16" s="179" t="str" cm="1">
        <f t="array" ref="F16">IF($A16="","",SUMPRODUCT((tlStaff=INDEX(tblStaff[Initials],9))*tlWeight*Timeline!J$20:J$378))</f>
        <v/>
      </c>
      <c r="G16" s="179" t="str" cm="1">
        <f t="array" ref="G16">IF($A16="","",SUMPRODUCT((tlStaff=INDEX(tblStaff[Initials],9))*tlWeight*Timeline!K$20:K$378))</f>
        <v/>
      </c>
      <c r="H16" s="179" t="str" cm="1">
        <f t="array" ref="H16">IF($A16="","",SUMPRODUCT((tlStaff=INDEX(tblStaff[Initials],9))*tlWeight*Timeline!L$20:L$378))</f>
        <v/>
      </c>
      <c r="I16" s="179" t="str" cm="1">
        <f t="array" ref="I16">IF($A16="","",SUMPRODUCT((tlStaff=INDEX(tblStaff[Initials],9))*tlWeight*Timeline!M$20:M$378))</f>
        <v/>
      </c>
      <c r="J16" s="179" t="str" cm="1">
        <f t="array" ref="J16">IF($A16="","",SUMPRODUCT((tlStaff=INDEX(tblStaff[Initials],9))*tlWeight*Timeline!N$20:N$378))</f>
        <v/>
      </c>
      <c r="K16" s="179" t="str" cm="1">
        <f t="array" ref="K16">IF($A16="","",SUMPRODUCT((tlStaff=INDEX(tblStaff[Initials],9))*tlWeight*Timeline!O$20:O$378))</f>
        <v/>
      </c>
      <c r="L16" s="179" t="str" cm="1">
        <f t="array" ref="L16">IF($A16="","",SUMPRODUCT((tlStaff=INDEX(tblStaff[Initials],9))*tlWeight*Timeline!P$20:P$378))</f>
        <v/>
      </c>
      <c r="M16" s="179" t="str" cm="1">
        <f t="array" ref="M16">IF($A16="","",SUMPRODUCT((tlStaff=INDEX(tblStaff[Initials],9))*tlWeight*Timeline!Q$20:Q$378))</f>
        <v/>
      </c>
      <c r="N16" s="179" t="str" cm="1">
        <f t="array" ref="N16">IF($A16="","",SUMPRODUCT((tlStaff=INDEX(tblStaff[Initials],9))*tlWeight*Timeline!R$20:R$378))</f>
        <v/>
      </c>
      <c r="O16" s="179" t="str" cm="1">
        <f t="array" ref="O16">IF($A16="","",SUMPRODUCT((tlStaff=INDEX(tblStaff[Initials],9))*tlWeight*Timeline!S$20:S$378))</f>
        <v/>
      </c>
      <c r="P16" s="179" t="str" cm="1">
        <f t="array" ref="P16">IF($A16="","",SUMPRODUCT((tlStaff=INDEX(tblStaff[Initials],9))*tlWeight*Timeline!T$20:T$378))</f>
        <v/>
      </c>
      <c r="Q16" s="179" t="str" cm="1">
        <f t="array" ref="Q16">IF($A16="","",SUMPRODUCT((tlStaff=INDEX(tblStaff[Initials],9))*tlWeight*Timeline!U$20:U$378))</f>
        <v/>
      </c>
      <c r="R16" s="179" t="str" cm="1">
        <f t="array" ref="R16">IF($A16="","",SUMPRODUCT((tlStaff=INDEX(tblStaff[Initials],9))*tlWeight*Timeline!V$20:V$378))</f>
        <v/>
      </c>
      <c r="S16" s="179" t="str" cm="1">
        <f t="array" ref="S16">IF($A16="","",SUMPRODUCT((tlStaff=INDEX(tblStaff[Initials],9))*tlWeight*Timeline!W$20:W$378))</f>
        <v/>
      </c>
      <c r="T16" s="179" t="str" cm="1">
        <f t="array" ref="T16">IF($A16="","",SUMPRODUCT((tlStaff=INDEX(tblStaff[Initials],9))*tlWeight*Timeline!X$20:X$378))</f>
        <v/>
      </c>
      <c r="U16" s="179" t="str" cm="1">
        <f t="array" ref="U16">IF($A16="","",SUMPRODUCT((tlStaff=INDEX(tblStaff[Initials],9))*tlWeight*Timeline!Y$20:Y$378))</f>
        <v/>
      </c>
      <c r="V16" s="179" t="str" cm="1">
        <f t="array" ref="V16">IF($A16="","",SUMPRODUCT((tlStaff=INDEX(tblStaff[Initials],9))*tlWeight*Timeline!Z$20:Z$378))</f>
        <v/>
      </c>
      <c r="W16" s="179" t="str" cm="1">
        <f t="array" ref="W16">IF($A16="","",SUMPRODUCT((tlStaff=INDEX(tblStaff[Initials],9))*tlWeight*Timeline!AA$20:AA$378))</f>
        <v/>
      </c>
      <c r="X16" s="179" t="str" cm="1">
        <f t="array" ref="X16">IF($A16="","",SUMPRODUCT((tlStaff=INDEX(tblStaff[Initials],9))*tlWeight*Timeline!AB$20:AB$378))</f>
        <v/>
      </c>
      <c r="Y16" s="179" t="str" cm="1">
        <f t="array" ref="Y16">IF($A16="","",SUMPRODUCT((tlStaff=INDEX(tblStaff[Initials],9))*tlWeight*Timeline!AC$20:AC$378))</f>
        <v/>
      </c>
      <c r="Z16" s="179" t="str" cm="1">
        <f t="array" ref="Z16">IF($A16="","",SUMPRODUCT((tlStaff=INDEX(tblStaff[Initials],9))*tlWeight*Timeline!AD$20:AD$378))</f>
        <v/>
      </c>
      <c r="AA16" s="179" t="str" cm="1">
        <f t="array" ref="AA16">IF($A16="","",SUMPRODUCT((tlStaff=INDEX(tblStaff[Initials],9))*tlWeight*Timeline!AE$20:AE$378))</f>
        <v/>
      </c>
      <c r="AB16" s="179" t="str" cm="1">
        <f t="array" ref="AB16">IF($A16="","",SUMPRODUCT((tlStaff=INDEX(tblStaff[Initials],9))*tlWeight*Timeline!AF$20:AF$378))</f>
        <v/>
      </c>
      <c r="AC16" s="179" t="str" cm="1">
        <f t="array" ref="AC16">IF($A16="","",SUMPRODUCT((tlStaff=INDEX(tblStaff[Initials],9))*tlWeight*Timeline!AG$20:AG$378))</f>
        <v/>
      </c>
      <c r="AD16" s="179" t="str" cm="1">
        <f t="array" ref="AD16">IF($A16="","",SUMPRODUCT((tlStaff=INDEX(tblStaff[Initials],9))*tlWeight*Timeline!AH$20:AH$378))</f>
        <v/>
      </c>
      <c r="AE16" s="179" t="str" cm="1">
        <f t="array" ref="AE16">IF($A16="","",SUMPRODUCT((tlStaff=INDEX(tblStaff[Initials],9))*tlWeight*Timeline!AI$20:AI$378))</f>
        <v/>
      </c>
      <c r="AF16" s="179" t="str" cm="1">
        <f t="array" ref="AF16">IF($A16="","",SUMPRODUCT((tlStaff=INDEX(tblStaff[Initials],9))*tlWeight*Timeline!AJ$20:AJ$378))</f>
        <v/>
      </c>
      <c r="AG16" s="179" t="str" cm="1">
        <f t="array" ref="AG16">IF($A16="","",SUMPRODUCT((tlStaff=INDEX(tblStaff[Initials],9))*tlWeight*Timeline!AK$20:AK$378))</f>
        <v/>
      </c>
      <c r="AH16" s="179" t="str" cm="1">
        <f t="array" ref="AH16">IF($A16="","",SUMPRODUCT((tlStaff=INDEX(tblStaff[Initials],9))*tlWeight*Timeline!AL$20:AL$378))</f>
        <v/>
      </c>
      <c r="AI16" s="179" t="str" cm="1">
        <f t="array" ref="AI16">IF($A16="","",SUMPRODUCT((tlStaff=INDEX(tblStaff[Initials],9))*tlWeight*Timeline!AM$20:AM$378))</f>
        <v/>
      </c>
      <c r="AJ16" s="179" t="str" cm="1">
        <f t="array" ref="AJ16">IF($A16="","",SUMPRODUCT((tlStaff=INDEX(tblStaff[Initials],9))*tlWeight*Timeline!AN$20:AN$378))</f>
        <v/>
      </c>
      <c r="AK16" s="179" t="str" cm="1">
        <f t="array" ref="AK16">IF($A16="","",SUMPRODUCT((tlStaff=INDEX(tblStaff[Initials],9))*tlWeight*Timeline!AO$20:AO$378))</f>
        <v/>
      </c>
      <c r="AL16" s="179" t="str" cm="1">
        <f t="array" ref="AL16">IF($A16="","",SUMPRODUCT((tlStaff=INDEX(tblStaff[Initials],9))*tlWeight*Timeline!AP$20:AP$378))</f>
        <v/>
      </c>
      <c r="AM16" s="179" t="str" cm="1">
        <f t="array" ref="AM16">IF($A16="","",SUMPRODUCT((tlStaff=INDEX(tblStaff[Initials],9))*tlWeight*Timeline!AQ$20:AQ$378))</f>
        <v/>
      </c>
      <c r="AN16" s="179" t="str" cm="1">
        <f t="array" ref="AN16">IF($A16="","",SUMPRODUCT((tlStaff=INDEX(tblStaff[Initials],9))*tlWeight*Timeline!AR$20:AR$378))</f>
        <v/>
      </c>
      <c r="AO16" s="179" t="str" cm="1">
        <f t="array" ref="AO16">IF($A16="","",SUMPRODUCT((tlStaff=INDEX(tblStaff[Initials],9))*tlWeight*Timeline!AS$20:AS$378))</f>
        <v/>
      </c>
      <c r="AP16" s="179" t="str" cm="1">
        <f t="array" ref="AP16">IF($A16="","",SUMPRODUCT((tlStaff=INDEX(tblStaff[Initials],9))*tlWeight*Timeline!AT$20:AT$378))</f>
        <v/>
      </c>
      <c r="AQ16" s="179" t="str" cm="1">
        <f t="array" ref="AQ16">IF($A16="","",SUMPRODUCT((tlStaff=INDEX(tblStaff[Initials],9))*tlWeight*Timeline!AU$20:AU$378))</f>
        <v/>
      </c>
      <c r="AR16" s="179" t="str" cm="1">
        <f t="array" ref="AR16">IF($A16="","",SUMPRODUCT((tlStaff=INDEX(tblStaff[Initials],9))*tlWeight*Timeline!AV$20:AV$378))</f>
        <v/>
      </c>
      <c r="AS16" s="179" t="str" cm="1">
        <f t="array" ref="AS16">IF($A16="","",SUMPRODUCT((tlStaff=INDEX(tblStaff[Initials],9))*tlWeight*Timeline!AW$20:AW$378))</f>
        <v/>
      </c>
      <c r="AT16" s="179" t="str" cm="1">
        <f t="array" ref="AT16">IF($A16="","",SUMPRODUCT((tlStaff=INDEX(tblStaff[Initials],9))*tlWeight*Timeline!AX$20:AX$378))</f>
        <v/>
      </c>
      <c r="AU16" s="179" t="str" cm="1">
        <f t="array" ref="AU16">IF($A16="","",SUMPRODUCT((tlStaff=INDEX(tblStaff[Initials],9))*tlWeight*Timeline!AY$20:AY$378))</f>
        <v/>
      </c>
      <c r="AV16" s="179" t="str" cm="1">
        <f t="array" ref="AV16">IF($A16="","",SUMPRODUCT((tlStaff=INDEX(tblStaff[Initials],9))*tlWeight*Timeline!AZ$20:AZ$378))</f>
        <v/>
      </c>
      <c r="AW16" s="179" t="str" cm="1">
        <f t="array" ref="AW16">IF($A16="","",SUMPRODUCT((tlStaff=INDEX(tblStaff[Initials],9))*tlWeight*Timeline!BA$20:BA$378))</f>
        <v/>
      </c>
      <c r="AX16" s="179" t="str" cm="1">
        <f t="array" ref="AX16">IF($A16="","",SUMPRODUCT((tlStaff=INDEX(tblStaff[Initials],9))*tlWeight*Timeline!BB$20:BB$378))</f>
        <v/>
      </c>
      <c r="AY16" s="179" t="str" cm="1">
        <f t="array" ref="AY16">IF($A16="","",SUMPRODUCT((tlStaff=INDEX(tblStaff[Initials],9))*tlWeight*Timeline!BC$20:BC$378))</f>
        <v/>
      </c>
      <c r="AZ16" s="179" t="str" cm="1">
        <f t="array" ref="AZ16">IF($A16="","",SUMPRODUCT((tlStaff=INDEX(tblStaff[Initials],9))*tlWeight*Timeline!BD$20:BD$378))</f>
        <v/>
      </c>
      <c r="BA16" s="179" t="str" cm="1">
        <f t="array" ref="BA16">IF($A16="","",SUMPRODUCT((tlStaff=INDEX(tblStaff[Initials],9))*tlWeight*Timeline!BE$20:BE$378))</f>
        <v/>
      </c>
      <c r="BB16" s="179" t="str" cm="1">
        <f t="array" ref="BB16">IF($A16="","",SUMPRODUCT((tlStaff=INDEX(tblStaff[Initials],9))*tlWeight*Timeline!BF$20:BF$378))</f>
        <v/>
      </c>
      <c r="BC16" s="179" t="str" cm="1">
        <f t="array" ref="BC16">IF($A16="","",SUMPRODUCT((tlStaff=INDEX(tblStaff[Initials],9))*tlWeight*Timeline!BG$20:BG$378))</f>
        <v/>
      </c>
    </row>
    <row r="17" spans="1:55" x14ac:dyDescent="0.25">
      <c r="A17" s="189" t="str">
        <f>IFERROR(INDEX(tblStaff[Initials],10)&amp;" · "&amp;INDEX(tblStaff[Staff Level],10),"")</f>
        <v/>
      </c>
      <c r="B17" s="190" t="str">
        <f t="shared" si="4"/>
        <v/>
      </c>
      <c r="C17" s="190" t="str">
        <f t="shared" si="5"/>
        <v/>
      </c>
      <c r="D17" s="191" t="str" cm="1">
        <f t="array" ref="D17">IF($A17="","",SUMPRODUCT((tlStaff=INDEX(tblStaff[Initials],10))*tlWeight*Timeline!H$20:H$378))</f>
        <v/>
      </c>
      <c r="E17" s="191" t="str" cm="1">
        <f t="array" ref="E17">IF($A17="","",SUMPRODUCT((tlStaff=INDEX(tblStaff[Initials],10))*tlWeight*Timeline!I$20:I$378))</f>
        <v/>
      </c>
      <c r="F17" s="191" t="str" cm="1">
        <f t="array" ref="F17">IF($A17="","",SUMPRODUCT((tlStaff=INDEX(tblStaff[Initials],10))*tlWeight*Timeline!J$20:J$378))</f>
        <v/>
      </c>
      <c r="G17" s="191" t="str" cm="1">
        <f t="array" ref="G17">IF($A17="","",SUMPRODUCT((tlStaff=INDEX(tblStaff[Initials],10))*tlWeight*Timeline!K$20:K$378))</f>
        <v/>
      </c>
      <c r="H17" s="191" t="str" cm="1">
        <f t="array" ref="H17">IF($A17="","",SUMPRODUCT((tlStaff=INDEX(tblStaff[Initials],10))*tlWeight*Timeline!L$20:L$378))</f>
        <v/>
      </c>
      <c r="I17" s="191" t="str" cm="1">
        <f t="array" ref="I17">IF($A17="","",SUMPRODUCT((tlStaff=INDEX(tblStaff[Initials],10))*tlWeight*Timeline!M$20:M$378))</f>
        <v/>
      </c>
      <c r="J17" s="191" t="str" cm="1">
        <f t="array" ref="J17">IF($A17="","",SUMPRODUCT((tlStaff=INDEX(tblStaff[Initials],10))*tlWeight*Timeline!N$20:N$378))</f>
        <v/>
      </c>
      <c r="K17" s="191" t="str" cm="1">
        <f t="array" ref="K17">IF($A17="","",SUMPRODUCT((tlStaff=INDEX(tblStaff[Initials],10))*tlWeight*Timeline!O$20:O$378))</f>
        <v/>
      </c>
      <c r="L17" s="191" t="str" cm="1">
        <f t="array" ref="L17">IF($A17="","",SUMPRODUCT((tlStaff=INDEX(tblStaff[Initials],10))*tlWeight*Timeline!P$20:P$378))</f>
        <v/>
      </c>
      <c r="M17" s="191" t="str" cm="1">
        <f t="array" ref="M17">IF($A17="","",SUMPRODUCT((tlStaff=INDEX(tblStaff[Initials],10))*tlWeight*Timeline!Q$20:Q$378))</f>
        <v/>
      </c>
      <c r="N17" s="191" t="str" cm="1">
        <f t="array" ref="N17">IF($A17="","",SUMPRODUCT((tlStaff=INDEX(tblStaff[Initials],10))*tlWeight*Timeline!R$20:R$378))</f>
        <v/>
      </c>
      <c r="O17" s="191" t="str" cm="1">
        <f t="array" ref="O17">IF($A17="","",SUMPRODUCT((tlStaff=INDEX(tblStaff[Initials],10))*tlWeight*Timeline!S$20:S$378))</f>
        <v/>
      </c>
      <c r="P17" s="191" t="str" cm="1">
        <f t="array" ref="P17">IF($A17="","",SUMPRODUCT((tlStaff=INDEX(tblStaff[Initials],10))*tlWeight*Timeline!T$20:T$378))</f>
        <v/>
      </c>
      <c r="Q17" s="191" t="str" cm="1">
        <f t="array" ref="Q17">IF($A17="","",SUMPRODUCT((tlStaff=INDEX(tblStaff[Initials],10))*tlWeight*Timeline!U$20:U$378))</f>
        <v/>
      </c>
      <c r="R17" s="191" t="str" cm="1">
        <f t="array" ref="R17">IF($A17="","",SUMPRODUCT((tlStaff=INDEX(tblStaff[Initials],10))*tlWeight*Timeline!V$20:V$378))</f>
        <v/>
      </c>
      <c r="S17" s="191" t="str" cm="1">
        <f t="array" ref="S17">IF($A17="","",SUMPRODUCT((tlStaff=INDEX(tblStaff[Initials],10))*tlWeight*Timeline!W$20:W$378))</f>
        <v/>
      </c>
      <c r="T17" s="191" t="str" cm="1">
        <f t="array" ref="T17">IF($A17="","",SUMPRODUCT((tlStaff=INDEX(tblStaff[Initials],10))*tlWeight*Timeline!X$20:X$378))</f>
        <v/>
      </c>
      <c r="U17" s="191" t="str" cm="1">
        <f t="array" ref="U17">IF($A17="","",SUMPRODUCT((tlStaff=INDEX(tblStaff[Initials],10))*tlWeight*Timeline!Y$20:Y$378))</f>
        <v/>
      </c>
      <c r="V17" s="191" t="str" cm="1">
        <f t="array" ref="V17">IF($A17="","",SUMPRODUCT((tlStaff=INDEX(tblStaff[Initials],10))*tlWeight*Timeline!Z$20:Z$378))</f>
        <v/>
      </c>
      <c r="W17" s="191" t="str" cm="1">
        <f t="array" ref="W17">IF($A17="","",SUMPRODUCT((tlStaff=INDEX(tblStaff[Initials],10))*tlWeight*Timeline!AA$20:AA$378))</f>
        <v/>
      </c>
      <c r="X17" s="191" t="str" cm="1">
        <f t="array" ref="X17">IF($A17="","",SUMPRODUCT((tlStaff=INDEX(tblStaff[Initials],10))*tlWeight*Timeline!AB$20:AB$378))</f>
        <v/>
      </c>
      <c r="Y17" s="191" t="str" cm="1">
        <f t="array" ref="Y17">IF($A17="","",SUMPRODUCT((tlStaff=INDEX(tblStaff[Initials],10))*tlWeight*Timeline!AC$20:AC$378))</f>
        <v/>
      </c>
      <c r="Z17" s="191" t="str" cm="1">
        <f t="array" ref="Z17">IF($A17="","",SUMPRODUCT((tlStaff=INDEX(tblStaff[Initials],10))*tlWeight*Timeline!AD$20:AD$378))</f>
        <v/>
      </c>
      <c r="AA17" s="191" t="str" cm="1">
        <f t="array" ref="AA17">IF($A17="","",SUMPRODUCT((tlStaff=INDEX(tblStaff[Initials],10))*tlWeight*Timeline!AE$20:AE$378))</f>
        <v/>
      </c>
      <c r="AB17" s="191" t="str" cm="1">
        <f t="array" ref="AB17">IF($A17="","",SUMPRODUCT((tlStaff=INDEX(tblStaff[Initials],10))*tlWeight*Timeline!AF$20:AF$378))</f>
        <v/>
      </c>
      <c r="AC17" s="191" t="str" cm="1">
        <f t="array" ref="AC17">IF($A17="","",SUMPRODUCT((tlStaff=INDEX(tblStaff[Initials],10))*tlWeight*Timeline!AG$20:AG$378))</f>
        <v/>
      </c>
      <c r="AD17" s="191" t="str" cm="1">
        <f t="array" ref="AD17">IF($A17="","",SUMPRODUCT((tlStaff=INDEX(tblStaff[Initials],10))*tlWeight*Timeline!AH$20:AH$378))</f>
        <v/>
      </c>
      <c r="AE17" s="191" t="str" cm="1">
        <f t="array" ref="AE17">IF($A17="","",SUMPRODUCT((tlStaff=INDEX(tblStaff[Initials],10))*tlWeight*Timeline!AI$20:AI$378))</f>
        <v/>
      </c>
      <c r="AF17" s="191" t="str" cm="1">
        <f t="array" ref="AF17">IF($A17="","",SUMPRODUCT((tlStaff=INDEX(tblStaff[Initials],10))*tlWeight*Timeline!AJ$20:AJ$378))</f>
        <v/>
      </c>
      <c r="AG17" s="191" t="str" cm="1">
        <f t="array" ref="AG17">IF($A17="","",SUMPRODUCT((tlStaff=INDEX(tblStaff[Initials],10))*tlWeight*Timeline!AK$20:AK$378))</f>
        <v/>
      </c>
      <c r="AH17" s="191" t="str" cm="1">
        <f t="array" ref="AH17">IF($A17="","",SUMPRODUCT((tlStaff=INDEX(tblStaff[Initials],10))*tlWeight*Timeline!AL$20:AL$378))</f>
        <v/>
      </c>
      <c r="AI17" s="191" t="str" cm="1">
        <f t="array" ref="AI17">IF($A17="","",SUMPRODUCT((tlStaff=INDEX(tblStaff[Initials],10))*tlWeight*Timeline!AM$20:AM$378))</f>
        <v/>
      </c>
      <c r="AJ17" s="191" t="str" cm="1">
        <f t="array" ref="AJ17">IF($A17="","",SUMPRODUCT((tlStaff=INDEX(tblStaff[Initials],10))*tlWeight*Timeline!AN$20:AN$378))</f>
        <v/>
      </c>
      <c r="AK17" s="191" t="str" cm="1">
        <f t="array" ref="AK17">IF($A17="","",SUMPRODUCT((tlStaff=INDEX(tblStaff[Initials],10))*tlWeight*Timeline!AO$20:AO$378))</f>
        <v/>
      </c>
      <c r="AL17" s="191" t="str" cm="1">
        <f t="array" ref="AL17">IF($A17="","",SUMPRODUCT((tlStaff=INDEX(tblStaff[Initials],10))*tlWeight*Timeline!AP$20:AP$378))</f>
        <v/>
      </c>
      <c r="AM17" s="191" t="str" cm="1">
        <f t="array" ref="AM17">IF($A17="","",SUMPRODUCT((tlStaff=INDEX(tblStaff[Initials],10))*tlWeight*Timeline!AQ$20:AQ$378))</f>
        <v/>
      </c>
      <c r="AN17" s="191" t="str" cm="1">
        <f t="array" ref="AN17">IF($A17="","",SUMPRODUCT((tlStaff=INDEX(tblStaff[Initials],10))*tlWeight*Timeline!AR$20:AR$378))</f>
        <v/>
      </c>
      <c r="AO17" s="191" t="str" cm="1">
        <f t="array" ref="AO17">IF($A17="","",SUMPRODUCT((tlStaff=INDEX(tblStaff[Initials],10))*tlWeight*Timeline!AS$20:AS$378))</f>
        <v/>
      </c>
      <c r="AP17" s="191" t="str" cm="1">
        <f t="array" ref="AP17">IF($A17="","",SUMPRODUCT((tlStaff=INDEX(tblStaff[Initials],10))*tlWeight*Timeline!AT$20:AT$378))</f>
        <v/>
      </c>
      <c r="AQ17" s="191" t="str" cm="1">
        <f t="array" ref="AQ17">IF($A17="","",SUMPRODUCT((tlStaff=INDEX(tblStaff[Initials],10))*tlWeight*Timeline!AU$20:AU$378))</f>
        <v/>
      </c>
      <c r="AR17" s="191" t="str" cm="1">
        <f t="array" ref="AR17">IF($A17="","",SUMPRODUCT((tlStaff=INDEX(tblStaff[Initials],10))*tlWeight*Timeline!AV$20:AV$378))</f>
        <v/>
      </c>
      <c r="AS17" s="191" t="str" cm="1">
        <f t="array" ref="AS17">IF($A17="","",SUMPRODUCT((tlStaff=INDEX(tblStaff[Initials],10))*tlWeight*Timeline!AW$20:AW$378))</f>
        <v/>
      </c>
      <c r="AT17" s="191" t="str" cm="1">
        <f t="array" ref="AT17">IF($A17="","",SUMPRODUCT((tlStaff=INDEX(tblStaff[Initials],10))*tlWeight*Timeline!AX$20:AX$378))</f>
        <v/>
      </c>
      <c r="AU17" s="191" t="str" cm="1">
        <f t="array" ref="AU17">IF($A17="","",SUMPRODUCT((tlStaff=INDEX(tblStaff[Initials],10))*tlWeight*Timeline!AY$20:AY$378))</f>
        <v/>
      </c>
      <c r="AV17" s="191" t="str" cm="1">
        <f t="array" ref="AV17">IF($A17="","",SUMPRODUCT((tlStaff=INDEX(tblStaff[Initials],10))*tlWeight*Timeline!AZ$20:AZ$378))</f>
        <v/>
      </c>
      <c r="AW17" s="191" t="str" cm="1">
        <f t="array" ref="AW17">IF($A17="","",SUMPRODUCT((tlStaff=INDEX(tblStaff[Initials],10))*tlWeight*Timeline!BA$20:BA$378))</f>
        <v/>
      </c>
      <c r="AX17" s="191" t="str" cm="1">
        <f t="array" ref="AX17">IF($A17="","",SUMPRODUCT((tlStaff=INDEX(tblStaff[Initials],10))*tlWeight*Timeline!BB$20:BB$378))</f>
        <v/>
      </c>
      <c r="AY17" s="191" t="str" cm="1">
        <f t="array" ref="AY17">IF($A17="","",SUMPRODUCT((tlStaff=INDEX(tblStaff[Initials],10))*tlWeight*Timeline!BC$20:BC$378))</f>
        <v/>
      </c>
      <c r="AZ17" s="191" t="str" cm="1">
        <f t="array" ref="AZ17">IF($A17="","",SUMPRODUCT((tlStaff=INDEX(tblStaff[Initials],10))*tlWeight*Timeline!BD$20:BD$378))</f>
        <v/>
      </c>
      <c r="BA17" s="191" t="str" cm="1">
        <f t="array" ref="BA17">IF($A17="","",SUMPRODUCT((tlStaff=INDEX(tblStaff[Initials],10))*tlWeight*Timeline!BE$20:BE$378))</f>
        <v/>
      </c>
      <c r="BB17" s="191" t="str" cm="1">
        <f t="array" ref="BB17">IF($A17="","",SUMPRODUCT((tlStaff=INDEX(tblStaff[Initials],10))*tlWeight*Timeline!BF$20:BF$378))</f>
        <v/>
      </c>
      <c r="BC17" s="191" t="str" cm="1">
        <f t="array" ref="BC17">IF($A17="","",SUMPRODUCT((tlStaff=INDEX(tblStaff[Initials],10))*tlWeight*Timeline!BG$20:BG$378))</f>
        <v/>
      </c>
    </row>
    <row r="18" spans="1:55" x14ac:dyDescent="0.25">
      <c r="A18" s="192" t="s">
        <v>179</v>
      </c>
      <c r="B18" s="193">
        <f>AVERAGE(D18:BC18)</f>
        <v>71.634615384615387</v>
      </c>
      <c r="C18" s="193">
        <f>MAX(D18:BC18)</f>
        <v>284</v>
      </c>
      <c r="D18" s="194">
        <f t="shared" ref="D18:AI18" si="6">SUM(D8:D17)</f>
        <v>231</v>
      </c>
      <c r="E18" s="194">
        <f t="shared" si="6"/>
        <v>259</v>
      </c>
      <c r="F18" s="194">
        <f t="shared" si="6"/>
        <v>260</v>
      </c>
      <c r="G18" s="194">
        <f t="shared" si="6"/>
        <v>284</v>
      </c>
      <c r="H18" s="194">
        <f t="shared" si="6"/>
        <v>231</v>
      </c>
      <c r="I18" s="194">
        <f t="shared" si="6"/>
        <v>211</v>
      </c>
      <c r="J18" s="194">
        <f t="shared" si="6"/>
        <v>191</v>
      </c>
      <c r="K18" s="194">
        <f t="shared" si="6"/>
        <v>213</v>
      </c>
      <c r="L18" s="194">
        <f t="shared" si="6"/>
        <v>212</v>
      </c>
      <c r="M18" s="194">
        <f t="shared" si="6"/>
        <v>153</v>
      </c>
      <c r="N18" s="194">
        <f t="shared" si="6"/>
        <v>153</v>
      </c>
      <c r="O18" s="194">
        <f t="shared" si="6"/>
        <v>125</v>
      </c>
      <c r="P18" s="194">
        <f t="shared" si="6"/>
        <v>121</v>
      </c>
      <c r="Q18" s="194">
        <f t="shared" si="6"/>
        <v>121</v>
      </c>
      <c r="R18" s="194">
        <f t="shared" si="6"/>
        <v>160</v>
      </c>
      <c r="S18" s="194">
        <f t="shared" si="6"/>
        <v>160</v>
      </c>
      <c r="T18" s="194">
        <f t="shared" si="6"/>
        <v>172</v>
      </c>
      <c r="U18" s="194">
        <f t="shared" si="6"/>
        <v>76</v>
      </c>
      <c r="V18" s="194">
        <f t="shared" si="6"/>
        <v>33</v>
      </c>
      <c r="W18" s="194">
        <f t="shared" si="6"/>
        <v>37</v>
      </c>
      <c r="X18" s="194">
        <f t="shared" si="6"/>
        <v>41</v>
      </c>
      <c r="Y18" s="194">
        <f t="shared" si="6"/>
        <v>41</v>
      </c>
      <c r="Z18" s="194">
        <f t="shared" si="6"/>
        <v>37</v>
      </c>
      <c r="AA18" s="194">
        <f t="shared" si="6"/>
        <v>5</v>
      </c>
      <c r="AB18" s="194">
        <f t="shared" si="6"/>
        <v>1</v>
      </c>
      <c r="AC18" s="194">
        <f t="shared" si="6"/>
        <v>1</v>
      </c>
      <c r="AD18" s="194">
        <f t="shared" si="6"/>
        <v>7</v>
      </c>
      <c r="AE18" s="194">
        <f t="shared" si="6"/>
        <v>7</v>
      </c>
      <c r="AF18" s="194">
        <f t="shared" si="6"/>
        <v>7</v>
      </c>
      <c r="AG18" s="194">
        <f t="shared" si="6"/>
        <v>7</v>
      </c>
      <c r="AH18" s="194">
        <f t="shared" si="6"/>
        <v>46</v>
      </c>
      <c r="AI18" s="194">
        <f t="shared" si="6"/>
        <v>42</v>
      </c>
      <c r="AJ18" s="194">
        <f t="shared" ref="AJ18:BC18" si="7">SUM(AJ8:AJ17)</f>
        <v>42</v>
      </c>
      <c r="AK18" s="194">
        <f t="shared" si="7"/>
        <v>6</v>
      </c>
      <c r="AL18" s="194">
        <f t="shared" si="7"/>
        <v>6</v>
      </c>
      <c r="AM18" s="194">
        <f t="shared" si="7"/>
        <v>6</v>
      </c>
      <c r="AN18" s="194">
        <f t="shared" si="7"/>
        <v>6</v>
      </c>
      <c r="AO18" s="194">
        <f t="shared" si="7"/>
        <v>6</v>
      </c>
      <c r="AP18" s="194">
        <f t="shared" si="7"/>
        <v>6</v>
      </c>
      <c r="AQ18" s="194">
        <f t="shared" si="7"/>
        <v>2</v>
      </c>
      <c r="AR18" s="194">
        <f t="shared" si="7"/>
        <v>0</v>
      </c>
      <c r="AS18" s="194">
        <f t="shared" si="7"/>
        <v>0</v>
      </c>
      <c r="AT18" s="194">
        <f t="shared" si="7"/>
        <v>0</v>
      </c>
      <c r="AU18" s="194">
        <f t="shared" si="7"/>
        <v>0</v>
      </c>
      <c r="AV18" s="194">
        <f t="shared" si="7"/>
        <v>0</v>
      </c>
      <c r="AW18" s="194">
        <f t="shared" si="7"/>
        <v>0</v>
      </c>
      <c r="AX18" s="194">
        <f t="shared" si="7"/>
        <v>0</v>
      </c>
      <c r="AY18" s="194">
        <f t="shared" si="7"/>
        <v>0</v>
      </c>
      <c r="AZ18" s="194">
        <f t="shared" si="7"/>
        <v>0</v>
      </c>
      <c r="BA18" s="194">
        <f t="shared" si="7"/>
        <v>0</v>
      </c>
      <c r="BB18" s="194">
        <f t="shared" si="7"/>
        <v>0</v>
      </c>
      <c r="BC18" s="194">
        <f t="shared" si="7"/>
        <v>0</v>
      </c>
    </row>
    <row r="19" spans="1:55" x14ac:dyDescent="0.25">
      <c r="A19" s="39"/>
      <c r="B19" s="176"/>
      <c r="C19" s="176"/>
      <c r="D19" s="176"/>
      <c r="E19" s="176"/>
      <c r="F19" s="176"/>
      <c r="G19" s="176"/>
      <c r="H19" s="176"/>
      <c r="I19" s="176"/>
      <c r="J19" s="176"/>
      <c r="K19" s="176"/>
      <c r="L19" s="176"/>
      <c r="M19" s="176"/>
      <c r="N19" s="176"/>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row>
    <row r="20" spans="1:55" hidden="1" outlineLevel="1" x14ac:dyDescent="0.25">
      <c r="A20" s="175" t="s">
        <v>177</v>
      </c>
      <c r="B20" s="177"/>
      <c r="C20" s="177"/>
      <c r="D20" s="177"/>
      <c r="E20" s="177"/>
      <c r="F20" s="177"/>
      <c r="G20" s="177"/>
      <c r="H20" s="177"/>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row>
    <row r="21" spans="1:55" hidden="1" outlineLevel="1" x14ac:dyDescent="0.25">
      <c r="A21" s="180" t="str">
        <f t="shared" ref="A21:A30" si="8">A8</f>
        <v>PK · Principal</v>
      </c>
      <c r="B21" s="178">
        <f t="shared" ref="B21:B30" si="9">IF($A21="","",IFERROR(AVERAGE(D21:BC21),""))</f>
        <v>30</v>
      </c>
      <c r="C21" s="178">
        <f t="shared" ref="C21:C30" si="10">IF($A21="","",IFERROR(MAX(D21:BC21),""))</f>
        <v>30</v>
      </c>
      <c r="D21" s="179">
        <f>IF($A21="","",IFERROR(INDEX(tblStaff[FTE],1)*INDEX(Assumptions!$D$15:$D$19,MATCH(INDEX(tblStaff[Staff Level],1),Assumptions!$A$15:$A$19,0))*INDEX(Assumptions!$E$15:$E$19,MATCH(INDEX(tblStaff[Staff Level],1),Assumptions!$A$15:$A$19,0)),0))</f>
        <v>30</v>
      </c>
      <c r="E21" s="179">
        <f>IF($A21="","",IFERROR(INDEX(tblStaff[FTE],1)*INDEX(Assumptions!$D$15:$D$19,MATCH(INDEX(tblStaff[Staff Level],1),Assumptions!$A$15:$A$19,0))*INDEX(Assumptions!$E$15:$E$19,MATCH(INDEX(tblStaff[Staff Level],1),Assumptions!$A$15:$A$19,0)),0))</f>
        <v>30</v>
      </c>
      <c r="F21" s="179">
        <f>IF($A21="","",IFERROR(INDEX(tblStaff[FTE],1)*INDEX(Assumptions!$D$15:$D$19,MATCH(INDEX(tblStaff[Staff Level],1),Assumptions!$A$15:$A$19,0))*INDEX(Assumptions!$E$15:$E$19,MATCH(INDEX(tblStaff[Staff Level],1),Assumptions!$A$15:$A$19,0)),0))</f>
        <v>30</v>
      </c>
      <c r="G21" s="179">
        <f>IF($A21="","",IFERROR(INDEX(tblStaff[FTE],1)*INDEX(Assumptions!$D$15:$D$19,MATCH(INDEX(tblStaff[Staff Level],1),Assumptions!$A$15:$A$19,0))*INDEX(Assumptions!$E$15:$E$19,MATCH(INDEX(tblStaff[Staff Level],1),Assumptions!$A$15:$A$19,0)),0))</f>
        <v>30</v>
      </c>
      <c r="H21" s="179">
        <f>IF($A21="","",IFERROR(INDEX(tblStaff[FTE],1)*INDEX(Assumptions!$D$15:$D$19,MATCH(INDEX(tblStaff[Staff Level],1),Assumptions!$A$15:$A$19,0))*INDEX(Assumptions!$E$15:$E$19,MATCH(INDEX(tblStaff[Staff Level],1),Assumptions!$A$15:$A$19,0)),0))</f>
        <v>30</v>
      </c>
      <c r="I21" s="179">
        <f>IF($A21="","",IFERROR(INDEX(tblStaff[FTE],1)*INDEX(Assumptions!$D$15:$D$19,MATCH(INDEX(tblStaff[Staff Level],1),Assumptions!$A$15:$A$19,0))*INDEX(Assumptions!$E$15:$E$19,MATCH(INDEX(tblStaff[Staff Level],1),Assumptions!$A$15:$A$19,0)),0))</f>
        <v>30</v>
      </c>
      <c r="J21" s="179">
        <f>IF($A21="","",IFERROR(INDEX(tblStaff[FTE],1)*INDEX(Assumptions!$D$15:$D$19,MATCH(INDEX(tblStaff[Staff Level],1),Assumptions!$A$15:$A$19,0))*INDEX(Assumptions!$E$15:$E$19,MATCH(INDEX(tblStaff[Staff Level],1),Assumptions!$A$15:$A$19,0)),0))</f>
        <v>30</v>
      </c>
      <c r="K21" s="179">
        <f>IF($A21="","",IFERROR(INDEX(tblStaff[FTE],1)*INDEX(Assumptions!$D$15:$D$19,MATCH(INDEX(tblStaff[Staff Level],1),Assumptions!$A$15:$A$19,0))*INDEX(Assumptions!$E$15:$E$19,MATCH(INDEX(tblStaff[Staff Level],1),Assumptions!$A$15:$A$19,0)),0))</f>
        <v>30</v>
      </c>
      <c r="L21" s="179">
        <f>IF($A21="","",IFERROR(INDEX(tblStaff[FTE],1)*INDEX(Assumptions!$D$15:$D$19,MATCH(INDEX(tblStaff[Staff Level],1),Assumptions!$A$15:$A$19,0))*INDEX(Assumptions!$E$15:$E$19,MATCH(INDEX(tblStaff[Staff Level],1),Assumptions!$A$15:$A$19,0)),0))</f>
        <v>30</v>
      </c>
      <c r="M21" s="179">
        <f>IF($A21="","",IFERROR(INDEX(tblStaff[FTE],1)*INDEX(Assumptions!$D$15:$D$19,MATCH(INDEX(tblStaff[Staff Level],1),Assumptions!$A$15:$A$19,0))*INDEX(Assumptions!$E$15:$E$19,MATCH(INDEX(tblStaff[Staff Level],1),Assumptions!$A$15:$A$19,0)),0))</f>
        <v>30</v>
      </c>
      <c r="N21" s="179">
        <f>IF($A21="","",IFERROR(INDEX(tblStaff[FTE],1)*INDEX(Assumptions!$D$15:$D$19,MATCH(INDEX(tblStaff[Staff Level],1),Assumptions!$A$15:$A$19,0))*INDEX(Assumptions!$E$15:$E$19,MATCH(INDEX(tblStaff[Staff Level],1),Assumptions!$A$15:$A$19,0)),0))</f>
        <v>30</v>
      </c>
      <c r="O21" s="179">
        <f>IF($A21="","",IFERROR(INDEX(tblStaff[FTE],1)*INDEX(Assumptions!$D$15:$D$19,MATCH(INDEX(tblStaff[Staff Level],1),Assumptions!$A$15:$A$19,0))*INDEX(Assumptions!$E$15:$E$19,MATCH(INDEX(tblStaff[Staff Level],1),Assumptions!$A$15:$A$19,0)),0))</f>
        <v>30</v>
      </c>
      <c r="P21" s="179">
        <f>IF($A21="","",IFERROR(INDEX(tblStaff[FTE],1)*INDEX(Assumptions!$D$15:$D$19,MATCH(INDEX(tblStaff[Staff Level],1),Assumptions!$A$15:$A$19,0))*INDEX(Assumptions!$E$15:$E$19,MATCH(INDEX(tblStaff[Staff Level],1),Assumptions!$A$15:$A$19,0)),0))</f>
        <v>30</v>
      </c>
      <c r="Q21" s="179">
        <f>IF($A21="","",IFERROR(INDEX(tblStaff[FTE],1)*INDEX(Assumptions!$D$15:$D$19,MATCH(INDEX(tblStaff[Staff Level],1),Assumptions!$A$15:$A$19,0))*INDEX(Assumptions!$E$15:$E$19,MATCH(INDEX(tblStaff[Staff Level],1),Assumptions!$A$15:$A$19,0)),0))</f>
        <v>30</v>
      </c>
      <c r="R21" s="179">
        <f>IF($A21="","",IFERROR(INDEX(tblStaff[FTE],1)*INDEX(Assumptions!$D$15:$D$19,MATCH(INDEX(tblStaff[Staff Level],1),Assumptions!$A$15:$A$19,0))*INDEX(Assumptions!$E$15:$E$19,MATCH(INDEX(tblStaff[Staff Level],1),Assumptions!$A$15:$A$19,0)),0))</f>
        <v>30</v>
      </c>
      <c r="S21" s="179">
        <f>IF($A21="","",IFERROR(INDEX(tblStaff[FTE],1)*INDEX(Assumptions!$D$15:$D$19,MATCH(INDEX(tblStaff[Staff Level],1),Assumptions!$A$15:$A$19,0))*INDEX(Assumptions!$E$15:$E$19,MATCH(INDEX(tblStaff[Staff Level],1),Assumptions!$A$15:$A$19,0)),0))</f>
        <v>30</v>
      </c>
      <c r="T21" s="179">
        <f>IF($A21="","",IFERROR(INDEX(tblStaff[FTE],1)*INDEX(Assumptions!$D$15:$D$19,MATCH(INDEX(tblStaff[Staff Level],1),Assumptions!$A$15:$A$19,0))*INDEX(Assumptions!$E$15:$E$19,MATCH(INDEX(tblStaff[Staff Level],1),Assumptions!$A$15:$A$19,0)),0))</f>
        <v>30</v>
      </c>
      <c r="U21" s="179">
        <f>IF($A21="","",IFERROR(INDEX(tblStaff[FTE],1)*INDEX(Assumptions!$D$15:$D$19,MATCH(INDEX(tblStaff[Staff Level],1),Assumptions!$A$15:$A$19,0))*INDEX(Assumptions!$E$15:$E$19,MATCH(INDEX(tblStaff[Staff Level],1),Assumptions!$A$15:$A$19,0)),0))</f>
        <v>30</v>
      </c>
      <c r="V21" s="179">
        <f>IF($A21="","",IFERROR(INDEX(tblStaff[FTE],1)*INDEX(Assumptions!$D$15:$D$19,MATCH(INDEX(tblStaff[Staff Level],1),Assumptions!$A$15:$A$19,0))*INDEX(Assumptions!$E$15:$E$19,MATCH(INDEX(tblStaff[Staff Level],1),Assumptions!$A$15:$A$19,0)),0))</f>
        <v>30</v>
      </c>
      <c r="W21" s="179">
        <f>IF($A21="","",IFERROR(INDEX(tblStaff[FTE],1)*INDEX(Assumptions!$D$15:$D$19,MATCH(INDEX(tblStaff[Staff Level],1),Assumptions!$A$15:$A$19,0))*INDEX(Assumptions!$E$15:$E$19,MATCH(INDEX(tblStaff[Staff Level],1),Assumptions!$A$15:$A$19,0)),0))</f>
        <v>30</v>
      </c>
      <c r="X21" s="179">
        <f>IF($A21="","",IFERROR(INDEX(tblStaff[FTE],1)*INDEX(Assumptions!$D$15:$D$19,MATCH(INDEX(tblStaff[Staff Level],1),Assumptions!$A$15:$A$19,0))*INDEX(Assumptions!$E$15:$E$19,MATCH(INDEX(tblStaff[Staff Level],1),Assumptions!$A$15:$A$19,0)),0))</f>
        <v>30</v>
      </c>
      <c r="Y21" s="179">
        <f>IF($A21="","",IFERROR(INDEX(tblStaff[FTE],1)*INDEX(Assumptions!$D$15:$D$19,MATCH(INDEX(tblStaff[Staff Level],1),Assumptions!$A$15:$A$19,0))*INDEX(Assumptions!$E$15:$E$19,MATCH(INDEX(tblStaff[Staff Level],1),Assumptions!$A$15:$A$19,0)),0))</f>
        <v>30</v>
      </c>
      <c r="Z21" s="179">
        <f>IF($A21="","",IFERROR(INDEX(tblStaff[FTE],1)*INDEX(Assumptions!$D$15:$D$19,MATCH(INDEX(tblStaff[Staff Level],1),Assumptions!$A$15:$A$19,0))*INDEX(Assumptions!$E$15:$E$19,MATCH(INDEX(tblStaff[Staff Level],1),Assumptions!$A$15:$A$19,0)),0))</f>
        <v>30</v>
      </c>
      <c r="AA21" s="179">
        <f>IF($A21="","",IFERROR(INDEX(tblStaff[FTE],1)*INDEX(Assumptions!$D$15:$D$19,MATCH(INDEX(tblStaff[Staff Level],1),Assumptions!$A$15:$A$19,0))*INDEX(Assumptions!$E$15:$E$19,MATCH(INDEX(tblStaff[Staff Level],1),Assumptions!$A$15:$A$19,0)),0))</f>
        <v>30</v>
      </c>
      <c r="AB21" s="179">
        <f>IF($A21="","",IFERROR(INDEX(tblStaff[FTE],1)*INDEX(Assumptions!$D$15:$D$19,MATCH(INDEX(tblStaff[Staff Level],1),Assumptions!$A$15:$A$19,0))*INDEX(Assumptions!$E$15:$E$19,MATCH(INDEX(tblStaff[Staff Level],1),Assumptions!$A$15:$A$19,0)),0))</f>
        <v>30</v>
      </c>
      <c r="AC21" s="179">
        <f>IF($A21="","",IFERROR(INDEX(tblStaff[FTE],1)*INDEX(Assumptions!$D$15:$D$19,MATCH(INDEX(tblStaff[Staff Level],1),Assumptions!$A$15:$A$19,0))*INDEX(Assumptions!$E$15:$E$19,MATCH(INDEX(tblStaff[Staff Level],1),Assumptions!$A$15:$A$19,0)),0))</f>
        <v>30</v>
      </c>
      <c r="AD21" s="179">
        <f>IF($A21="","",IFERROR(INDEX(tblStaff[FTE],1)*INDEX(Assumptions!$D$15:$D$19,MATCH(INDEX(tblStaff[Staff Level],1),Assumptions!$A$15:$A$19,0))*INDEX(Assumptions!$E$15:$E$19,MATCH(INDEX(tblStaff[Staff Level],1),Assumptions!$A$15:$A$19,0)),0))</f>
        <v>30</v>
      </c>
      <c r="AE21" s="179">
        <f>IF($A21="","",IFERROR(INDEX(tblStaff[FTE],1)*INDEX(Assumptions!$D$15:$D$19,MATCH(INDEX(tblStaff[Staff Level],1),Assumptions!$A$15:$A$19,0))*INDEX(Assumptions!$E$15:$E$19,MATCH(INDEX(tblStaff[Staff Level],1),Assumptions!$A$15:$A$19,0)),0))</f>
        <v>30</v>
      </c>
      <c r="AF21" s="179">
        <f>IF($A21="","",IFERROR(INDEX(tblStaff[FTE],1)*INDEX(Assumptions!$D$15:$D$19,MATCH(INDEX(tblStaff[Staff Level],1),Assumptions!$A$15:$A$19,0))*INDEX(Assumptions!$E$15:$E$19,MATCH(INDEX(tblStaff[Staff Level],1),Assumptions!$A$15:$A$19,0)),0))</f>
        <v>30</v>
      </c>
      <c r="AG21" s="179">
        <f>IF($A21="","",IFERROR(INDEX(tblStaff[FTE],1)*INDEX(Assumptions!$D$15:$D$19,MATCH(INDEX(tblStaff[Staff Level],1),Assumptions!$A$15:$A$19,0))*INDEX(Assumptions!$E$15:$E$19,MATCH(INDEX(tblStaff[Staff Level],1),Assumptions!$A$15:$A$19,0)),0))</f>
        <v>30</v>
      </c>
      <c r="AH21" s="179">
        <f>IF($A21="","",IFERROR(INDEX(tblStaff[FTE],1)*INDEX(Assumptions!$D$15:$D$19,MATCH(INDEX(tblStaff[Staff Level],1),Assumptions!$A$15:$A$19,0))*INDEX(Assumptions!$E$15:$E$19,MATCH(INDEX(tblStaff[Staff Level],1),Assumptions!$A$15:$A$19,0)),0))</f>
        <v>30</v>
      </c>
      <c r="AI21" s="179">
        <f>IF($A21="","",IFERROR(INDEX(tblStaff[FTE],1)*INDEX(Assumptions!$D$15:$D$19,MATCH(INDEX(tblStaff[Staff Level],1),Assumptions!$A$15:$A$19,0))*INDEX(Assumptions!$E$15:$E$19,MATCH(INDEX(tblStaff[Staff Level],1),Assumptions!$A$15:$A$19,0)),0))</f>
        <v>30</v>
      </c>
      <c r="AJ21" s="179">
        <f>IF($A21="","",IFERROR(INDEX(tblStaff[FTE],1)*INDEX(Assumptions!$D$15:$D$19,MATCH(INDEX(tblStaff[Staff Level],1),Assumptions!$A$15:$A$19,0))*INDEX(Assumptions!$E$15:$E$19,MATCH(INDEX(tblStaff[Staff Level],1),Assumptions!$A$15:$A$19,0)),0))</f>
        <v>30</v>
      </c>
      <c r="AK21" s="179">
        <f>IF($A21="","",IFERROR(INDEX(tblStaff[FTE],1)*INDEX(Assumptions!$D$15:$D$19,MATCH(INDEX(tblStaff[Staff Level],1),Assumptions!$A$15:$A$19,0))*INDEX(Assumptions!$E$15:$E$19,MATCH(INDEX(tblStaff[Staff Level],1),Assumptions!$A$15:$A$19,0)),0))</f>
        <v>30</v>
      </c>
      <c r="AL21" s="179">
        <f>IF($A21="","",IFERROR(INDEX(tblStaff[FTE],1)*INDEX(Assumptions!$D$15:$D$19,MATCH(INDEX(tblStaff[Staff Level],1),Assumptions!$A$15:$A$19,0))*INDEX(Assumptions!$E$15:$E$19,MATCH(INDEX(tblStaff[Staff Level],1),Assumptions!$A$15:$A$19,0)),0))</f>
        <v>30</v>
      </c>
      <c r="AM21" s="179">
        <f>IF($A21="","",IFERROR(INDEX(tblStaff[FTE],1)*INDEX(Assumptions!$D$15:$D$19,MATCH(INDEX(tblStaff[Staff Level],1),Assumptions!$A$15:$A$19,0))*INDEX(Assumptions!$E$15:$E$19,MATCH(INDEX(tblStaff[Staff Level],1),Assumptions!$A$15:$A$19,0)),0))</f>
        <v>30</v>
      </c>
      <c r="AN21" s="179">
        <f>IF($A21="","",IFERROR(INDEX(tblStaff[FTE],1)*INDEX(Assumptions!$D$15:$D$19,MATCH(INDEX(tblStaff[Staff Level],1),Assumptions!$A$15:$A$19,0))*INDEX(Assumptions!$E$15:$E$19,MATCH(INDEX(tblStaff[Staff Level],1),Assumptions!$A$15:$A$19,0)),0))</f>
        <v>30</v>
      </c>
      <c r="AO21" s="179">
        <f>IF($A21="","",IFERROR(INDEX(tblStaff[FTE],1)*INDEX(Assumptions!$D$15:$D$19,MATCH(INDEX(tblStaff[Staff Level],1),Assumptions!$A$15:$A$19,0))*INDEX(Assumptions!$E$15:$E$19,MATCH(INDEX(tblStaff[Staff Level],1),Assumptions!$A$15:$A$19,0)),0))</f>
        <v>30</v>
      </c>
      <c r="AP21" s="179">
        <f>IF($A21="","",IFERROR(INDEX(tblStaff[FTE],1)*INDEX(Assumptions!$D$15:$D$19,MATCH(INDEX(tblStaff[Staff Level],1),Assumptions!$A$15:$A$19,0))*INDEX(Assumptions!$E$15:$E$19,MATCH(INDEX(tblStaff[Staff Level],1),Assumptions!$A$15:$A$19,0)),0))</f>
        <v>30</v>
      </c>
      <c r="AQ21" s="179">
        <f>IF($A21="","",IFERROR(INDEX(tblStaff[FTE],1)*INDEX(Assumptions!$D$15:$D$19,MATCH(INDEX(tblStaff[Staff Level],1),Assumptions!$A$15:$A$19,0))*INDEX(Assumptions!$E$15:$E$19,MATCH(INDEX(tblStaff[Staff Level],1),Assumptions!$A$15:$A$19,0)),0))</f>
        <v>30</v>
      </c>
      <c r="AR21" s="179">
        <f>IF($A21="","",IFERROR(INDEX(tblStaff[FTE],1)*INDEX(Assumptions!$D$15:$D$19,MATCH(INDEX(tblStaff[Staff Level],1),Assumptions!$A$15:$A$19,0))*INDEX(Assumptions!$E$15:$E$19,MATCH(INDEX(tblStaff[Staff Level],1),Assumptions!$A$15:$A$19,0)),0))</f>
        <v>30</v>
      </c>
      <c r="AS21" s="179">
        <f>IF($A21="","",IFERROR(INDEX(tblStaff[FTE],1)*INDEX(Assumptions!$D$15:$D$19,MATCH(INDEX(tblStaff[Staff Level],1),Assumptions!$A$15:$A$19,0))*INDEX(Assumptions!$E$15:$E$19,MATCH(INDEX(tblStaff[Staff Level],1),Assumptions!$A$15:$A$19,0)),0))</f>
        <v>30</v>
      </c>
      <c r="AT21" s="179">
        <f>IF($A21="","",IFERROR(INDEX(tblStaff[FTE],1)*INDEX(Assumptions!$D$15:$D$19,MATCH(INDEX(tblStaff[Staff Level],1),Assumptions!$A$15:$A$19,0))*INDEX(Assumptions!$E$15:$E$19,MATCH(INDEX(tblStaff[Staff Level],1),Assumptions!$A$15:$A$19,0)),0))</f>
        <v>30</v>
      </c>
      <c r="AU21" s="179">
        <f>IF($A21="","",IFERROR(INDEX(tblStaff[FTE],1)*INDEX(Assumptions!$D$15:$D$19,MATCH(INDEX(tblStaff[Staff Level],1),Assumptions!$A$15:$A$19,0))*INDEX(Assumptions!$E$15:$E$19,MATCH(INDEX(tblStaff[Staff Level],1),Assumptions!$A$15:$A$19,0)),0))</f>
        <v>30</v>
      </c>
      <c r="AV21" s="179">
        <f>IF($A21="","",IFERROR(INDEX(tblStaff[FTE],1)*INDEX(Assumptions!$D$15:$D$19,MATCH(INDEX(tblStaff[Staff Level],1),Assumptions!$A$15:$A$19,0))*INDEX(Assumptions!$E$15:$E$19,MATCH(INDEX(tblStaff[Staff Level],1),Assumptions!$A$15:$A$19,0)),0))</f>
        <v>30</v>
      </c>
      <c r="AW21" s="179">
        <f>IF($A21="","",IFERROR(INDEX(tblStaff[FTE],1)*INDEX(Assumptions!$D$15:$D$19,MATCH(INDEX(tblStaff[Staff Level],1),Assumptions!$A$15:$A$19,0))*INDEX(Assumptions!$E$15:$E$19,MATCH(INDEX(tblStaff[Staff Level],1),Assumptions!$A$15:$A$19,0)),0))</f>
        <v>30</v>
      </c>
      <c r="AX21" s="179">
        <f>IF($A21="","",IFERROR(INDEX(tblStaff[FTE],1)*INDEX(Assumptions!$D$15:$D$19,MATCH(INDEX(tblStaff[Staff Level],1),Assumptions!$A$15:$A$19,0))*INDEX(Assumptions!$E$15:$E$19,MATCH(INDEX(tblStaff[Staff Level],1),Assumptions!$A$15:$A$19,0)),0))</f>
        <v>30</v>
      </c>
      <c r="AY21" s="179">
        <f>IF($A21="","",IFERROR(INDEX(tblStaff[FTE],1)*INDEX(Assumptions!$D$15:$D$19,MATCH(INDEX(tblStaff[Staff Level],1),Assumptions!$A$15:$A$19,0))*INDEX(Assumptions!$E$15:$E$19,MATCH(INDEX(tblStaff[Staff Level],1),Assumptions!$A$15:$A$19,0)),0))</f>
        <v>30</v>
      </c>
      <c r="AZ21" s="179">
        <f>IF($A21="","",IFERROR(INDEX(tblStaff[FTE],1)*INDEX(Assumptions!$D$15:$D$19,MATCH(INDEX(tblStaff[Staff Level],1),Assumptions!$A$15:$A$19,0))*INDEX(Assumptions!$E$15:$E$19,MATCH(INDEX(tblStaff[Staff Level],1),Assumptions!$A$15:$A$19,0)),0))</f>
        <v>30</v>
      </c>
      <c r="BA21" s="179">
        <f>IF($A21="","",IFERROR(INDEX(tblStaff[FTE],1)*INDEX(Assumptions!$D$15:$D$19,MATCH(INDEX(tblStaff[Staff Level],1),Assumptions!$A$15:$A$19,0))*INDEX(Assumptions!$E$15:$E$19,MATCH(INDEX(tblStaff[Staff Level],1),Assumptions!$A$15:$A$19,0)),0))</f>
        <v>30</v>
      </c>
      <c r="BB21" s="179">
        <f>IF($A21="","",IFERROR(INDEX(tblStaff[FTE],1)*INDEX(Assumptions!$D$15:$D$19,MATCH(INDEX(tblStaff[Staff Level],1),Assumptions!$A$15:$A$19,0))*INDEX(Assumptions!$E$15:$E$19,MATCH(INDEX(tblStaff[Staff Level],1),Assumptions!$A$15:$A$19,0)),0))</f>
        <v>30</v>
      </c>
      <c r="BC21" s="179">
        <f>IF($A21="","",IFERROR(INDEX(tblStaff[FTE],1)*INDEX(Assumptions!$D$15:$D$19,MATCH(INDEX(tblStaff[Staff Level],1),Assumptions!$A$15:$A$19,0))*INDEX(Assumptions!$E$15:$E$19,MATCH(INDEX(tblStaff[Staff Level],1),Assumptions!$A$15:$A$19,0)),0))</f>
        <v>30</v>
      </c>
    </row>
    <row r="22" spans="1:55" hidden="1" outlineLevel="1" x14ac:dyDescent="0.25">
      <c r="A22" s="180" t="str">
        <f t="shared" si="8"/>
        <v>DF · Principal</v>
      </c>
      <c r="B22" s="178">
        <f t="shared" si="9"/>
        <v>30</v>
      </c>
      <c r="C22" s="178">
        <f t="shared" si="10"/>
        <v>30</v>
      </c>
      <c r="D22" s="179">
        <f>IF($A22="","",IFERROR(INDEX(tblStaff[FTE],2)*INDEX(Assumptions!$D$15:$D$19,MATCH(INDEX(tblStaff[Staff Level],2),Assumptions!$A$15:$A$19,0))*INDEX(Assumptions!$E$15:$E$19,MATCH(INDEX(tblStaff[Staff Level],2),Assumptions!$A$15:$A$19,0)),0))</f>
        <v>30</v>
      </c>
      <c r="E22" s="179">
        <f>IF($A22="","",IFERROR(INDEX(tblStaff[FTE],2)*INDEX(Assumptions!$D$15:$D$19,MATCH(INDEX(tblStaff[Staff Level],2),Assumptions!$A$15:$A$19,0))*INDEX(Assumptions!$E$15:$E$19,MATCH(INDEX(tblStaff[Staff Level],2),Assumptions!$A$15:$A$19,0)),0))</f>
        <v>30</v>
      </c>
      <c r="F22" s="179">
        <f>IF($A22="","",IFERROR(INDEX(tblStaff[FTE],2)*INDEX(Assumptions!$D$15:$D$19,MATCH(INDEX(tblStaff[Staff Level],2),Assumptions!$A$15:$A$19,0))*INDEX(Assumptions!$E$15:$E$19,MATCH(INDEX(tblStaff[Staff Level],2),Assumptions!$A$15:$A$19,0)),0))</f>
        <v>30</v>
      </c>
      <c r="G22" s="179">
        <f>IF($A22="","",IFERROR(INDEX(tblStaff[FTE],2)*INDEX(Assumptions!$D$15:$D$19,MATCH(INDEX(tblStaff[Staff Level],2),Assumptions!$A$15:$A$19,0))*INDEX(Assumptions!$E$15:$E$19,MATCH(INDEX(tblStaff[Staff Level],2),Assumptions!$A$15:$A$19,0)),0))</f>
        <v>30</v>
      </c>
      <c r="H22" s="179">
        <f>IF($A22="","",IFERROR(INDEX(tblStaff[FTE],2)*INDEX(Assumptions!$D$15:$D$19,MATCH(INDEX(tblStaff[Staff Level],2),Assumptions!$A$15:$A$19,0))*INDEX(Assumptions!$E$15:$E$19,MATCH(INDEX(tblStaff[Staff Level],2),Assumptions!$A$15:$A$19,0)),0))</f>
        <v>30</v>
      </c>
      <c r="I22" s="179">
        <f>IF($A22="","",IFERROR(INDEX(tblStaff[FTE],2)*INDEX(Assumptions!$D$15:$D$19,MATCH(INDEX(tblStaff[Staff Level],2),Assumptions!$A$15:$A$19,0))*INDEX(Assumptions!$E$15:$E$19,MATCH(INDEX(tblStaff[Staff Level],2),Assumptions!$A$15:$A$19,0)),0))</f>
        <v>30</v>
      </c>
      <c r="J22" s="179">
        <f>IF($A22="","",IFERROR(INDEX(tblStaff[FTE],2)*INDEX(Assumptions!$D$15:$D$19,MATCH(INDEX(tblStaff[Staff Level],2),Assumptions!$A$15:$A$19,0))*INDEX(Assumptions!$E$15:$E$19,MATCH(INDEX(tblStaff[Staff Level],2),Assumptions!$A$15:$A$19,0)),0))</f>
        <v>30</v>
      </c>
      <c r="K22" s="179">
        <f>IF($A22="","",IFERROR(INDEX(tblStaff[FTE],2)*INDEX(Assumptions!$D$15:$D$19,MATCH(INDEX(tblStaff[Staff Level],2),Assumptions!$A$15:$A$19,0))*INDEX(Assumptions!$E$15:$E$19,MATCH(INDEX(tblStaff[Staff Level],2),Assumptions!$A$15:$A$19,0)),0))</f>
        <v>30</v>
      </c>
      <c r="L22" s="179">
        <f>IF($A22="","",IFERROR(INDEX(tblStaff[FTE],2)*INDEX(Assumptions!$D$15:$D$19,MATCH(INDEX(tblStaff[Staff Level],2),Assumptions!$A$15:$A$19,0))*INDEX(Assumptions!$E$15:$E$19,MATCH(INDEX(tblStaff[Staff Level],2),Assumptions!$A$15:$A$19,0)),0))</f>
        <v>30</v>
      </c>
      <c r="M22" s="179">
        <f>IF($A22="","",IFERROR(INDEX(tblStaff[FTE],2)*INDEX(Assumptions!$D$15:$D$19,MATCH(INDEX(tblStaff[Staff Level],2),Assumptions!$A$15:$A$19,0))*INDEX(Assumptions!$E$15:$E$19,MATCH(INDEX(tblStaff[Staff Level],2),Assumptions!$A$15:$A$19,0)),0))</f>
        <v>30</v>
      </c>
      <c r="N22" s="179">
        <f>IF($A22="","",IFERROR(INDEX(tblStaff[FTE],2)*INDEX(Assumptions!$D$15:$D$19,MATCH(INDEX(tblStaff[Staff Level],2),Assumptions!$A$15:$A$19,0))*INDEX(Assumptions!$E$15:$E$19,MATCH(INDEX(tblStaff[Staff Level],2),Assumptions!$A$15:$A$19,0)),0))</f>
        <v>30</v>
      </c>
      <c r="O22" s="179">
        <f>IF($A22="","",IFERROR(INDEX(tblStaff[FTE],2)*INDEX(Assumptions!$D$15:$D$19,MATCH(INDEX(tblStaff[Staff Level],2),Assumptions!$A$15:$A$19,0))*INDEX(Assumptions!$E$15:$E$19,MATCH(INDEX(tblStaff[Staff Level],2),Assumptions!$A$15:$A$19,0)),0))</f>
        <v>30</v>
      </c>
      <c r="P22" s="179">
        <f>IF($A22="","",IFERROR(INDEX(tblStaff[FTE],2)*INDEX(Assumptions!$D$15:$D$19,MATCH(INDEX(tblStaff[Staff Level],2),Assumptions!$A$15:$A$19,0))*INDEX(Assumptions!$E$15:$E$19,MATCH(INDEX(tblStaff[Staff Level],2),Assumptions!$A$15:$A$19,0)),0))</f>
        <v>30</v>
      </c>
      <c r="Q22" s="179">
        <f>IF($A22="","",IFERROR(INDEX(tblStaff[FTE],2)*INDEX(Assumptions!$D$15:$D$19,MATCH(INDEX(tblStaff[Staff Level],2),Assumptions!$A$15:$A$19,0))*INDEX(Assumptions!$E$15:$E$19,MATCH(INDEX(tblStaff[Staff Level],2),Assumptions!$A$15:$A$19,0)),0))</f>
        <v>30</v>
      </c>
      <c r="R22" s="179">
        <f>IF($A22="","",IFERROR(INDEX(tblStaff[FTE],2)*INDEX(Assumptions!$D$15:$D$19,MATCH(INDEX(tblStaff[Staff Level],2),Assumptions!$A$15:$A$19,0))*INDEX(Assumptions!$E$15:$E$19,MATCH(INDEX(tblStaff[Staff Level],2),Assumptions!$A$15:$A$19,0)),0))</f>
        <v>30</v>
      </c>
      <c r="S22" s="179">
        <f>IF($A22="","",IFERROR(INDEX(tblStaff[FTE],2)*INDEX(Assumptions!$D$15:$D$19,MATCH(INDEX(tblStaff[Staff Level],2),Assumptions!$A$15:$A$19,0))*INDEX(Assumptions!$E$15:$E$19,MATCH(INDEX(tblStaff[Staff Level],2),Assumptions!$A$15:$A$19,0)),0))</f>
        <v>30</v>
      </c>
      <c r="T22" s="179">
        <f>IF($A22="","",IFERROR(INDEX(tblStaff[FTE],2)*INDEX(Assumptions!$D$15:$D$19,MATCH(INDEX(tblStaff[Staff Level],2),Assumptions!$A$15:$A$19,0))*INDEX(Assumptions!$E$15:$E$19,MATCH(INDEX(tblStaff[Staff Level],2),Assumptions!$A$15:$A$19,0)),0))</f>
        <v>30</v>
      </c>
      <c r="U22" s="179">
        <f>IF($A22="","",IFERROR(INDEX(tblStaff[FTE],2)*INDEX(Assumptions!$D$15:$D$19,MATCH(INDEX(tblStaff[Staff Level],2),Assumptions!$A$15:$A$19,0))*INDEX(Assumptions!$E$15:$E$19,MATCH(INDEX(tblStaff[Staff Level],2),Assumptions!$A$15:$A$19,0)),0))</f>
        <v>30</v>
      </c>
      <c r="V22" s="179">
        <f>IF($A22="","",IFERROR(INDEX(tblStaff[FTE],2)*INDEX(Assumptions!$D$15:$D$19,MATCH(INDEX(tblStaff[Staff Level],2),Assumptions!$A$15:$A$19,0))*INDEX(Assumptions!$E$15:$E$19,MATCH(INDEX(tblStaff[Staff Level],2),Assumptions!$A$15:$A$19,0)),0))</f>
        <v>30</v>
      </c>
      <c r="W22" s="179">
        <f>IF($A22="","",IFERROR(INDEX(tblStaff[FTE],2)*INDEX(Assumptions!$D$15:$D$19,MATCH(INDEX(tblStaff[Staff Level],2),Assumptions!$A$15:$A$19,0))*INDEX(Assumptions!$E$15:$E$19,MATCH(INDEX(tblStaff[Staff Level],2),Assumptions!$A$15:$A$19,0)),0))</f>
        <v>30</v>
      </c>
      <c r="X22" s="179">
        <f>IF($A22="","",IFERROR(INDEX(tblStaff[FTE],2)*INDEX(Assumptions!$D$15:$D$19,MATCH(INDEX(tblStaff[Staff Level],2),Assumptions!$A$15:$A$19,0))*INDEX(Assumptions!$E$15:$E$19,MATCH(INDEX(tblStaff[Staff Level],2),Assumptions!$A$15:$A$19,0)),0))</f>
        <v>30</v>
      </c>
      <c r="Y22" s="179">
        <f>IF($A22="","",IFERROR(INDEX(tblStaff[FTE],2)*INDEX(Assumptions!$D$15:$D$19,MATCH(INDEX(tblStaff[Staff Level],2),Assumptions!$A$15:$A$19,0))*INDEX(Assumptions!$E$15:$E$19,MATCH(INDEX(tblStaff[Staff Level],2),Assumptions!$A$15:$A$19,0)),0))</f>
        <v>30</v>
      </c>
      <c r="Z22" s="179">
        <f>IF($A22="","",IFERROR(INDEX(tblStaff[FTE],2)*INDEX(Assumptions!$D$15:$D$19,MATCH(INDEX(tblStaff[Staff Level],2),Assumptions!$A$15:$A$19,0))*INDEX(Assumptions!$E$15:$E$19,MATCH(INDEX(tblStaff[Staff Level],2),Assumptions!$A$15:$A$19,0)),0))</f>
        <v>30</v>
      </c>
      <c r="AA22" s="179">
        <f>IF($A22="","",IFERROR(INDEX(tblStaff[FTE],2)*INDEX(Assumptions!$D$15:$D$19,MATCH(INDEX(tblStaff[Staff Level],2),Assumptions!$A$15:$A$19,0))*INDEX(Assumptions!$E$15:$E$19,MATCH(INDEX(tblStaff[Staff Level],2),Assumptions!$A$15:$A$19,0)),0))</f>
        <v>30</v>
      </c>
      <c r="AB22" s="179">
        <f>IF($A22="","",IFERROR(INDEX(tblStaff[FTE],2)*INDEX(Assumptions!$D$15:$D$19,MATCH(INDEX(tblStaff[Staff Level],2),Assumptions!$A$15:$A$19,0))*INDEX(Assumptions!$E$15:$E$19,MATCH(INDEX(tblStaff[Staff Level],2),Assumptions!$A$15:$A$19,0)),0))</f>
        <v>30</v>
      </c>
      <c r="AC22" s="179">
        <f>IF($A22="","",IFERROR(INDEX(tblStaff[FTE],2)*INDEX(Assumptions!$D$15:$D$19,MATCH(INDEX(tblStaff[Staff Level],2),Assumptions!$A$15:$A$19,0))*INDEX(Assumptions!$E$15:$E$19,MATCH(INDEX(tblStaff[Staff Level],2),Assumptions!$A$15:$A$19,0)),0))</f>
        <v>30</v>
      </c>
      <c r="AD22" s="179">
        <f>IF($A22="","",IFERROR(INDEX(tblStaff[FTE],2)*INDEX(Assumptions!$D$15:$D$19,MATCH(INDEX(tblStaff[Staff Level],2),Assumptions!$A$15:$A$19,0))*INDEX(Assumptions!$E$15:$E$19,MATCH(INDEX(tblStaff[Staff Level],2),Assumptions!$A$15:$A$19,0)),0))</f>
        <v>30</v>
      </c>
      <c r="AE22" s="179">
        <f>IF($A22="","",IFERROR(INDEX(tblStaff[FTE],2)*INDEX(Assumptions!$D$15:$D$19,MATCH(INDEX(tblStaff[Staff Level],2),Assumptions!$A$15:$A$19,0))*INDEX(Assumptions!$E$15:$E$19,MATCH(INDEX(tblStaff[Staff Level],2),Assumptions!$A$15:$A$19,0)),0))</f>
        <v>30</v>
      </c>
      <c r="AF22" s="179">
        <f>IF($A22="","",IFERROR(INDEX(tblStaff[FTE],2)*INDEX(Assumptions!$D$15:$D$19,MATCH(INDEX(tblStaff[Staff Level],2),Assumptions!$A$15:$A$19,0))*INDEX(Assumptions!$E$15:$E$19,MATCH(INDEX(tblStaff[Staff Level],2),Assumptions!$A$15:$A$19,0)),0))</f>
        <v>30</v>
      </c>
      <c r="AG22" s="179">
        <f>IF($A22="","",IFERROR(INDEX(tblStaff[FTE],2)*INDEX(Assumptions!$D$15:$D$19,MATCH(INDEX(tblStaff[Staff Level],2),Assumptions!$A$15:$A$19,0))*INDEX(Assumptions!$E$15:$E$19,MATCH(INDEX(tblStaff[Staff Level],2),Assumptions!$A$15:$A$19,0)),0))</f>
        <v>30</v>
      </c>
      <c r="AH22" s="179">
        <f>IF($A22="","",IFERROR(INDEX(tblStaff[FTE],2)*INDEX(Assumptions!$D$15:$D$19,MATCH(INDEX(tblStaff[Staff Level],2),Assumptions!$A$15:$A$19,0))*INDEX(Assumptions!$E$15:$E$19,MATCH(INDEX(tblStaff[Staff Level],2),Assumptions!$A$15:$A$19,0)),0))</f>
        <v>30</v>
      </c>
      <c r="AI22" s="179">
        <f>IF($A22="","",IFERROR(INDEX(tblStaff[FTE],2)*INDEX(Assumptions!$D$15:$D$19,MATCH(INDEX(tblStaff[Staff Level],2),Assumptions!$A$15:$A$19,0))*INDEX(Assumptions!$E$15:$E$19,MATCH(INDEX(tblStaff[Staff Level],2),Assumptions!$A$15:$A$19,0)),0))</f>
        <v>30</v>
      </c>
      <c r="AJ22" s="179">
        <f>IF($A22="","",IFERROR(INDEX(tblStaff[FTE],2)*INDEX(Assumptions!$D$15:$D$19,MATCH(INDEX(tblStaff[Staff Level],2),Assumptions!$A$15:$A$19,0))*INDEX(Assumptions!$E$15:$E$19,MATCH(INDEX(tblStaff[Staff Level],2),Assumptions!$A$15:$A$19,0)),0))</f>
        <v>30</v>
      </c>
      <c r="AK22" s="179">
        <f>IF($A22="","",IFERROR(INDEX(tblStaff[FTE],2)*INDEX(Assumptions!$D$15:$D$19,MATCH(INDEX(tblStaff[Staff Level],2),Assumptions!$A$15:$A$19,0))*INDEX(Assumptions!$E$15:$E$19,MATCH(INDEX(tblStaff[Staff Level],2),Assumptions!$A$15:$A$19,0)),0))</f>
        <v>30</v>
      </c>
      <c r="AL22" s="179">
        <f>IF($A22="","",IFERROR(INDEX(tblStaff[FTE],2)*INDEX(Assumptions!$D$15:$D$19,MATCH(INDEX(tblStaff[Staff Level],2),Assumptions!$A$15:$A$19,0))*INDEX(Assumptions!$E$15:$E$19,MATCH(INDEX(tblStaff[Staff Level],2),Assumptions!$A$15:$A$19,0)),0))</f>
        <v>30</v>
      </c>
      <c r="AM22" s="179">
        <f>IF($A22="","",IFERROR(INDEX(tblStaff[FTE],2)*INDEX(Assumptions!$D$15:$D$19,MATCH(INDEX(tblStaff[Staff Level],2),Assumptions!$A$15:$A$19,0))*INDEX(Assumptions!$E$15:$E$19,MATCH(INDEX(tblStaff[Staff Level],2),Assumptions!$A$15:$A$19,0)),0))</f>
        <v>30</v>
      </c>
      <c r="AN22" s="179">
        <f>IF($A22="","",IFERROR(INDEX(tblStaff[FTE],2)*INDEX(Assumptions!$D$15:$D$19,MATCH(INDEX(tblStaff[Staff Level],2),Assumptions!$A$15:$A$19,0))*INDEX(Assumptions!$E$15:$E$19,MATCH(INDEX(tblStaff[Staff Level],2),Assumptions!$A$15:$A$19,0)),0))</f>
        <v>30</v>
      </c>
      <c r="AO22" s="179">
        <f>IF($A22="","",IFERROR(INDEX(tblStaff[FTE],2)*INDEX(Assumptions!$D$15:$D$19,MATCH(INDEX(tblStaff[Staff Level],2),Assumptions!$A$15:$A$19,0))*INDEX(Assumptions!$E$15:$E$19,MATCH(INDEX(tblStaff[Staff Level],2),Assumptions!$A$15:$A$19,0)),0))</f>
        <v>30</v>
      </c>
      <c r="AP22" s="179">
        <f>IF($A22="","",IFERROR(INDEX(tblStaff[FTE],2)*INDEX(Assumptions!$D$15:$D$19,MATCH(INDEX(tblStaff[Staff Level],2),Assumptions!$A$15:$A$19,0))*INDEX(Assumptions!$E$15:$E$19,MATCH(INDEX(tblStaff[Staff Level],2),Assumptions!$A$15:$A$19,0)),0))</f>
        <v>30</v>
      </c>
      <c r="AQ22" s="179">
        <f>IF($A22="","",IFERROR(INDEX(tblStaff[FTE],2)*INDEX(Assumptions!$D$15:$D$19,MATCH(INDEX(tblStaff[Staff Level],2),Assumptions!$A$15:$A$19,0))*INDEX(Assumptions!$E$15:$E$19,MATCH(INDEX(tblStaff[Staff Level],2),Assumptions!$A$15:$A$19,0)),0))</f>
        <v>30</v>
      </c>
      <c r="AR22" s="179">
        <f>IF($A22="","",IFERROR(INDEX(tblStaff[FTE],2)*INDEX(Assumptions!$D$15:$D$19,MATCH(INDEX(tblStaff[Staff Level],2),Assumptions!$A$15:$A$19,0))*INDEX(Assumptions!$E$15:$E$19,MATCH(INDEX(tblStaff[Staff Level],2),Assumptions!$A$15:$A$19,0)),0))</f>
        <v>30</v>
      </c>
      <c r="AS22" s="179">
        <f>IF($A22="","",IFERROR(INDEX(tblStaff[FTE],2)*INDEX(Assumptions!$D$15:$D$19,MATCH(INDEX(tblStaff[Staff Level],2),Assumptions!$A$15:$A$19,0))*INDEX(Assumptions!$E$15:$E$19,MATCH(INDEX(tblStaff[Staff Level],2),Assumptions!$A$15:$A$19,0)),0))</f>
        <v>30</v>
      </c>
      <c r="AT22" s="179">
        <f>IF($A22="","",IFERROR(INDEX(tblStaff[FTE],2)*INDEX(Assumptions!$D$15:$D$19,MATCH(INDEX(tblStaff[Staff Level],2),Assumptions!$A$15:$A$19,0))*INDEX(Assumptions!$E$15:$E$19,MATCH(INDEX(tblStaff[Staff Level],2),Assumptions!$A$15:$A$19,0)),0))</f>
        <v>30</v>
      </c>
      <c r="AU22" s="179">
        <f>IF($A22="","",IFERROR(INDEX(tblStaff[FTE],2)*INDEX(Assumptions!$D$15:$D$19,MATCH(INDEX(tblStaff[Staff Level],2),Assumptions!$A$15:$A$19,0))*INDEX(Assumptions!$E$15:$E$19,MATCH(INDEX(tblStaff[Staff Level],2),Assumptions!$A$15:$A$19,0)),0))</f>
        <v>30</v>
      </c>
      <c r="AV22" s="179">
        <f>IF($A22="","",IFERROR(INDEX(tblStaff[FTE],2)*INDEX(Assumptions!$D$15:$D$19,MATCH(INDEX(tblStaff[Staff Level],2),Assumptions!$A$15:$A$19,0))*INDEX(Assumptions!$E$15:$E$19,MATCH(INDEX(tblStaff[Staff Level],2),Assumptions!$A$15:$A$19,0)),0))</f>
        <v>30</v>
      </c>
      <c r="AW22" s="179">
        <f>IF($A22="","",IFERROR(INDEX(tblStaff[FTE],2)*INDEX(Assumptions!$D$15:$D$19,MATCH(INDEX(tblStaff[Staff Level],2),Assumptions!$A$15:$A$19,0))*INDEX(Assumptions!$E$15:$E$19,MATCH(INDEX(tblStaff[Staff Level],2),Assumptions!$A$15:$A$19,0)),0))</f>
        <v>30</v>
      </c>
      <c r="AX22" s="179">
        <f>IF($A22="","",IFERROR(INDEX(tblStaff[FTE],2)*INDEX(Assumptions!$D$15:$D$19,MATCH(INDEX(tblStaff[Staff Level],2),Assumptions!$A$15:$A$19,0))*INDEX(Assumptions!$E$15:$E$19,MATCH(INDEX(tblStaff[Staff Level],2),Assumptions!$A$15:$A$19,0)),0))</f>
        <v>30</v>
      </c>
      <c r="AY22" s="179">
        <f>IF($A22="","",IFERROR(INDEX(tblStaff[FTE],2)*INDEX(Assumptions!$D$15:$D$19,MATCH(INDEX(tblStaff[Staff Level],2),Assumptions!$A$15:$A$19,0))*INDEX(Assumptions!$E$15:$E$19,MATCH(INDEX(tblStaff[Staff Level],2),Assumptions!$A$15:$A$19,0)),0))</f>
        <v>30</v>
      </c>
      <c r="AZ22" s="179">
        <f>IF($A22="","",IFERROR(INDEX(tblStaff[FTE],2)*INDEX(Assumptions!$D$15:$D$19,MATCH(INDEX(tblStaff[Staff Level],2),Assumptions!$A$15:$A$19,0))*INDEX(Assumptions!$E$15:$E$19,MATCH(INDEX(tblStaff[Staff Level],2),Assumptions!$A$15:$A$19,0)),0))</f>
        <v>30</v>
      </c>
      <c r="BA22" s="179">
        <f>IF($A22="","",IFERROR(INDEX(tblStaff[FTE],2)*INDEX(Assumptions!$D$15:$D$19,MATCH(INDEX(tblStaff[Staff Level],2),Assumptions!$A$15:$A$19,0))*INDEX(Assumptions!$E$15:$E$19,MATCH(INDEX(tblStaff[Staff Level],2),Assumptions!$A$15:$A$19,0)),0))</f>
        <v>30</v>
      </c>
      <c r="BB22" s="179">
        <f>IF($A22="","",IFERROR(INDEX(tblStaff[FTE],2)*INDEX(Assumptions!$D$15:$D$19,MATCH(INDEX(tblStaff[Staff Level],2),Assumptions!$A$15:$A$19,0))*INDEX(Assumptions!$E$15:$E$19,MATCH(INDEX(tblStaff[Staff Level],2),Assumptions!$A$15:$A$19,0)),0))</f>
        <v>30</v>
      </c>
      <c r="BC22" s="179">
        <f>IF($A22="","",IFERROR(INDEX(tblStaff[FTE],2)*INDEX(Assumptions!$D$15:$D$19,MATCH(INDEX(tblStaff[Staff Level],2),Assumptions!$A$15:$A$19,0))*INDEX(Assumptions!$E$15:$E$19,MATCH(INDEX(tblStaff[Staff Level],2),Assumptions!$A$15:$A$19,0)),0))</f>
        <v>30</v>
      </c>
    </row>
    <row r="23" spans="1:55" hidden="1" outlineLevel="1" x14ac:dyDescent="0.25">
      <c r="A23" s="180" t="str">
        <f t="shared" si="8"/>
        <v>KJ · Director</v>
      </c>
      <c r="B23" s="178">
        <f t="shared" si="9"/>
        <v>32</v>
      </c>
      <c r="C23" s="178">
        <f t="shared" si="10"/>
        <v>32</v>
      </c>
      <c r="D23" s="179">
        <f>IF($A23="","",IFERROR(INDEX(tblStaff[FTE],3)*INDEX(Assumptions!$D$15:$D$19,MATCH(INDEX(tblStaff[Staff Level],3),Assumptions!$A$15:$A$19,0))*INDEX(Assumptions!$E$15:$E$19,MATCH(INDEX(tblStaff[Staff Level],3),Assumptions!$A$15:$A$19,0)),0))</f>
        <v>32</v>
      </c>
      <c r="E23" s="179">
        <f>IF($A23="","",IFERROR(INDEX(tblStaff[FTE],3)*INDEX(Assumptions!$D$15:$D$19,MATCH(INDEX(tblStaff[Staff Level],3),Assumptions!$A$15:$A$19,0))*INDEX(Assumptions!$E$15:$E$19,MATCH(INDEX(tblStaff[Staff Level],3),Assumptions!$A$15:$A$19,0)),0))</f>
        <v>32</v>
      </c>
      <c r="F23" s="179">
        <f>IF($A23="","",IFERROR(INDEX(tblStaff[FTE],3)*INDEX(Assumptions!$D$15:$D$19,MATCH(INDEX(tblStaff[Staff Level],3),Assumptions!$A$15:$A$19,0))*INDEX(Assumptions!$E$15:$E$19,MATCH(INDEX(tblStaff[Staff Level],3),Assumptions!$A$15:$A$19,0)),0))</f>
        <v>32</v>
      </c>
      <c r="G23" s="179">
        <f>IF($A23="","",IFERROR(INDEX(tblStaff[FTE],3)*INDEX(Assumptions!$D$15:$D$19,MATCH(INDEX(tblStaff[Staff Level],3),Assumptions!$A$15:$A$19,0))*INDEX(Assumptions!$E$15:$E$19,MATCH(INDEX(tblStaff[Staff Level],3),Assumptions!$A$15:$A$19,0)),0))</f>
        <v>32</v>
      </c>
      <c r="H23" s="179">
        <f>IF($A23="","",IFERROR(INDEX(tblStaff[FTE],3)*INDEX(Assumptions!$D$15:$D$19,MATCH(INDEX(tblStaff[Staff Level],3),Assumptions!$A$15:$A$19,0))*INDEX(Assumptions!$E$15:$E$19,MATCH(INDEX(tblStaff[Staff Level],3),Assumptions!$A$15:$A$19,0)),0))</f>
        <v>32</v>
      </c>
      <c r="I23" s="179">
        <f>IF($A23="","",IFERROR(INDEX(tblStaff[FTE],3)*INDEX(Assumptions!$D$15:$D$19,MATCH(INDEX(tblStaff[Staff Level],3),Assumptions!$A$15:$A$19,0))*INDEX(Assumptions!$E$15:$E$19,MATCH(INDEX(tblStaff[Staff Level],3),Assumptions!$A$15:$A$19,0)),0))</f>
        <v>32</v>
      </c>
      <c r="J23" s="179">
        <f>IF($A23="","",IFERROR(INDEX(tblStaff[FTE],3)*INDEX(Assumptions!$D$15:$D$19,MATCH(INDEX(tblStaff[Staff Level],3),Assumptions!$A$15:$A$19,0))*INDEX(Assumptions!$E$15:$E$19,MATCH(INDEX(tblStaff[Staff Level],3),Assumptions!$A$15:$A$19,0)),0))</f>
        <v>32</v>
      </c>
      <c r="K23" s="179">
        <f>IF($A23="","",IFERROR(INDEX(tblStaff[FTE],3)*INDEX(Assumptions!$D$15:$D$19,MATCH(INDEX(tblStaff[Staff Level],3),Assumptions!$A$15:$A$19,0))*INDEX(Assumptions!$E$15:$E$19,MATCH(INDEX(tblStaff[Staff Level],3),Assumptions!$A$15:$A$19,0)),0))</f>
        <v>32</v>
      </c>
      <c r="L23" s="179">
        <f>IF($A23="","",IFERROR(INDEX(tblStaff[FTE],3)*INDEX(Assumptions!$D$15:$D$19,MATCH(INDEX(tblStaff[Staff Level],3),Assumptions!$A$15:$A$19,0))*INDEX(Assumptions!$E$15:$E$19,MATCH(INDEX(tblStaff[Staff Level],3),Assumptions!$A$15:$A$19,0)),0))</f>
        <v>32</v>
      </c>
      <c r="M23" s="179">
        <f>IF($A23="","",IFERROR(INDEX(tblStaff[FTE],3)*INDEX(Assumptions!$D$15:$D$19,MATCH(INDEX(tblStaff[Staff Level],3),Assumptions!$A$15:$A$19,0))*INDEX(Assumptions!$E$15:$E$19,MATCH(INDEX(tblStaff[Staff Level],3),Assumptions!$A$15:$A$19,0)),0))</f>
        <v>32</v>
      </c>
      <c r="N23" s="179">
        <f>IF($A23="","",IFERROR(INDEX(tblStaff[FTE],3)*INDEX(Assumptions!$D$15:$D$19,MATCH(INDEX(tblStaff[Staff Level],3),Assumptions!$A$15:$A$19,0))*INDEX(Assumptions!$E$15:$E$19,MATCH(INDEX(tblStaff[Staff Level],3),Assumptions!$A$15:$A$19,0)),0))</f>
        <v>32</v>
      </c>
      <c r="O23" s="179">
        <f>IF($A23="","",IFERROR(INDEX(tblStaff[FTE],3)*INDEX(Assumptions!$D$15:$D$19,MATCH(INDEX(tblStaff[Staff Level],3),Assumptions!$A$15:$A$19,0))*INDEX(Assumptions!$E$15:$E$19,MATCH(INDEX(tblStaff[Staff Level],3),Assumptions!$A$15:$A$19,0)),0))</f>
        <v>32</v>
      </c>
      <c r="P23" s="179">
        <f>IF($A23="","",IFERROR(INDEX(tblStaff[FTE],3)*INDEX(Assumptions!$D$15:$D$19,MATCH(INDEX(tblStaff[Staff Level],3),Assumptions!$A$15:$A$19,0))*INDEX(Assumptions!$E$15:$E$19,MATCH(INDEX(tblStaff[Staff Level],3),Assumptions!$A$15:$A$19,0)),0))</f>
        <v>32</v>
      </c>
      <c r="Q23" s="179">
        <f>IF($A23="","",IFERROR(INDEX(tblStaff[FTE],3)*INDEX(Assumptions!$D$15:$D$19,MATCH(INDEX(tblStaff[Staff Level],3),Assumptions!$A$15:$A$19,0))*INDEX(Assumptions!$E$15:$E$19,MATCH(INDEX(tblStaff[Staff Level],3),Assumptions!$A$15:$A$19,0)),0))</f>
        <v>32</v>
      </c>
      <c r="R23" s="179">
        <f>IF($A23="","",IFERROR(INDEX(tblStaff[FTE],3)*INDEX(Assumptions!$D$15:$D$19,MATCH(INDEX(tblStaff[Staff Level],3),Assumptions!$A$15:$A$19,0))*INDEX(Assumptions!$E$15:$E$19,MATCH(INDEX(tblStaff[Staff Level],3),Assumptions!$A$15:$A$19,0)),0))</f>
        <v>32</v>
      </c>
      <c r="S23" s="179">
        <f>IF($A23="","",IFERROR(INDEX(tblStaff[FTE],3)*INDEX(Assumptions!$D$15:$D$19,MATCH(INDEX(tblStaff[Staff Level],3),Assumptions!$A$15:$A$19,0))*INDEX(Assumptions!$E$15:$E$19,MATCH(INDEX(tblStaff[Staff Level],3),Assumptions!$A$15:$A$19,0)),0))</f>
        <v>32</v>
      </c>
      <c r="T23" s="179">
        <f>IF($A23="","",IFERROR(INDEX(tblStaff[FTE],3)*INDEX(Assumptions!$D$15:$D$19,MATCH(INDEX(tblStaff[Staff Level],3),Assumptions!$A$15:$A$19,0))*INDEX(Assumptions!$E$15:$E$19,MATCH(INDEX(tblStaff[Staff Level],3),Assumptions!$A$15:$A$19,0)),0))</f>
        <v>32</v>
      </c>
      <c r="U23" s="179">
        <f>IF($A23="","",IFERROR(INDEX(tblStaff[FTE],3)*INDEX(Assumptions!$D$15:$D$19,MATCH(INDEX(tblStaff[Staff Level],3),Assumptions!$A$15:$A$19,0))*INDEX(Assumptions!$E$15:$E$19,MATCH(INDEX(tblStaff[Staff Level],3),Assumptions!$A$15:$A$19,0)),0))</f>
        <v>32</v>
      </c>
      <c r="V23" s="179">
        <f>IF($A23="","",IFERROR(INDEX(tblStaff[FTE],3)*INDEX(Assumptions!$D$15:$D$19,MATCH(INDEX(tblStaff[Staff Level],3),Assumptions!$A$15:$A$19,0))*INDEX(Assumptions!$E$15:$E$19,MATCH(INDEX(tblStaff[Staff Level],3),Assumptions!$A$15:$A$19,0)),0))</f>
        <v>32</v>
      </c>
      <c r="W23" s="179">
        <f>IF($A23="","",IFERROR(INDEX(tblStaff[FTE],3)*INDEX(Assumptions!$D$15:$D$19,MATCH(INDEX(tblStaff[Staff Level],3),Assumptions!$A$15:$A$19,0))*INDEX(Assumptions!$E$15:$E$19,MATCH(INDEX(tblStaff[Staff Level],3),Assumptions!$A$15:$A$19,0)),0))</f>
        <v>32</v>
      </c>
      <c r="X23" s="179">
        <f>IF($A23="","",IFERROR(INDEX(tblStaff[FTE],3)*INDEX(Assumptions!$D$15:$D$19,MATCH(INDEX(tblStaff[Staff Level],3),Assumptions!$A$15:$A$19,0))*INDEX(Assumptions!$E$15:$E$19,MATCH(INDEX(tblStaff[Staff Level],3),Assumptions!$A$15:$A$19,0)),0))</f>
        <v>32</v>
      </c>
      <c r="Y23" s="179">
        <f>IF($A23="","",IFERROR(INDEX(tblStaff[FTE],3)*INDEX(Assumptions!$D$15:$D$19,MATCH(INDEX(tblStaff[Staff Level],3),Assumptions!$A$15:$A$19,0))*INDEX(Assumptions!$E$15:$E$19,MATCH(INDEX(tblStaff[Staff Level],3),Assumptions!$A$15:$A$19,0)),0))</f>
        <v>32</v>
      </c>
      <c r="Z23" s="179">
        <f>IF($A23="","",IFERROR(INDEX(tblStaff[FTE],3)*INDEX(Assumptions!$D$15:$D$19,MATCH(INDEX(tblStaff[Staff Level],3),Assumptions!$A$15:$A$19,0))*INDEX(Assumptions!$E$15:$E$19,MATCH(INDEX(tblStaff[Staff Level],3),Assumptions!$A$15:$A$19,0)),0))</f>
        <v>32</v>
      </c>
      <c r="AA23" s="179">
        <f>IF($A23="","",IFERROR(INDEX(tblStaff[FTE],3)*INDEX(Assumptions!$D$15:$D$19,MATCH(INDEX(tblStaff[Staff Level],3),Assumptions!$A$15:$A$19,0))*INDEX(Assumptions!$E$15:$E$19,MATCH(INDEX(tblStaff[Staff Level],3),Assumptions!$A$15:$A$19,0)),0))</f>
        <v>32</v>
      </c>
      <c r="AB23" s="179">
        <f>IF($A23="","",IFERROR(INDEX(tblStaff[FTE],3)*INDEX(Assumptions!$D$15:$D$19,MATCH(INDEX(tblStaff[Staff Level],3),Assumptions!$A$15:$A$19,0))*INDEX(Assumptions!$E$15:$E$19,MATCH(INDEX(tblStaff[Staff Level],3),Assumptions!$A$15:$A$19,0)),0))</f>
        <v>32</v>
      </c>
      <c r="AC23" s="179">
        <f>IF($A23="","",IFERROR(INDEX(tblStaff[FTE],3)*INDEX(Assumptions!$D$15:$D$19,MATCH(INDEX(tblStaff[Staff Level],3),Assumptions!$A$15:$A$19,0))*INDEX(Assumptions!$E$15:$E$19,MATCH(INDEX(tblStaff[Staff Level],3),Assumptions!$A$15:$A$19,0)),0))</f>
        <v>32</v>
      </c>
      <c r="AD23" s="179">
        <f>IF($A23="","",IFERROR(INDEX(tblStaff[FTE],3)*INDEX(Assumptions!$D$15:$D$19,MATCH(INDEX(tblStaff[Staff Level],3),Assumptions!$A$15:$A$19,0))*INDEX(Assumptions!$E$15:$E$19,MATCH(INDEX(tblStaff[Staff Level],3),Assumptions!$A$15:$A$19,0)),0))</f>
        <v>32</v>
      </c>
      <c r="AE23" s="179">
        <f>IF($A23="","",IFERROR(INDEX(tblStaff[FTE],3)*INDEX(Assumptions!$D$15:$D$19,MATCH(INDEX(tblStaff[Staff Level],3),Assumptions!$A$15:$A$19,0))*INDEX(Assumptions!$E$15:$E$19,MATCH(INDEX(tblStaff[Staff Level],3),Assumptions!$A$15:$A$19,0)),0))</f>
        <v>32</v>
      </c>
      <c r="AF23" s="179">
        <f>IF($A23="","",IFERROR(INDEX(tblStaff[FTE],3)*INDEX(Assumptions!$D$15:$D$19,MATCH(INDEX(tblStaff[Staff Level],3),Assumptions!$A$15:$A$19,0))*INDEX(Assumptions!$E$15:$E$19,MATCH(INDEX(tblStaff[Staff Level],3),Assumptions!$A$15:$A$19,0)),0))</f>
        <v>32</v>
      </c>
      <c r="AG23" s="179">
        <f>IF($A23="","",IFERROR(INDEX(tblStaff[FTE],3)*INDEX(Assumptions!$D$15:$D$19,MATCH(INDEX(tblStaff[Staff Level],3),Assumptions!$A$15:$A$19,0))*INDEX(Assumptions!$E$15:$E$19,MATCH(INDEX(tblStaff[Staff Level],3),Assumptions!$A$15:$A$19,0)),0))</f>
        <v>32</v>
      </c>
      <c r="AH23" s="179">
        <f>IF($A23="","",IFERROR(INDEX(tblStaff[FTE],3)*INDEX(Assumptions!$D$15:$D$19,MATCH(INDEX(tblStaff[Staff Level],3),Assumptions!$A$15:$A$19,0))*INDEX(Assumptions!$E$15:$E$19,MATCH(INDEX(tblStaff[Staff Level],3),Assumptions!$A$15:$A$19,0)),0))</f>
        <v>32</v>
      </c>
      <c r="AI23" s="179">
        <f>IF($A23="","",IFERROR(INDEX(tblStaff[FTE],3)*INDEX(Assumptions!$D$15:$D$19,MATCH(INDEX(tblStaff[Staff Level],3),Assumptions!$A$15:$A$19,0))*INDEX(Assumptions!$E$15:$E$19,MATCH(INDEX(tblStaff[Staff Level],3),Assumptions!$A$15:$A$19,0)),0))</f>
        <v>32</v>
      </c>
      <c r="AJ23" s="179">
        <f>IF($A23="","",IFERROR(INDEX(tblStaff[FTE],3)*INDEX(Assumptions!$D$15:$D$19,MATCH(INDEX(tblStaff[Staff Level],3),Assumptions!$A$15:$A$19,0))*INDEX(Assumptions!$E$15:$E$19,MATCH(INDEX(tblStaff[Staff Level],3),Assumptions!$A$15:$A$19,0)),0))</f>
        <v>32</v>
      </c>
      <c r="AK23" s="179">
        <f>IF($A23="","",IFERROR(INDEX(tblStaff[FTE],3)*INDEX(Assumptions!$D$15:$D$19,MATCH(INDEX(tblStaff[Staff Level],3),Assumptions!$A$15:$A$19,0))*INDEX(Assumptions!$E$15:$E$19,MATCH(INDEX(tblStaff[Staff Level],3),Assumptions!$A$15:$A$19,0)),0))</f>
        <v>32</v>
      </c>
      <c r="AL23" s="179">
        <f>IF($A23="","",IFERROR(INDEX(tblStaff[FTE],3)*INDEX(Assumptions!$D$15:$D$19,MATCH(INDEX(tblStaff[Staff Level],3),Assumptions!$A$15:$A$19,0))*INDEX(Assumptions!$E$15:$E$19,MATCH(INDEX(tblStaff[Staff Level],3),Assumptions!$A$15:$A$19,0)),0))</f>
        <v>32</v>
      </c>
      <c r="AM23" s="179">
        <f>IF($A23="","",IFERROR(INDEX(tblStaff[FTE],3)*INDEX(Assumptions!$D$15:$D$19,MATCH(INDEX(tblStaff[Staff Level],3),Assumptions!$A$15:$A$19,0))*INDEX(Assumptions!$E$15:$E$19,MATCH(INDEX(tblStaff[Staff Level],3),Assumptions!$A$15:$A$19,0)),0))</f>
        <v>32</v>
      </c>
      <c r="AN23" s="179">
        <f>IF($A23="","",IFERROR(INDEX(tblStaff[FTE],3)*INDEX(Assumptions!$D$15:$D$19,MATCH(INDEX(tblStaff[Staff Level],3),Assumptions!$A$15:$A$19,0))*INDEX(Assumptions!$E$15:$E$19,MATCH(INDEX(tblStaff[Staff Level],3),Assumptions!$A$15:$A$19,0)),0))</f>
        <v>32</v>
      </c>
      <c r="AO23" s="179">
        <f>IF($A23="","",IFERROR(INDEX(tblStaff[FTE],3)*INDEX(Assumptions!$D$15:$D$19,MATCH(INDEX(tblStaff[Staff Level],3),Assumptions!$A$15:$A$19,0))*INDEX(Assumptions!$E$15:$E$19,MATCH(INDEX(tblStaff[Staff Level],3),Assumptions!$A$15:$A$19,0)),0))</f>
        <v>32</v>
      </c>
      <c r="AP23" s="179">
        <f>IF($A23="","",IFERROR(INDEX(tblStaff[FTE],3)*INDEX(Assumptions!$D$15:$D$19,MATCH(INDEX(tblStaff[Staff Level],3),Assumptions!$A$15:$A$19,0))*INDEX(Assumptions!$E$15:$E$19,MATCH(INDEX(tblStaff[Staff Level],3),Assumptions!$A$15:$A$19,0)),0))</f>
        <v>32</v>
      </c>
      <c r="AQ23" s="179">
        <f>IF($A23="","",IFERROR(INDEX(tblStaff[FTE],3)*INDEX(Assumptions!$D$15:$D$19,MATCH(INDEX(tblStaff[Staff Level],3),Assumptions!$A$15:$A$19,0))*INDEX(Assumptions!$E$15:$E$19,MATCH(INDEX(tblStaff[Staff Level],3),Assumptions!$A$15:$A$19,0)),0))</f>
        <v>32</v>
      </c>
      <c r="AR23" s="179">
        <f>IF($A23="","",IFERROR(INDEX(tblStaff[FTE],3)*INDEX(Assumptions!$D$15:$D$19,MATCH(INDEX(tblStaff[Staff Level],3),Assumptions!$A$15:$A$19,0))*INDEX(Assumptions!$E$15:$E$19,MATCH(INDEX(tblStaff[Staff Level],3),Assumptions!$A$15:$A$19,0)),0))</f>
        <v>32</v>
      </c>
      <c r="AS23" s="179">
        <f>IF($A23="","",IFERROR(INDEX(tblStaff[FTE],3)*INDEX(Assumptions!$D$15:$D$19,MATCH(INDEX(tblStaff[Staff Level],3),Assumptions!$A$15:$A$19,0))*INDEX(Assumptions!$E$15:$E$19,MATCH(INDEX(tblStaff[Staff Level],3),Assumptions!$A$15:$A$19,0)),0))</f>
        <v>32</v>
      </c>
      <c r="AT23" s="179">
        <f>IF($A23="","",IFERROR(INDEX(tblStaff[FTE],3)*INDEX(Assumptions!$D$15:$D$19,MATCH(INDEX(tblStaff[Staff Level],3),Assumptions!$A$15:$A$19,0))*INDEX(Assumptions!$E$15:$E$19,MATCH(INDEX(tblStaff[Staff Level],3),Assumptions!$A$15:$A$19,0)),0))</f>
        <v>32</v>
      </c>
      <c r="AU23" s="179">
        <f>IF($A23="","",IFERROR(INDEX(tblStaff[FTE],3)*INDEX(Assumptions!$D$15:$D$19,MATCH(INDEX(tblStaff[Staff Level],3),Assumptions!$A$15:$A$19,0))*INDEX(Assumptions!$E$15:$E$19,MATCH(INDEX(tblStaff[Staff Level],3),Assumptions!$A$15:$A$19,0)),0))</f>
        <v>32</v>
      </c>
      <c r="AV23" s="179">
        <f>IF($A23="","",IFERROR(INDEX(tblStaff[FTE],3)*INDEX(Assumptions!$D$15:$D$19,MATCH(INDEX(tblStaff[Staff Level],3),Assumptions!$A$15:$A$19,0))*INDEX(Assumptions!$E$15:$E$19,MATCH(INDEX(tblStaff[Staff Level],3),Assumptions!$A$15:$A$19,0)),0))</f>
        <v>32</v>
      </c>
      <c r="AW23" s="179">
        <f>IF($A23="","",IFERROR(INDEX(tblStaff[FTE],3)*INDEX(Assumptions!$D$15:$D$19,MATCH(INDEX(tblStaff[Staff Level],3),Assumptions!$A$15:$A$19,0))*INDEX(Assumptions!$E$15:$E$19,MATCH(INDEX(tblStaff[Staff Level],3),Assumptions!$A$15:$A$19,0)),0))</f>
        <v>32</v>
      </c>
      <c r="AX23" s="179">
        <f>IF($A23="","",IFERROR(INDEX(tblStaff[FTE],3)*INDEX(Assumptions!$D$15:$D$19,MATCH(INDEX(tblStaff[Staff Level],3),Assumptions!$A$15:$A$19,0))*INDEX(Assumptions!$E$15:$E$19,MATCH(INDEX(tblStaff[Staff Level],3),Assumptions!$A$15:$A$19,0)),0))</f>
        <v>32</v>
      </c>
      <c r="AY23" s="179">
        <f>IF($A23="","",IFERROR(INDEX(tblStaff[FTE],3)*INDEX(Assumptions!$D$15:$D$19,MATCH(INDEX(tblStaff[Staff Level],3),Assumptions!$A$15:$A$19,0))*INDEX(Assumptions!$E$15:$E$19,MATCH(INDEX(tblStaff[Staff Level],3),Assumptions!$A$15:$A$19,0)),0))</f>
        <v>32</v>
      </c>
      <c r="AZ23" s="179">
        <f>IF($A23="","",IFERROR(INDEX(tblStaff[FTE],3)*INDEX(Assumptions!$D$15:$D$19,MATCH(INDEX(tblStaff[Staff Level],3),Assumptions!$A$15:$A$19,0))*INDEX(Assumptions!$E$15:$E$19,MATCH(INDEX(tblStaff[Staff Level],3),Assumptions!$A$15:$A$19,0)),0))</f>
        <v>32</v>
      </c>
      <c r="BA23" s="179">
        <f>IF($A23="","",IFERROR(INDEX(tblStaff[FTE],3)*INDEX(Assumptions!$D$15:$D$19,MATCH(INDEX(tblStaff[Staff Level],3),Assumptions!$A$15:$A$19,0))*INDEX(Assumptions!$E$15:$E$19,MATCH(INDEX(tblStaff[Staff Level],3),Assumptions!$A$15:$A$19,0)),0))</f>
        <v>32</v>
      </c>
      <c r="BB23" s="179">
        <f>IF($A23="","",IFERROR(INDEX(tblStaff[FTE],3)*INDEX(Assumptions!$D$15:$D$19,MATCH(INDEX(tblStaff[Staff Level],3),Assumptions!$A$15:$A$19,0))*INDEX(Assumptions!$E$15:$E$19,MATCH(INDEX(tblStaff[Staff Level],3),Assumptions!$A$15:$A$19,0)),0))</f>
        <v>32</v>
      </c>
      <c r="BC23" s="179">
        <f>IF($A23="","",IFERROR(INDEX(tblStaff[FTE],3)*INDEX(Assumptions!$D$15:$D$19,MATCH(INDEX(tblStaff[Staff Level],3),Assumptions!$A$15:$A$19,0))*INDEX(Assumptions!$E$15:$E$19,MATCH(INDEX(tblStaff[Staff Level],3),Assumptions!$A$15:$A$19,0)),0))</f>
        <v>32</v>
      </c>
    </row>
    <row r="24" spans="1:55" hidden="1" outlineLevel="1" x14ac:dyDescent="0.25">
      <c r="A24" s="180" t="str">
        <f t="shared" si="8"/>
        <v>HL · Senior Designer</v>
      </c>
      <c r="B24" s="178">
        <f t="shared" si="9"/>
        <v>36</v>
      </c>
      <c r="C24" s="178">
        <f t="shared" si="10"/>
        <v>36</v>
      </c>
      <c r="D24" s="179">
        <f>IF($A24="","",IFERROR(INDEX(tblStaff[FTE],4)*INDEX(Assumptions!$D$15:$D$19,MATCH(INDEX(tblStaff[Staff Level],4),Assumptions!$A$15:$A$19,0))*INDEX(Assumptions!$E$15:$E$19,MATCH(INDEX(tblStaff[Staff Level],4),Assumptions!$A$15:$A$19,0)),0))</f>
        <v>36</v>
      </c>
      <c r="E24" s="179">
        <f>IF($A24="","",IFERROR(INDEX(tblStaff[FTE],4)*INDEX(Assumptions!$D$15:$D$19,MATCH(INDEX(tblStaff[Staff Level],4),Assumptions!$A$15:$A$19,0))*INDEX(Assumptions!$E$15:$E$19,MATCH(INDEX(tblStaff[Staff Level],4),Assumptions!$A$15:$A$19,0)),0))</f>
        <v>36</v>
      </c>
      <c r="F24" s="179">
        <f>IF($A24="","",IFERROR(INDEX(tblStaff[FTE],4)*INDEX(Assumptions!$D$15:$D$19,MATCH(INDEX(tblStaff[Staff Level],4),Assumptions!$A$15:$A$19,0))*INDEX(Assumptions!$E$15:$E$19,MATCH(INDEX(tblStaff[Staff Level],4),Assumptions!$A$15:$A$19,0)),0))</f>
        <v>36</v>
      </c>
      <c r="G24" s="179">
        <f>IF($A24="","",IFERROR(INDEX(tblStaff[FTE],4)*INDEX(Assumptions!$D$15:$D$19,MATCH(INDEX(tblStaff[Staff Level],4),Assumptions!$A$15:$A$19,0))*INDEX(Assumptions!$E$15:$E$19,MATCH(INDEX(tblStaff[Staff Level],4),Assumptions!$A$15:$A$19,0)),0))</f>
        <v>36</v>
      </c>
      <c r="H24" s="179">
        <f>IF($A24="","",IFERROR(INDEX(tblStaff[FTE],4)*INDEX(Assumptions!$D$15:$D$19,MATCH(INDEX(tblStaff[Staff Level],4),Assumptions!$A$15:$A$19,0))*INDEX(Assumptions!$E$15:$E$19,MATCH(INDEX(tblStaff[Staff Level],4),Assumptions!$A$15:$A$19,0)),0))</f>
        <v>36</v>
      </c>
      <c r="I24" s="179">
        <f>IF($A24="","",IFERROR(INDEX(tblStaff[FTE],4)*INDEX(Assumptions!$D$15:$D$19,MATCH(INDEX(tblStaff[Staff Level],4),Assumptions!$A$15:$A$19,0))*INDEX(Assumptions!$E$15:$E$19,MATCH(INDEX(tblStaff[Staff Level],4),Assumptions!$A$15:$A$19,0)),0))</f>
        <v>36</v>
      </c>
      <c r="J24" s="179">
        <f>IF($A24="","",IFERROR(INDEX(tblStaff[FTE],4)*INDEX(Assumptions!$D$15:$D$19,MATCH(INDEX(tblStaff[Staff Level],4),Assumptions!$A$15:$A$19,0))*INDEX(Assumptions!$E$15:$E$19,MATCH(INDEX(tblStaff[Staff Level],4),Assumptions!$A$15:$A$19,0)),0))</f>
        <v>36</v>
      </c>
      <c r="K24" s="179">
        <f>IF($A24="","",IFERROR(INDEX(tblStaff[FTE],4)*INDEX(Assumptions!$D$15:$D$19,MATCH(INDEX(tblStaff[Staff Level],4),Assumptions!$A$15:$A$19,0))*INDEX(Assumptions!$E$15:$E$19,MATCH(INDEX(tblStaff[Staff Level],4),Assumptions!$A$15:$A$19,0)),0))</f>
        <v>36</v>
      </c>
      <c r="L24" s="179">
        <f>IF($A24="","",IFERROR(INDEX(tblStaff[FTE],4)*INDEX(Assumptions!$D$15:$D$19,MATCH(INDEX(tblStaff[Staff Level],4),Assumptions!$A$15:$A$19,0))*INDEX(Assumptions!$E$15:$E$19,MATCH(INDEX(tblStaff[Staff Level],4),Assumptions!$A$15:$A$19,0)),0))</f>
        <v>36</v>
      </c>
      <c r="M24" s="179">
        <f>IF($A24="","",IFERROR(INDEX(tblStaff[FTE],4)*INDEX(Assumptions!$D$15:$D$19,MATCH(INDEX(tblStaff[Staff Level],4),Assumptions!$A$15:$A$19,0))*INDEX(Assumptions!$E$15:$E$19,MATCH(INDEX(tblStaff[Staff Level],4),Assumptions!$A$15:$A$19,0)),0))</f>
        <v>36</v>
      </c>
      <c r="N24" s="179">
        <f>IF($A24="","",IFERROR(INDEX(tblStaff[FTE],4)*INDEX(Assumptions!$D$15:$D$19,MATCH(INDEX(tblStaff[Staff Level],4),Assumptions!$A$15:$A$19,0))*INDEX(Assumptions!$E$15:$E$19,MATCH(INDEX(tblStaff[Staff Level],4),Assumptions!$A$15:$A$19,0)),0))</f>
        <v>36</v>
      </c>
      <c r="O24" s="179">
        <f>IF($A24="","",IFERROR(INDEX(tblStaff[FTE],4)*INDEX(Assumptions!$D$15:$D$19,MATCH(INDEX(tblStaff[Staff Level],4),Assumptions!$A$15:$A$19,0))*INDEX(Assumptions!$E$15:$E$19,MATCH(INDEX(tblStaff[Staff Level],4),Assumptions!$A$15:$A$19,0)),0))</f>
        <v>36</v>
      </c>
      <c r="P24" s="179">
        <f>IF($A24="","",IFERROR(INDEX(tblStaff[FTE],4)*INDEX(Assumptions!$D$15:$D$19,MATCH(INDEX(tblStaff[Staff Level],4),Assumptions!$A$15:$A$19,0))*INDEX(Assumptions!$E$15:$E$19,MATCH(INDEX(tblStaff[Staff Level],4),Assumptions!$A$15:$A$19,0)),0))</f>
        <v>36</v>
      </c>
      <c r="Q24" s="179">
        <f>IF($A24="","",IFERROR(INDEX(tblStaff[FTE],4)*INDEX(Assumptions!$D$15:$D$19,MATCH(INDEX(tblStaff[Staff Level],4),Assumptions!$A$15:$A$19,0))*INDEX(Assumptions!$E$15:$E$19,MATCH(INDEX(tblStaff[Staff Level],4),Assumptions!$A$15:$A$19,0)),0))</f>
        <v>36</v>
      </c>
      <c r="R24" s="179">
        <f>IF($A24="","",IFERROR(INDEX(tblStaff[FTE],4)*INDEX(Assumptions!$D$15:$D$19,MATCH(INDEX(tblStaff[Staff Level],4),Assumptions!$A$15:$A$19,0))*INDEX(Assumptions!$E$15:$E$19,MATCH(INDEX(tblStaff[Staff Level],4),Assumptions!$A$15:$A$19,0)),0))</f>
        <v>36</v>
      </c>
      <c r="S24" s="179">
        <f>IF($A24="","",IFERROR(INDEX(tblStaff[FTE],4)*INDEX(Assumptions!$D$15:$D$19,MATCH(INDEX(tblStaff[Staff Level],4),Assumptions!$A$15:$A$19,0))*INDEX(Assumptions!$E$15:$E$19,MATCH(INDEX(tblStaff[Staff Level],4),Assumptions!$A$15:$A$19,0)),0))</f>
        <v>36</v>
      </c>
      <c r="T24" s="179">
        <f>IF($A24="","",IFERROR(INDEX(tblStaff[FTE],4)*INDEX(Assumptions!$D$15:$D$19,MATCH(INDEX(tblStaff[Staff Level],4),Assumptions!$A$15:$A$19,0))*INDEX(Assumptions!$E$15:$E$19,MATCH(INDEX(tblStaff[Staff Level],4),Assumptions!$A$15:$A$19,0)),0))</f>
        <v>36</v>
      </c>
      <c r="U24" s="179">
        <f>IF($A24="","",IFERROR(INDEX(tblStaff[FTE],4)*INDEX(Assumptions!$D$15:$D$19,MATCH(INDEX(tblStaff[Staff Level],4),Assumptions!$A$15:$A$19,0))*INDEX(Assumptions!$E$15:$E$19,MATCH(INDEX(tblStaff[Staff Level],4),Assumptions!$A$15:$A$19,0)),0))</f>
        <v>36</v>
      </c>
      <c r="V24" s="179">
        <f>IF($A24="","",IFERROR(INDEX(tblStaff[FTE],4)*INDEX(Assumptions!$D$15:$D$19,MATCH(INDEX(tblStaff[Staff Level],4),Assumptions!$A$15:$A$19,0))*INDEX(Assumptions!$E$15:$E$19,MATCH(INDEX(tblStaff[Staff Level],4),Assumptions!$A$15:$A$19,0)),0))</f>
        <v>36</v>
      </c>
      <c r="W24" s="179">
        <f>IF($A24="","",IFERROR(INDEX(tblStaff[FTE],4)*INDEX(Assumptions!$D$15:$D$19,MATCH(INDEX(tblStaff[Staff Level],4),Assumptions!$A$15:$A$19,0))*INDEX(Assumptions!$E$15:$E$19,MATCH(INDEX(tblStaff[Staff Level],4),Assumptions!$A$15:$A$19,0)),0))</f>
        <v>36</v>
      </c>
      <c r="X24" s="179">
        <f>IF($A24="","",IFERROR(INDEX(tblStaff[FTE],4)*INDEX(Assumptions!$D$15:$D$19,MATCH(INDEX(tblStaff[Staff Level],4),Assumptions!$A$15:$A$19,0))*INDEX(Assumptions!$E$15:$E$19,MATCH(INDEX(tblStaff[Staff Level],4),Assumptions!$A$15:$A$19,0)),0))</f>
        <v>36</v>
      </c>
      <c r="Y24" s="179">
        <f>IF($A24="","",IFERROR(INDEX(tblStaff[FTE],4)*INDEX(Assumptions!$D$15:$D$19,MATCH(INDEX(tblStaff[Staff Level],4),Assumptions!$A$15:$A$19,0))*INDEX(Assumptions!$E$15:$E$19,MATCH(INDEX(tblStaff[Staff Level],4),Assumptions!$A$15:$A$19,0)),0))</f>
        <v>36</v>
      </c>
      <c r="Z24" s="179">
        <f>IF($A24="","",IFERROR(INDEX(tblStaff[FTE],4)*INDEX(Assumptions!$D$15:$D$19,MATCH(INDEX(tblStaff[Staff Level],4),Assumptions!$A$15:$A$19,0))*INDEX(Assumptions!$E$15:$E$19,MATCH(INDEX(tblStaff[Staff Level],4),Assumptions!$A$15:$A$19,0)),0))</f>
        <v>36</v>
      </c>
      <c r="AA24" s="179">
        <f>IF($A24="","",IFERROR(INDEX(tblStaff[FTE],4)*INDEX(Assumptions!$D$15:$D$19,MATCH(INDEX(tblStaff[Staff Level],4),Assumptions!$A$15:$A$19,0))*INDEX(Assumptions!$E$15:$E$19,MATCH(INDEX(tblStaff[Staff Level],4),Assumptions!$A$15:$A$19,0)),0))</f>
        <v>36</v>
      </c>
      <c r="AB24" s="179">
        <f>IF($A24="","",IFERROR(INDEX(tblStaff[FTE],4)*INDEX(Assumptions!$D$15:$D$19,MATCH(INDEX(tblStaff[Staff Level],4),Assumptions!$A$15:$A$19,0))*INDEX(Assumptions!$E$15:$E$19,MATCH(INDEX(tblStaff[Staff Level],4),Assumptions!$A$15:$A$19,0)),0))</f>
        <v>36</v>
      </c>
      <c r="AC24" s="179">
        <f>IF($A24="","",IFERROR(INDEX(tblStaff[FTE],4)*INDEX(Assumptions!$D$15:$D$19,MATCH(INDEX(tblStaff[Staff Level],4),Assumptions!$A$15:$A$19,0))*INDEX(Assumptions!$E$15:$E$19,MATCH(INDEX(tblStaff[Staff Level],4),Assumptions!$A$15:$A$19,0)),0))</f>
        <v>36</v>
      </c>
      <c r="AD24" s="179">
        <f>IF($A24="","",IFERROR(INDEX(tblStaff[FTE],4)*INDEX(Assumptions!$D$15:$D$19,MATCH(INDEX(tblStaff[Staff Level],4),Assumptions!$A$15:$A$19,0))*INDEX(Assumptions!$E$15:$E$19,MATCH(INDEX(tblStaff[Staff Level],4),Assumptions!$A$15:$A$19,0)),0))</f>
        <v>36</v>
      </c>
      <c r="AE24" s="179">
        <f>IF($A24="","",IFERROR(INDEX(tblStaff[FTE],4)*INDEX(Assumptions!$D$15:$D$19,MATCH(INDEX(tblStaff[Staff Level],4),Assumptions!$A$15:$A$19,0))*INDEX(Assumptions!$E$15:$E$19,MATCH(INDEX(tblStaff[Staff Level],4),Assumptions!$A$15:$A$19,0)),0))</f>
        <v>36</v>
      </c>
      <c r="AF24" s="179">
        <f>IF($A24="","",IFERROR(INDEX(tblStaff[FTE],4)*INDEX(Assumptions!$D$15:$D$19,MATCH(INDEX(tblStaff[Staff Level],4),Assumptions!$A$15:$A$19,0))*INDEX(Assumptions!$E$15:$E$19,MATCH(INDEX(tblStaff[Staff Level],4),Assumptions!$A$15:$A$19,0)),0))</f>
        <v>36</v>
      </c>
      <c r="AG24" s="179">
        <f>IF($A24="","",IFERROR(INDEX(tblStaff[FTE],4)*INDEX(Assumptions!$D$15:$D$19,MATCH(INDEX(tblStaff[Staff Level],4),Assumptions!$A$15:$A$19,0))*INDEX(Assumptions!$E$15:$E$19,MATCH(INDEX(tblStaff[Staff Level],4),Assumptions!$A$15:$A$19,0)),0))</f>
        <v>36</v>
      </c>
      <c r="AH24" s="179">
        <f>IF($A24="","",IFERROR(INDEX(tblStaff[FTE],4)*INDEX(Assumptions!$D$15:$D$19,MATCH(INDEX(tblStaff[Staff Level],4),Assumptions!$A$15:$A$19,0))*INDEX(Assumptions!$E$15:$E$19,MATCH(INDEX(tblStaff[Staff Level],4),Assumptions!$A$15:$A$19,0)),0))</f>
        <v>36</v>
      </c>
      <c r="AI24" s="179">
        <f>IF($A24="","",IFERROR(INDEX(tblStaff[FTE],4)*INDEX(Assumptions!$D$15:$D$19,MATCH(INDEX(tblStaff[Staff Level],4),Assumptions!$A$15:$A$19,0))*INDEX(Assumptions!$E$15:$E$19,MATCH(INDEX(tblStaff[Staff Level],4),Assumptions!$A$15:$A$19,0)),0))</f>
        <v>36</v>
      </c>
      <c r="AJ24" s="179">
        <f>IF($A24="","",IFERROR(INDEX(tblStaff[FTE],4)*INDEX(Assumptions!$D$15:$D$19,MATCH(INDEX(tblStaff[Staff Level],4),Assumptions!$A$15:$A$19,0))*INDEX(Assumptions!$E$15:$E$19,MATCH(INDEX(tblStaff[Staff Level],4),Assumptions!$A$15:$A$19,0)),0))</f>
        <v>36</v>
      </c>
      <c r="AK24" s="179">
        <f>IF($A24="","",IFERROR(INDEX(tblStaff[FTE],4)*INDEX(Assumptions!$D$15:$D$19,MATCH(INDEX(tblStaff[Staff Level],4),Assumptions!$A$15:$A$19,0))*INDEX(Assumptions!$E$15:$E$19,MATCH(INDEX(tblStaff[Staff Level],4),Assumptions!$A$15:$A$19,0)),0))</f>
        <v>36</v>
      </c>
      <c r="AL24" s="179">
        <f>IF($A24="","",IFERROR(INDEX(tblStaff[FTE],4)*INDEX(Assumptions!$D$15:$D$19,MATCH(INDEX(tblStaff[Staff Level],4),Assumptions!$A$15:$A$19,0))*INDEX(Assumptions!$E$15:$E$19,MATCH(INDEX(tblStaff[Staff Level],4),Assumptions!$A$15:$A$19,0)),0))</f>
        <v>36</v>
      </c>
      <c r="AM24" s="179">
        <f>IF($A24="","",IFERROR(INDEX(tblStaff[FTE],4)*INDEX(Assumptions!$D$15:$D$19,MATCH(INDEX(tblStaff[Staff Level],4),Assumptions!$A$15:$A$19,0))*INDEX(Assumptions!$E$15:$E$19,MATCH(INDEX(tblStaff[Staff Level],4),Assumptions!$A$15:$A$19,0)),0))</f>
        <v>36</v>
      </c>
      <c r="AN24" s="179">
        <f>IF($A24="","",IFERROR(INDEX(tblStaff[FTE],4)*INDEX(Assumptions!$D$15:$D$19,MATCH(INDEX(tblStaff[Staff Level],4),Assumptions!$A$15:$A$19,0))*INDEX(Assumptions!$E$15:$E$19,MATCH(INDEX(tblStaff[Staff Level],4),Assumptions!$A$15:$A$19,0)),0))</f>
        <v>36</v>
      </c>
      <c r="AO24" s="179">
        <f>IF($A24="","",IFERROR(INDEX(tblStaff[FTE],4)*INDEX(Assumptions!$D$15:$D$19,MATCH(INDEX(tblStaff[Staff Level],4),Assumptions!$A$15:$A$19,0))*INDEX(Assumptions!$E$15:$E$19,MATCH(INDEX(tblStaff[Staff Level],4),Assumptions!$A$15:$A$19,0)),0))</f>
        <v>36</v>
      </c>
      <c r="AP24" s="179">
        <f>IF($A24="","",IFERROR(INDEX(tblStaff[FTE],4)*INDEX(Assumptions!$D$15:$D$19,MATCH(INDEX(tblStaff[Staff Level],4),Assumptions!$A$15:$A$19,0))*INDEX(Assumptions!$E$15:$E$19,MATCH(INDEX(tblStaff[Staff Level],4),Assumptions!$A$15:$A$19,0)),0))</f>
        <v>36</v>
      </c>
      <c r="AQ24" s="179">
        <f>IF($A24="","",IFERROR(INDEX(tblStaff[FTE],4)*INDEX(Assumptions!$D$15:$D$19,MATCH(INDEX(tblStaff[Staff Level],4),Assumptions!$A$15:$A$19,0))*INDEX(Assumptions!$E$15:$E$19,MATCH(INDEX(tblStaff[Staff Level],4),Assumptions!$A$15:$A$19,0)),0))</f>
        <v>36</v>
      </c>
      <c r="AR24" s="179">
        <f>IF($A24="","",IFERROR(INDEX(tblStaff[FTE],4)*INDEX(Assumptions!$D$15:$D$19,MATCH(INDEX(tblStaff[Staff Level],4),Assumptions!$A$15:$A$19,0))*INDEX(Assumptions!$E$15:$E$19,MATCH(INDEX(tblStaff[Staff Level],4),Assumptions!$A$15:$A$19,0)),0))</f>
        <v>36</v>
      </c>
      <c r="AS24" s="179">
        <f>IF($A24="","",IFERROR(INDEX(tblStaff[FTE],4)*INDEX(Assumptions!$D$15:$D$19,MATCH(INDEX(tblStaff[Staff Level],4),Assumptions!$A$15:$A$19,0))*INDEX(Assumptions!$E$15:$E$19,MATCH(INDEX(tblStaff[Staff Level],4),Assumptions!$A$15:$A$19,0)),0))</f>
        <v>36</v>
      </c>
      <c r="AT24" s="179">
        <f>IF($A24="","",IFERROR(INDEX(tblStaff[FTE],4)*INDEX(Assumptions!$D$15:$D$19,MATCH(INDEX(tblStaff[Staff Level],4),Assumptions!$A$15:$A$19,0))*INDEX(Assumptions!$E$15:$E$19,MATCH(INDEX(tblStaff[Staff Level],4),Assumptions!$A$15:$A$19,0)),0))</f>
        <v>36</v>
      </c>
      <c r="AU24" s="179">
        <f>IF($A24="","",IFERROR(INDEX(tblStaff[FTE],4)*INDEX(Assumptions!$D$15:$D$19,MATCH(INDEX(tblStaff[Staff Level],4),Assumptions!$A$15:$A$19,0))*INDEX(Assumptions!$E$15:$E$19,MATCH(INDEX(tblStaff[Staff Level],4),Assumptions!$A$15:$A$19,0)),0))</f>
        <v>36</v>
      </c>
      <c r="AV24" s="179">
        <f>IF($A24="","",IFERROR(INDEX(tblStaff[FTE],4)*INDEX(Assumptions!$D$15:$D$19,MATCH(INDEX(tblStaff[Staff Level],4),Assumptions!$A$15:$A$19,0))*INDEX(Assumptions!$E$15:$E$19,MATCH(INDEX(tblStaff[Staff Level],4),Assumptions!$A$15:$A$19,0)),0))</f>
        <v>36</v>
      </c>
      <c r="AW24" s="179">
        <f>IF($A24="","",IFERROR(INDEX(tblStaff[FTE],4)*INDEX(Assumptions!$D$15:$D$19,MATCH(INDEX(tblStaff[Staff Level],4),Assumptions!$A$15:$A$19,0))*INDEX(Assumptions!$E$15:$E$19,MATCH(INDEX(tblStaff[Staff Level],4),Assumptions!$A$15:$A$19,0)),0))</f>
        <v>36</v>
      </c>
      <c r="AX24" s="179">
        <f>IF($A24="","",IFERROR(INDEX(tblStaff[FTE],4)*INDEX(Assumptions!$D$15:$D$19,MATCH(INDEX(tblStaff[Staff Level],4),Assumptions!$A$15:$A$19,0))*INDEX(Assumptions!$E$15:$E$19,MATCH(INDEX(tblStaff[Staff Level],4),Assumptions!$A$15:$A$19,0)),0))</f>
        <v>36</v>
      </c>
      <c r="AY24" s="179">
        <f>IF($A24="","",IFERROR(INDEX(tblStaff[FTE],4)*INDEX(Assumptions!$D$15:$D$19,MATCH(INDEX(tblStaff[Staff Level],4),Assumptions!$A$15:$A$19,0))*INDEX(Assumptions!$E$15:$E$19,MATCH(INDEX(tblStaff[Staff Level],4),Assumptions!$A$15:$A$19,0)),0))</f>
        <v>36</v>
      </c>
      <c r="AZ24" s="179">
        <f>IF($A24="","",IFERROR(INDEX(tblStaff[FTE],4)*INDEX(Assumptions!$D$15:$D$19,MATCH(INDEX(tblStaff[Staff Level],4),Assumptions!$A$15:$A$19,0))*INDEX(Assumptions!$E$15:$E$19,MATCH(INDEX(tblStaff[Staff Level],4),Assumptions!$A$15:$A$19,0)),0))</f>
        <v>36</v>
      </c>
      <c r="BA24" s="179">
        <f>IF($A24="","",IFERROR(INDEX(tblStaff[FTE],4)*INDEX(Assumptions!$D$15:$D$19,MATCH(INDEX(tblStaff[Staff Level],4),Assumptions!$A$15:$A$19,0))*INDEX(Assumptions!$E$15:$E$19,MATCH(INDEX(tblStaff[Staff Level],4),Assumptions!$A$15:$A$19,0)),0))</f>
        <v>36</v>
      </c>
      <c r="BB24" s="179">
        <f>IF($A24="","",IFERROR(INDEX(tblStaff[FTE],4)*INDEX(Assumptions!$D$15:$D$19,MATCH(INDEX(tblStaff[Staff Level],4),Assumptions!$A$15:$A$19,0))*INDEX(Assumptions!$E$15:$E$19,MATCH(INDEX(tblStaff[Staff Level],4),Assumptions!$A$15:$A$19,0)),0))</f>
        <v>36</v>
      </c>
      <c r="BC24" s="179">
        <f>IF($A24="","",IFERROR(INDEX(tblStaff[FTE],4)*INDEX(Assumptions!$D$15:$D$19,MATCH(INDEX(tblStaff[Staff Level],4),Assumptions!$A$15:$A$19,0))*INDEX(Assumptions!$E$15:$E$19,MATCH(INDEX(tblStaff[Staff Level],4),Assumptions!$A$15:$A$19,0)),0))</f>
        <v>36</v>
      </c>
    </row>
    <row r="25" spans="1:55" hidden="1" outlineLevel="1" x14ac:dyDescent="0.25">
      <c r="A25" s="180" t="str">
        <f t="shared" si="8"/>
        <v>EHH · Mid Level Designer</v>
      </c>
      <c r="B25" s="178">
        <f t="shared" si="9"/>
        <v>36</v>
      </c>
      <c r="C25" s="178">
        <f t="shared" si="10"/>
        <v>36</v>
      </c>
      <c r="D25" s="179">
        <f>IF($A25="","",IFERROR(INDEX(tblStaff[FTE],5)*INDEX(Assumptions!$D$15:$D$19,MATCH(INDEX(tblStaff[Staff Level],5),Assumptions!$A$15:$A$19,0))*INDEX(Assumptions!$E$15:$E$19,MATCH(INDEX(tblStaff[Staff Level],5),Assumptions!$A$15:$A$19,0)),0))</f>
        <v>36</v>
      </c>
      <c r="E25" s="179">
        <f>IF($A25="","",IFERROR(INDEX(tblStaff[FTE],5)*INDEX(Assumptions!$D$15:$D$19,MATCH(INDEX(tblStaff[Staff Level],5),Assumptions!$A$15:$A$19,0))*INDEX(Assumptions!$E$15:$E$19,MATCH(INDEX(tblStaff[Staff Level],5),Assumptions!$A$15:$A$19,0)),0))</f>
        <v>36</v>
      </c>
      <c r="F25" s="179">
        <f>IF($A25="","",IFERROR(INDEX(tblStaff[FTE],5)*INDEX(Assumptions!$D$15:$D$19,MATCH(INDEX(tblStaff[Staff Level],5),Assumptions!$A$15:$A$19,0))*INDEX(Assumptions!$E$15:$E$19,MATCH(INDEX(tblStaff[Staff Level],5),Assumptions!$A$15:$A$19,0)),0))</f>
        <v>36</v>
      </c>
      <c r="G25" s="179">
        <f>IF($A25="","",IFERROR(INDEX(tblStaff[FTE],5)*INDEX(Assumptions!$D$15:$D$19,MATCH(INDEX(tblStaff[Staff Level],5),Assumptions!$A$15:$A$19,0))*INDEX(Assumptions!$E$15:$E$19,MATCH(INDEX(tblStaff[Staff Level],5),Assumptions!$A$15:$A$19,0)),0))</f>
        <v>36</v>
      </c>
      <c r="H25" s="179">
        <f>IF($A25="","",IFERROR(INDEX(tblStaff[FTE],5)*INDEX(Assumptions!$D$15:$D$19,MATCH(INDEX(tblStaff[Staff Level],5),Assumptions!$A$15:$A$19,0))*INDEX(Assumptions!$E$15:$E$19,MATCH(INDEX(tblStaff[Staff Level],5),Assumptions!$A$15:$A$19,0)),0))</f>
        <v>36</v>
      </c>
      <c r="I25" s="179">
        <f>IF($A25="","",IFERROR(INDEX(tblStaff[FTE],5)*INDEX(Assumptions!$D$15:$D$19,MATCH(INDEX(tblStaff[Staff Level],5),Assumptions!$A$15:$A$19,0))*INDEX(Assumptions!$E$15:$E$19,MATCH(INDEX(tblStaff[Staff Level],5),Assumptions!$A$15:$A$19,0)),0))</f>
        <v>36</v>
      </c>
      <c r="J25" s="179">
        <f>IF($A25="","",IFERROR(INDEX(tblStaff[FTE],5)*INDEX(Assumptions!$D$15:$D$19,MATCH(INDEX(tblStaff[Staff Level],5),Assumptions!$A$15:$A$19,0))*INDEX(Assumptions!$E$15:$E$19,MATCH(INDEX(tblStaff[Staff Level],5),Assumptions!$A$15:$A$19,0)),0))</f>
        <v>36</v>
      </c>
      <c r="K25" s="179">
        <f>IF($A25="","",IFERROR(INDEX(tblStaff[FTE],5)*INDEX(Assumptions!$D$15:$D$19,MATCH(INDEX(tblStaff[Staff Level],5),Assumptions!$A$15:$A$19,0))*INDEX(Assumptions!$E$15:$E$19,MATCH(INDEX(tblStaff[Staff Level],5),Assumptions!$A$15:$A$19,0)),0))</f>
        <v>36</v>
      </c>
      <c r="L25" s="179">
        <f>IF($A25="","",IFERROR(INDEX(tblStaff[FTE],5)*INDEX(Assumptions!$D$15:$D$19,MATCH(INDEX(tblStaff[Staff Level],5),Assumptions!$A$15:$A$19,0))*INDEX(Assumptions!$E$15:$E$19,MATCH(INDEX(tblStaff[Staff Level],5),Assumptions!$A$15:$A$19,0)),0))</f>
        <v>36</v>
      </c>
      <c r="M25" s="179">
        <f>IF($A25="","",IFERROR(INDEX(tblStaff[FTE],5)*INDEX(Assumptions!$D$15:$D$19,MATCH(INDEX(tblStaff[Staff Level],5),Assumptions!$A$15:$A$19,0))*INDEX(Assumptions!$E$15:$E$19,MATCH(INDEX(tblStaff[Staff Level],5),Assumptions!$A$15:$A$19,0)),0))</f>
        <v>36</v>
      </c>
      <c r="N25" s="179">
        <f>IF($A25="","",IFERROR(INDEX(tblStaff[FTE],5)*INDEX(Assumptions!$D$15:$D$19,MATCH(INDEX(tblStaff[Staff Level],5),Assumptions!$A$15:$A$19,0))*INDEX(Assumptions!$E$15:$E$19,MATCH(INDEX(tblStaff[Staff Level],5),Assumptions!$A$15:$A$19,0)),0))</f>
        <v>36</v>
      </c>
      <c r="O25" s="179">
        <f>IF($A25="","",IFERROR(INDEX(tblStaff[FTE],5)*INDEX(Assumptions!$D$15:$D$19,MATCH(INDEX(tblStaff[Staff Level],5),Assumptions!$A$15:$A$19,0))*INDEX(Assumptions!$E$15:$E$19,MATCH(INDEX(tblStaff[Staff Level],5),Assumptions!$A$15:$A$19,0)),0))</f>
        <v>36</v>
      </c>
      <c r="P25" s="179">
        <f>IF($A25="","",IFERROR(INDEX(tblStaff[FTE],5)*INDEX(Assumptions!$D$15:$D$19,MATCH(INDEX(tblStaff[Staff Level],5),Assumptions!$A$15:$A$19,0))*INDEX(Assumptions!$E$15:$E$19,MATCH(INDEX(tblStaff[Staff Level],5),Assumptions!$A$15:$A$19,0)),0))</f>
        <v>36</v>
      </c>
      <c r="Q25" s="179">
        <f>IF($A25="","",IFERROR(INDEX(tblStaff[FTE],5)*INDEX(Assumptions!$D$15:$D$19,MATCH(INDEX(tblStaff[Staff Level],5),Assumptions!$A$15:$A$19,0))*INDEX(Assumptions!$E$15:$E$19,MATCH(INDEX(tblStaff[Staff Level],5),Assumptions!$A$15:$A$19,0)),0))</f>
        <v>36</v>
      </c>
      <c r="R25" s="179">
        <f>IF($A25="","",IFERROR(INDEX(tblStaff[FTE],5)*INDEX(Assumptions!$D$15:$D$19,MATCH(INDEX(tblStaff[Staff Level],5),Assumptions!$A$15:$A$19,0))*INDEX(Assumptions!$E$15:$E$19,MATCH(INDEX(tblStaff[Staff Level],5),Assumptions!$A$15:$A$19,0)),0))</f>
        <v>36</v>
      </c>
      <c r="S25" s="179">
        <f>IF($A25="","",IFERROR(INDEX(tblStaff[FTE],5)*INDEX(Assumptions!$D$15:$D$19,MATCH(INDEX(tblStaff[Staff Level],5),Assumptions!$A$15:$A$19,0))*INDEX(Assumptions!$E$15:$E$19,MATCH(INDEX(tblStaff[Staff Level],5),Assumptions!$A$15:$A$19,0)),0))</f>
        <v>36</v>
      </c>
      <c r="T25" s="179">
        <f>IF($A25="","",IFERROR(INDEX(tblStaff[FTE],5)*INDEX(Assumptions!$D$15:$D$19,MATCH(INDEX(tblStaff[Staff Level],5),Assumptions!$A$15:$A$19,0))*INDEX(Assumptions!$E$15:$E$19,MATCH(INDEX(tblStaff[Staff Level],5),Assumptions!$A$15:$A$19,0)),0))</f>
        <v>36</v>
      </c>
      <c r="U25" s="179">
        <f>IF($A25="","",IFERROR(INDEX(tblStaff[FTE],5)*INDEX(Assumptions!$D$15:$D$19,MATCH(INDEX(tblStaff[Staff Level],5),Assumptions!$A$15:$A$19,0))*INDEX(Assumptions!$E$15:$E$19,MATCH(INDEX(tblStaff[Staff Level],5),Assumptions!$A$15:$A$19,0)),0))</f>
        <v>36</v>
      </c>
      <c r="V25" s="179">
        <f>IF($A25="","",IFERROR(INDEX(tblStaff[FTE],5)*INDEX(Assumptions!$D$15:$D$19,MATCH(INDEX(tblStaff[Staff Level],5),Assumptions!$A$15:$A$19,0))*INDEX(Assumptions!$E$15:$E$19,MATCH(INDEX(tblStaff[Staff Level],5),Assumptions!$A$15:$A$19,0)),0))</f>
        <v>36</v>
      </c>
      <c r="W25" s="179">
        <f>IF($A25="","",IFERROR(INDEX(tblStaff[FTE],5)*INDEX(Assumptions!$D$15:$D$19,MATCH(INDEX(tblStaff[Staff Level],5),Assumptions!$A$15:$A$19,0))*INDEX(Assumptions!$E$15:$E$19,MATCH(INDEX(tblStaff[Staff Level],5),Assumptions!$A$15:$A$19,0)),0))</f>
        <v>36</v>
      </c>
      <c r="X25" s="179">
        <f>IF($A25="","",IFERROR(INDEX(tblStaff[FTE],5)*INDEX(Assumptions!$D$15:$D$19,MATCH(INDEX(tblStaff[Staff Level],5),Assumptions!$A$15:$A$19,0))*INDEX(Assumptions!$E$15:$E$19,MATCH(INDEX(tblStaff[Staff Level],5),Assumptions!$A$15:$A$19,0)),0))</f>
        <v>36</v>
      </c>
      <c r="Y25" s="179">
        <f>IF($A25="","",IFERROR(INDEX(tblStaff[FTE],5)*INDEX(Assumptions!$D$15:$D$19,MATCH(INDEX(tblStaff[Staff Level],5),Assumptions!$A$15:$A$19,0))*INDEX(Assumptions!$E$15:$E$19,MATCH(INDEX(tblStaff[Staff Level],5),Assumptions!$A$15:$A$19,0)),0))</f>
        <v>36</v>
      </c>
      <c r="Z25" s="179">
        <f>IF($A25="","",IFERROR(INDEX(tblStaff[FTE],5)*INDEX(Assumptions!$D$15:$D$19,MATCH(INDEX(tblStaff[Staff Level],5),Assumptions!$A$15:$A$19,0))*INDEX(Assumptions!$E$15:$E$19,MATCH(INDEX(tblStaff[Staff Level],5),Assumptions!$A$15:$A$19,0)),0))</f>
        <v>36</v>
      </c>
      <c r="AA25" s="179">
        <f>IF($A25="","",IFERROR(INDEX(tblStaff[FTE],5)*INDEX(Assumptions!$D$15:$D$19,MATCH(INDEX(tblStaff[Staff Level],5),Assumptions!$A$15:$A$19,0))*INDEX(Assumptions!$E$15:$E$19,MATCH(INDEX(tblStaff[Staff Level],5),Assumptions!$A$15:$A$19,0)),0))</f>
        <v>36</v>
      </c>
      <c r="AB25" s="179">
        <f>IF($A25="","",IFERROR(INDEX(tblStaff[FTE],5)*INDEX(Assumptions!$D$15:$D$19,MATCH(INDEX(tblStaff[Staff Level],5),Assumptions!$A$15:$A$19,0))*INDEX(Assumptions!$E$15:$E$19,MATCH(INDEX(tblStaff[Staff Level],5),Assumptions!$A$15:$A$19,0)),0))</f>
        <v>36</v>
      </c>
      <c r="AC25" s="179">
        <f>IF($A25="","",IFERROR(INDEX(tblStaff[FTE],5)*INDEX(Assumptions!$D$15:$D$19,MATCH(INDEX(tblStaff[Staff Level],5),Assumptions!$A$15:$A$19,0))*INDEX(Assumptions!$E$15:$E$19,MATCH(INDEX(tblStaff[Staff Level],5),Assumptions!$A$15:$A$19,0)),0))</f>
        <v>36</v>
      </c>
      <c r="AD25" s="179">
        <f>IF($A25="","",IFERROR(INDEX(tblStaff[FTE],5)*INDEX(Assumptions!$D$15:$D$19,MATCH(INDEX(tblStaff[Staff Level],5),Assumptions!$A$15:$A$19,0))*INDEX(Assumptions!$E$15:$E$19,MATCH(INDEX(tblStaff[Staff Level],5),Assumptions!$A$15:$A$19,0)),0))</f>
        <v>36</v>
      </c>
      <c r="AE25" s="179">
        <f>IF($A25="","",IFERROR(INDEX(tblStaff[FTE],5)*INDEX(Assumptions!$D$15:$D$19,MATCH(INDEX(tblStaff[Staff Level],5),Assumptions!$A$15:$A$19,0))*INDEX(Assumptions!$E$15:$E$19,MATCH(INDEX(tblStaff[Staff Level],5),Assumptions!$A$15:$A$19,0)),0))</f>
        <v>36</v>
      </c>
      <c r="AF25" s="179">
        <f>IF($A25="","",IFERROR(INDEX(tblStaff[FTE],5)*INDEX(Assumptions!$D$15:$D$19,MATCH(INDEX(tblStaff[Staff Level],5),Assumptions!$A$15:$A$19,0))*INDEX(Assumptions!$E$15:$E$19,MATCH(INDEX(tblStaff[Staff Level],5),Assumptions!$A$15:$A$19,0)),0))</f>
        <v>36</v>
      </c>
      <c r="AG25" s="179">
        <f>IF($A25="","",IFERROR(INDEX(tblStaff[FTE],5)*INDEX(Assumptions!$D$15:$D$19,MATCH(INDEX(tblStaff[Staff Level],5),Assumptions!$A$15:$A$19,0))*INDEX(Assumptions!$E$15:$E$19,MATCH(INDEX(tblStaff[Staff Level],5),Assumptions!$A$15:$A$19,0)),0))</f>
        <v>36</v>
      </c>
      <c r="AH25" s="179">
        <f>IF($A25="","",IFERROR(INDEX(tblStaff[FTE],5)*INDEX(Assumptions!$D$15:$D$19,MATCH(INDEX(tblStaff[Staff Level],5),Assumptions!$A$15:$A$19,0))*INDEX(Assumptions!$E$15:$E$19,MATCH(INDEX(tblStaff[Staff Level],5),Assumptions!$A$15:$A$19,0)),0))</f>
        <v>36</v>
      </c>
      <c r="AI25" s="179">
        <f>IF($A25="","",IFERROR(INDEX(tblStaff[FTE],5)*INDEX(Assumptions!$D$15:$D$19,MATCH(INDEX(tblStaff[Staff Level],5),Assumptions!$A$15:$A$19,0))*INDEX(Assumptions!$E$15:$E$19,MATCH(INDEX(tblStaff[Staff Level],5),Assumptions!$A$15:$A$19,0)),0))</f>
        <v>36</v>
      </c>
      <c r="AJ25" s="179">
        <f>IF($A25="","",IFERROR(INDEX(tblStaff[FTE],5)*INDEX(Assumptions!$D$15:$D$19,MATCH(INDEX(tblStaff[Staff Level],5),Assumptions!$A$15:$A$19,0))*INDEX(Assumptions!$E$15:$E$19,MATCH(INDEX(tblStaff[Staff Level],5),Assumptions!$A$15:$A$19,0)),0))</f>
        <v>36</v>
      </c>
      <c r="AK25" s="179">
        <f>IF($A25="","",IFERROR(INDEX(tblStaff[FTE],5)*INDEX(Assumptions!$D$15:$D$19,MATCH(INDEX(tblStaff[Staff Level],5),Assumptions!$A$15:$A$19,0))*INDEX(Assumptions!$E$15:$E$19,MATCH(INDEX(tblStaff[Staff Level],5),Assumptions!$A$15:$A$19,0)),0))</f>
        <v>36</v>
      </c>
      <c r="AL25" s="179">
        <f>IF($A25="","",IFERROR(INDEX(tblStaff[FTE],5)*INDEX(Assumptions!$D$15:$D$19,MATCH(INDEX(tblStaff[Staff Level],5),Assumptions!$A$15:$A$19,0))*INDEX(Assumptions!$E$15:$E$19,MATCH(INDEX(tblStaff[Staff Level],5),Assumptions!$A$15:$A$19,0)),0))</f>
        <v>36</v>
      </c>
      <c r="AM25" s="179">
        <f>IF($A25="","",IFERROR(INDEX(tblStaff[FTE],5)*INDEX(Assumptions!$D$15:$D$19,MATCH(INDEX(tblStaff[Staff Level],5),Assumptions!$A$15:$A$19,0))*INDEX(Assumptions!$E$15:$E$19,MATCH(INDEX(tblStaff[Staff Level],5),Assumptions!$A$15:$A$19,0)),0))</f>
        <v>36</v>
      </c>
      <c r="AN25" s="179">
        <f>IF($A25="","",IFERROR(INDEX(tblStaff[FTE],5)*INDEX(Assumptions!$D$15:$D$19,MATCH(INDEX(tblStaff[Staff Level],5),Assumptions!$A$15:$A$19,0))*INDEX(Assumptions!$E$15:$E$19,MATCH(INDEX(tblStaff[Staff Level],5),Assumptions!$A$15:$A$19,0)),0))</f>
        <v>36</v>
      </c>
      <c r="AO25" s="179">
        <f>IF($A25="","",IFERROR(INDEX(tblStaff[FTE],5)*INDEX(Assumptions!$D$15:$D$19,MATCH(INDEX(tblStaff[Staff Level],5),Assumptions!$A$15:$A$19,0))*INDEX(Assumptions!$E$15:$E$19,MATCH(INDEX(tblStaff[Staff Level],5),Assumptions!$A$15:$A$19,0)),0))</f>
        <v>36</v>
      </c>
      <c r="AP25" s="179">
        <f>IF($A25="","",IFERROR(INDEX(tblStaff[FTE],5)*INDEX(Assumptions!$D$15:$D$19,MATCH(INDEX(tblStaff[Staff Level],5),Assumptions!$A$15:$A$19,0))*INDEX(Assumptions!$E$15:$E$19,MATCH(INDEX(tblStaff[Staff Level],5),Assumptions!$A$15:$A$19,0)),0))</f>
        <v>36</v>
      </c>
      <c r="AQ25" s="179">
        <f>IF($A25="","",IFERROR(INDEX(tblStaff[FTE],5)*INDEX(Assumptions!$D$15:$D$19,MATCH(INDEX(tblStaff[Staff Level],5),Assumptions!$A$15:$A$19,0))*INDEX(Assumptions!$E$15:$E$19,MATCH(INDEX(tblStaff[Staff Level],5),Assumptions!$A$15:$A$19,0)),0))</f>
        <v>36</v>
      </c>
      <c r="AR25" s="179">
        <f>IF($A25="","",IFERROR(INDEX(tblStaff[FTE],5)*INDEX(Assumptions!$D$15:$D$19,MATCH(INDEX(tblStaff[Staff Level],5),Assumptions!$A$15:$A$19,0))*INDEX(Assumptions!$E$15:$E$19,MATCH(INDEX(tblStaff[Staff Level],5),Assumptions!$A$15:$A$19,0)),0))</f>
        <v>36</v>
      </c>
      <c r="AS25" s="179">
        <f>IF($A25="","",IFERROR(INDEX(tblStaff[FTE],5)*INDEX(Assumptions!$D$15:$D$19,MATCH(INDEX(tblStaff[Staff Level],5),Assumptions!$A$15:$A$19,0))*INDEX(Assumptions!$E$15:$E$19,MATCH(INDEX(tblStaff[Staff Level],5),Assumptions!$A$15:$A$19,0)),0))</f>
        <v>36</v>
      </c>
      <c r="AT25" s="179">
        <f>IF($A25="","",IFERROR(INDEX(tblStaff[FTE],5)*INDEX(Assumptions!$D$15:$D$19,MATCH(INDEX(tblStaff[Staff Level],5),Assumptions!$A$15:$A$19,0))*INDEX(Assumptions!$E$15:$E$19,MATCH(INDEX(tblStaff[Staff Level],5),Assumptions!$A$15:$A$19,0)),0))</f>
        <v>36</v>
      </c>
      <c r="AU25" s="179">
        <f>IF($A25="","",IFERROR(INDEX(tblStaff[FTE],5)*INDEX(Assumptions!$D$15:$D$19,MATCH(INDEX(tblStaff[Staff Level],5),Assumptions!$A$15:$A$19,0))*INDEX(Assumptions!$E$15:$E$19,MATCH(INDEX(tblStaff[Staff Level],5),Assumptions!$A$15:$A$19,0)),0))</f>
        <v>36</v>
      </c>
      <c r="AV25" s="179">
        <f>IF($A25="","",IFERROR(INDEX(tblStaff[FTE],5)*INDEX(Assumptions!$D$15:$D$19,MATCH(INDEX(tblStaff[Staff Level],5),Assumptions!$A$15:$A$19,0))*INDEX(Assumptions!$E$15:$E$19,MATCH(INDEX(tblStaff[Staff Level],5),Assumptions!$A$15:$A$19,0)),0))</f>
        <v>36</v>
      </c>
      <c r="AW25" s="179">
        <f>IF($A25="","",IFERROR(INDEX(tblStaff[FTE],5)*INDEX(Assumptions!$D$15:$D$19,MATCH(INDEX(tblStaff[Staff Level],5),Assumptions!$A$15:$A$19,0))*INDEX(Assumptions!$E$15:$E$19,MATCH(INDEX(tblStaff[Staff Level],5),Assumptions!$A$15:$A$19,0)),0))</f>
        <v>36</v>
      </c>
      <c r="AX25" s="179">
        <f>IF($A25="","",IFERROR(INDEX(tblStaff[FTE],5)*INDEX(Assumptions!$D$15:$D$19,MATCH(INDEX(tblStaff[Staff Level],5),Assumptions!$A$15:$A$19,0))*INDEX(Assumptions!$E$15:$E$19,MATCH(INDEX(tblStaff[Staff Level],5),Assumptions!$A$15:$A$19,0)),0))</f>
        <v>36</v>
      </c>
      <c r="AY25" s="179">
        <f>IF($A25="","",IFERROR(INDEX(tblStaff[FTE],5)*INDEX(Assumptions!$D$15:$D$19,MATCH(INDEX(tblStaff[Staff Level],5),Assumptions!$A$15:$A$19,0))*INDEX(Assumptions!$E$15:$E$19,MATCH(INDEX(tblStaff[Staff Level],5),Assumptions!$A$15:$A$19,0)),0))</f>
        <v>36</v>
      </c>
      <c r="AZ25" s="179">
        <f>IF($A25="","",IFERROR(INDEX(tblStaff[FTE],5)*INDEX(Assumptions!$D$15:$D$19,MATCH(INDEX(tblStaff[Staff Level],5),Assumptions!$A$15:$A$19,0))*INDEX(Assumptions!$E$15:$E$19,MATCH(INDEX(tblStaff[Staff Level],5),Assumptions!$A$15:$A$19,0)),0))</f>
        <v>36</v>
      </c>
      <c r="BA25" s="179">
        <f>IF($A25="","",IFERROR(INDEX(tblStaff[FTE],5)*INDEX(Assumptions!$D$15:$D$19,MATCH(INDEX(tblStaff[Staff Level],5),Assumptions!$A$15:$A$19,0))*INDEX(Assumptions!$E$15:$E$19,MATCH(INDEX(tblStaff[Staff Level],5),Assumptions!$A$15:$A$19,0)),0))</f>
        <v>36</v>
      </c>
      <c r="BB25" s="179">
        <f>IF($A25="","",IFERROR(INDEX(tblStaff[FTE],5)*INDEX(Assumptions!$D$15:$D$19,MATCH(INDEX(tblStaff[Staff Level],5),Assumptions!$A$15:$A$19,0))*INDEX(Assumptions!$E$15:$E$19,MATCH(INDEX(tblStaff[Staff Level],5),Assumptions!$A$15:$A$19,0)),0))</f>
        <v>36</v>
      </c>
      <c r="BC25" s="179">
        <f>IF($A25="","",IFERROR(INDEX(tblStaff[FTE],5)*INDEX(Assumptions!$D$15:$D$19,MATCH(INDEX(tblStaff[Staff Level],5),Assumptions!$A$15:$A$19,0))*INDEX(Assumptions!$E$15:$E$19,MATCH(INDEX(tblStaff[Staff Level],5),Assumptions!$A$15:$A$19,0)),0))</f>
        <v>36</v>
      </c>
    </row>
    <row r="26" spans="1:55" hidden="1" outlineLevel="1" x14ac:dyDescent="0.25">
      <c r="A26" s="180" t="str">
        <f t="shared" si="8"/>
        <v>KD · Mid Level Designer</v>
      </c>
      <c r="B26" s="178">
        <f t="shared" si="9"/>
        <v>36</v>
      </c>
      <c r="C26" s="178">
        <f t="shared" si="10"/>
        <v>36</v>
      </c>
      <c r="D26" s="179">
        <f>IF($A26="","",IFERROR(INDEX(tblStaff[FTE],6)*INDEX(Assumptions!$D$15:$D$19,MATCH(INDEX(tblStaff[Staff Level],6),Assumptions!$A$15:$A$19,0))*INDEX(Assumptions!$E$15:$E$19,MATCH(INDEX(tblStaff[Staff Level],6),Assumptions!$A$15:$A$19,0)),0))</f>
        <v>36</v>
      </c>
      <c r="E26" s="179">
        <f>IF($A26="","",IFERROR(INDEX(tblStaff[FTE],6)*INDEX(Assumptions!$D$15:$D$19,MATCH(INDEX(tblStaff[Staff Level],6),Assumptions!$A$15:$A$19,0))*INDEX(Assumptions!$E$15:$E$19,MATCH(INDEX(tblStaff[Staff Level],6),Assumptions!$A$15:$A$19,0)),0))</f>
        <v>36</v>
      </c>
      <c r="F26" s="179">
        <f>IF($A26="","",IFERROR(INDEX(tblStaff[FTE],6)*INDEX(Assumptions!$D$15:$D$19,MATCH(INDEX(tblStaff[Staff Level],6),Assumptions!$A$15:$A$19,0))*INDEX(Assumptions!$E$15:$E$19,MATCH(INDEX(tblStaff[Staff Level],6),Assumptions!$A$15:$A$19,0)),0))</f>
        <v>36</v>
      </c>
      <c r="G26" s="179">
        <f>IF($A26="","",IFERROR(INDEX(tblStaff[FTE],6)*INDEX(Assumptions!$D$15:$D$19,MATCH(INDEX(tblStaff[Staff Level],6),Assumptions!$A$15:$A$19,0))*INDEX(Assumptions!$E$15:$E$19,MATCH(INDEX(tblStaff[Staff Level],6),Assumptions!$A$15:$A$19,0)),0))</f>
        <v>36</v>
      </c>
      <c r="H26" s="179">
        <f>IF($A26="","",IFERROR(INDEX(tblStaff[FTE],6)*INDEX(Assumptions!$D$15:$D$19,MATCH(INDEX(tblStaff[Staff Level],6),Assumptions!$A$15:$A$19,0))*INDEX(Assumptions!$E$15:$E$19,MATCH(INDEX(tblStaff[Staff Level],6),Assumptions!$A$15:$A$19,0)),0))</f>
        <v>36</v>
      </c>
      <c r="I26" s="179">
        <f>IF($A26="","",IFERROR(INDEX(tblStaff[FTE],6)*INDEX(Assumptions!$D$15:$D$19,MATCH(INDEX(tblStaff[Staff Level],6),Assumptions!$A$15:$A$19,0))*INDEX(Assumptions!$E$15:$E$19,MATCH(INDEX(tblStaff[Staff Level],6),Assumptions!$A$15:$A$19,0)),0))</f>
        <v>36</v>
      </c>
      <c r="J26" s="179">
        <f>IF($A26="","",IFERROR(INDEX(tblStaff[FTE],6)*INDEX(Assumptions!$D$15:$D$19,MATCH(INDEX(tblStaff[Staff Level],6),Assumptions!$A$15:$A$19,0))*INDEX(Assumptions!$E$15:$E$19,MATCH(INDEX(tblStaff[Staff Level],6),Assumptions!$A$15:$A$19,0)),0))</f>
        <v>36</v>
      </c>
      <c r="K26" s="179">
        <f>IF($A26="","",IFERROR(INDEX(tblStaff[FTE],6)*INDEX(Assumptions!$D$15:$D$19,MATCH(INDEX(tblStaff[Staff Level],6),Assumptions!$A$15:$A$19,0))*INDEX(Assumptions!$E$15:$E$19,MATCH(INDEX(tblStaff[Staff Level],6),Assumptions!$A$15:$A$19,0)),0))</f>
        <v>36</v>
      </c>
      <c r="L26" s="179">
        <f>IF($A26="","",IFERROR(INDEX(tblStaff[FTE],6)*INDEX(Assumptions!$D$15:$D$19,MATCH(INDEX(tblStaff[Staff Level],6),Assumptions!$A$15:$A$19,0))*INDEX(Assumptions!$E$15:$E$19,MATCH(INDEX(tblStaff[Staff Level],6),Assumptions!$A$15:$A$19,0)),0))</f>
        <v>36</v>
      </c>
      <c r="M26" s="179">
        <f>IF($A26="","",IFERROR(INDEX(tblStaff[FTE],6)*INDEX(Assumptions!$D$15:$D$19,MATCH(INDEX(tblStaff[Staff Level],6),Assumptions!$A$15:$A$19,0))*INDEX(Assumptions!$E$15:$E$19,MATCH(INDEX(tblStaff[Staff Level],6),Assumptions!$A$15:$A$19,0)),0))</f>
        <v>36</v>
      </c>
      <c r="N26" s="179">
        <f>IF($A26="","",IFERROR(INDEX(tblStaff[FTE],6)*INDEX(Assumptions!$D$15:$D$19,MATCH(INDEX(tblStaff[Staff Level],6),Assumptions!$A$15:$A$19,0))*INDEX(Assumptions!$E$15:$E$19,MATCH(INDEX(tblStaff[Staff Level],6),Assumptions!$A$15:$A$19,0)),0))</f>
        <v>36</v>
      </c>
      <c r="O26" s="179">
        <f>IF($A26="","",IFERROR(INDEX(tblStaff[FTE],6)*INDEX(Assumptions!$D$15:$D$19,MATCH(INDEX(tblStaff[Staff Level],6),Assumptions!$A$15:$A$19,0))*INDEX(Assumptions!$E$15:$E$19,MATCH(INDEX(tblStaff[Staff Level],6),Assumptions!$A$15:$A$19,0)),0))</f>
        <v>36</v>
      </c>
      <c r="P26" s="179">
        <f>IF($A26="","",IFERROR(INDEX(tblStaff[FTE],6)*INDEX(Assumptions!$D$15:$D$19,MATCH(INDEX(tblStaff[Staff Level],6),Assumptions!$A$15:$A$19,0))*INDEX(Assumptions!$E$15:$E$19,MATCH(INDEX(tblStaff[Staff Level],6),Assumptions!$A$15:$A$19,0)),0))</f>
        <v>36</v>
      </c>
      <c r="Q26" s="179">
        <f>IF($A26="","",IFERROR(INDEX(tblStaff[FTE],6)*INDEX(Assumptions!$D$15:$D$19,MATCH(INDEX(tblStaff[Staff Level],6),Assumptions!$A$15:$A$19,0))*INDEX(Assumptions!$E$15:$E$19,MATCH(INDEX(tblStaff[Staff Level],6),Assumptions!$A$15:$A$19,0)),0))</f>
        <v>36</v>
      </c>
      <c r="R26" s="179">
        <f>IF($A26="","",IFERROR(INDEX(tblStaff[FTE],6)*INDEX(Assumptions!$D$15:$D$19,MATCH(INDEX(tblStaff[Staff Level],6),Assumptions!$A$15:$A$19,0))*INDEX(Assumptions!$E$15:$E$19,MATCH(INDEX(tblStaff[Staff Level],6),Assumptions!$A$15:$A$19,0)),0))</f>
        <v>36</v>
      </c>
      <c r="S26" s="179">
        <f>IF($A26="","",IFERROR(INDEX(tblStaff[FTE],6)*INDEX(Assumptions!$D$15:$D$19,MATCH(INDEX(tblStaff[Staff Level],6),Assumptions!$A$15:$A$19,0))*INDEX(Assumptions!$E$15:$E$19,MATCH(INDEX(tblStaff[Staff Level],6),Assumptions!$A$15:$A$19,0)),0))</f>
        <v>36</v>
      </c>
      <c r="T26" s="179">
        <f>IF($A26="","",IFERROR(INDEX(tblStaff[FTE],6)*INDEX(Assumptions!$D$15:$D$19,MATCH(INDEX(tblStaff[Staff Level],6),Assumptions!$A$15:$A$19,0))*INDEX(Assumptions!$E$15:$E$19,MATCH(INDEX(tblStaff[Staff Level],6),Assumptions!$A$15:$A$19,0)),0))</f>
        <v>36</v>
      </c>
      <c r="U26" s="179">
        <f>IF($A26="","",IFERROR(INDEX(tblStaff[FTE],6)*INDEX(Assumptions!$D$15:$D$19,MATCH(INDEX(tblStaff[Staff Level],6),Assumptions!$A$15:$A$19,0))*INDEX(Assumptions!$E$15:$E$19,MATCH(INDEX(tblStaff[Staff Level],6),Assumptions!$A$15:$A$19,0)),0))</f>
        <v>36</v>
      </c>
      <c r="V26" s="179">
        <f>IF($A26="","",IFERROR(INDEX(tblStaff[FTE],6)*INDEX(Assumptions!$D$15:$D$19,MATCH(INDEX(tblStaff[Staff Level],6),Assumptions!$A$15:$A$19,0))*INDEX(Assumptions!$E$15:$E$19,MATCH(INDEX(tblStaff[Staff Level],6),Assumptions!$A$15:$A$19,0)),0))</f>
        <v>36</v>
      </c>
      <c r="W26" s="179">
        <f>IF($A26="","",IFERROR(INDEX(tblStaff[FTE],6)*INDEX(Assumptions!$D$15:$D$19,MATCH(INDEX(tblStaff[Staff Level],6),Assumptions!$A$15:$A$19,0))*INDEX(Assumptions!$E$15:$E$19,MATCH(INDEX(tblStaff[Staff Level],6),Assumptions!$A$15:$A$19,0)),0))</f>
        <v>36</v>
      </c>
      <c r="X26" s="179">
        <f>IF($A26="","",IFERROR(INDEX(tblStaff[FTE],6)*INDEX(Assumptions!$D$15:$D$19,MATCH(INDEX(tblStaff[Staff Level],6),Assumptions!$A$15:$A$19,0))*INDEX(Assumptions!$E$15:$E$19,MATCH(INDEX(tblStaff[Staff Level],6),Assumptions!$A$15:$A$19,0)),0))</f>
        <v>36</v>
      </c>
      <c r="Y26" s="179">
        <f>IF($A26="","",IFERROR(INDEX(tblStaff[FTE],6)*INDEX(Assumptions!$D$15:$D$19,MATCH(INDEX(tblStaff[Staff Level],6),Assumptions!$A$15:$A$19,0))*INDEX(Assumptions!$E$15:$E$19,MATCH(INDEX(tblStaff[Staff Level],6),Assumptions!$A$15:$A$19,0)),0))</f>
        <v>36</v>
      </c>
      <c r="Z26" s="179">
        <f>IF($A26="","",IFERROR(INDEX(tblStaff[FTE],6)*INDEX(Assumptions!$D$15:$D$19,MATCH(INDEX(tblStaff[Staff Level],6),Assumptions!$A$15:$A$19,0))*INDEX(Assumptions!$E$15:$E$19,MATCH(INDEX(tblStaff[Staff Level],6),Assumptions!$A$15:$A$19,0)),0))</f>
        <v>36</v>
      </c>
      <c r="AA26" s="179">
        <f>IF($A26="","",IFERROR(INDEX(tblStaff[FTE],6)*INDEX(Assumptions!$D$15:$D$19,MATCH(INDEX(tblStaff[Staff Level],6),Assumptions!$A$15:$A$19,0))*INDEX(Assumptions!$E$15:$E$19,MATCH(INDEX(tblStaff[Staff Level],6),Assumptions!$A$15:$A$19,0)),0))</f>
        <v>36</v>
      </c>
      <c r="AB26" s="179">
        <f>IF($A26="","",IFERROR(INDEX(tblStaff[FTE],6)*INDEX(Assumptions!$D$15:$D$19,MATCH(INDEX(tblStaff[Staff Level],6),Assumptions!$A$15:$A$19,0))*INDEX(Assumptions!$E$15:$E$19,MATCH(INDEX(tblStaff[Staff Level],6),Assumptions!$A$15:$A$19,0)),0))</f>
        <v>36</v>
      </c>
      <c r="AC26" s="179">
        <f>IF($A26="","",IFERROR(INDEX(tblStaff[FTE],6)*INDEX(Assumptions!$D$15:$D$19,MATCH(INDEX(tblStaff[Staff Level],6),Assumptions!$A$15:$A$19,0))*INDEX(Assumptions!$E$15:$E$19,MATCH(INDEX(tblStaff[Staff Level],6),Assumptions!$A$15:$A$19,0)),0))</f>
        <v>36</v>
      </c>
      <c r="AD26" s="179">
        <f>IF($A26="","",IFERROR(INDEX(tblStaff[FTE],6)*INDEX(Assumptions!$D$15:$D$19,MATCH(INDEX(tblStaff[Staff Level],6),Assumptions!$A$15:$A$19,0))*INDEX(Assumptions!$E$15:$E$19,MATCH(INDEX(tblStaff[Staff Level],6),Assumptions!$A$15:$A$19,0)),0))</f>
        <v>36</v>
      </c>
      <c r="AE26" s="179">
        <f>IF($A26="","",IFERROR(INDEX(tblStaff[FTE],6)*INDEX(Assumptions!$D$15:$D$19,MATCH(INDEX(tblStaff[Staff Level],6),Assumptions!$A$15:$A$19,0))*INDEX(Assumptions!$E$15:$E$19,MATCH(INDEX(tblStaff[Staff Level],6),Assumptions!$A$15:$A$19,0)),0))</f>
        <v>36</v>
      </c>
      <c r="AF26" s="179">
        <f>IF($A26="","",IFERROR(INDEX(tblStaff[FTE],6)*INDEX(Assumptions!$D$15:$D$19,MATCH(INDEX(tblStaff[Staff Level],6),Assumptions!$A$15:$A$19,0))*INDEX(Assumptions!$E$15:$E$19,MATCH(INDEX(tblStaff[Staff Level],6),Assumptions!$A$15:$A$19,0)),0))</f>
        <v>36</v>
      </c>
      <c r="AG26" s="179">
        <f>IF($A26="","",IFERROR(INDEX(tblStaff[FTE],6)*INDEX(Assumptions!$D$15:$D$19,MATCH(INDEX(tblStaff[Staff Level],6),Assumptions!$A$15:$A$19,0))*INDEX(Assumptions!$E$15:$E$19,MATCH(INDEX(tblStaff[Staff Level],6),Assumptions!$A$15:$A$19,0)),0))</f>
        <v>36</v>
      </c>
      <c r="AH26" s="179">
        <f>IF($A26="","",IFERROR(INDEX(tblStaff[FTE],6)*INDEX(Assumptions!$D$15:$D$19,MATCH(INDEX(tblStaff[Staff Level],6),Assumptions!$A$15:$A$19,0))*INDEX(Assumptions!$E$15:$E$19,MATCH(INDEX(tblStaff[Staff Level],6),Assumptions!$A$15:$A$19,0)),0))</f>
        <v>36</v>
      </c>
      <c r="AI26" s="179">
        <f>IF($A26="","",IFERROR(INDEX(tblStaff[FTE],6)*INDEX(Assumptions!$D$15:$D$19,MATCH(INDEX(tblStaff[Staff Level],6),Assumptions!$A$15:$A$19,0))*INDEX(Assumptions!$E$15:$E$19,MATCH(INDEX(tblStaff[Staff Level],6),Assumptions!$A$15:$A$19,0)),0))</f>
        <v>36</v>
      </c>
      <c r="AJ26" s="179">
        <f>IF($A26="","",IFERROR(INDEX(tblStaff[FTE],6)*INDEX(Assumptions!$D$15:$D$19,MATCH(INDEX(tblStaff[Staff Level],6),Assumptions!$A$15:$A$19,0))*INDEX(Assumptions!$E$15:$E$19,MATCH(INDEX(tblStaff[Staff Level],6),Assumptions!$A$15:$A$19,0)),0))</f>
        <v>36</v>
      </c>
      <c r="AK26" s="179">
        <f>IF($A26="","",IFERROR(INDEX(tblStaff[FTE],6)*INDEX(Assumptions!$D$15:$D$19,MATCH(INDEX(tblStaff[Staff Level],6),Assumptions!$A$15:$A$19,0))*INDEX(Assumptions!$E$15:$E$19,MATCH(INDEX(tblStaff[Staff Level],6),Assumptions!$A$15:$A$19,0)),0))</f>
        <v>36</v>
      </c>
      <c r="AL26" s="179">
        <f>IF($A26="","",IFERROR(INDEX(tblStaff[FTE],6)*INDEX(Assumptions!$D$15:$D$19,MATCH(INDEX(tblStaff[Staff Level],6),Assumptions!$A$15:$A$19,0))*INDEX(Assumptions!$E$15:$E$19,MATCH(INDEX(tblStaff[Staff Level],6),Assumptions!$A$15:$A$19,0)),0))</f>
        <v>36</v>
      </c>
      <c r="AM26" s="179">
        <f>IF($A26="","",IFERROR(INDEX(tblStaff[FTE],6)*INDEX(Assumptions!$D$15:$D$19,MATCH(INDEX(tblStaff[Staff Level],6),Assumptions!$A$15:$A$19,0))*INDEX(Assumptions!$E$15:$E$19,MATCH(INDEX(tblStaff[Staff Level],6),Assumptions!$A$15:$A$19,0)),0))</f>
        <v>36</v>
      </c>
      <c r="AN26" s="179">
        <f>IF($A26="","",IFERROR(INDEX(tblStaff[FTE],6)*INDEX(Assumptions!$D$15:$D$19,MATCH(INDEX(tblStaff[Staff Level],6),Assumptions!$A$15:$A$19,0))*INDEX(Assumptions!$E$15:$E$19,MATCH(INDEX(tblStaff[Staff Level],6),Assumptions!$A$15:$A$19,0)),0))</f>
        <v>36</v>
      </c>
      <c r="AO26" s="179">
        <f>IF($A26="","",IFERROR(INDEX(tblStaff[FTE],6)*INDEX(Assumptions!$D$15:$D$19,MATCH(INDEX(tblStaff[Staff Level],6),Assumptions!$A$15:$A$19,0))*INDEX(Assumptions!$E$15:$E$19,MATCH(INDEX(tblStaff[Staff Level],6),Assumptions!$A$15:$A$19,0)),0))</f>
        <v>36</v>
      </c>
      <c r="AP26" s="179">
        <f>IF($A26="","",IFERROR(INDEX(tblStaff[FTE],6)*INDEX(Assumptions!$D$15:$D$19,MATCH(INDEX(tblStaff[Staff Level],6),Assumptions!$A$15:$A$19,0))*INDEX(Assumptions!$E$15:$E$19,MATCH(INDEX(tblStaff[Staff Level],6),Assumptions!$A$15:$A$19,0)),0))</f>
        <v>36</v>
      </c>
      <c r="AQ26" s="179">
        <f>IF($A26="","",IFERROR(INDEX(tblStaff[FTE],6)*INDEX(Assumptions!$D$15:$D$19,MATCH(INDEX(tblStaff[Staff Level],6),Assumptions!$A$15:$A$19,0))*INDEX(Assumptions!$E$15:$E$19,MATCH(INDEX(tblStaff[Staff Level],6),Assumptions!$A$15:$A$19,0)),0))</f>
        <v>36</v>
      </c>
      <c r="AR26" s="179">
        <f>IF($A26="","",IFERROR(INDEX(tblStaff[FTE],6)*INDEX(Assumptions!$D$15:$D$19,MATCH(INDEX(tblStaff[Staff Level],6),Assumptions!$A$15:$A$19,0))*INDEX(Assumptions!$E$15:$E$19,MATCH(INDEX(tblStaff[Staff Level],6),Assumptions!$A$15:$A$19,0)),0))</f>
        <v>36</v>
      </c>
      <c r="AS26" s="179">
        <f>IF($A26="","",IFERROR(INDEX(tblStaff[FTE],6)*INDEX(Assumptions!$D$15:$D$19,MATCH(INDEX(tblStaff[Staff Level],6),Assumptions!$A$15:$A$19,0))*INDEX(Assumptions!$E$15:$E$19,MATCH(INDEX(tblStaff[Staff Level],6),Assumptions!$A$15:$A$19,0)),0))</f>
        <v>36</v>
      </c>
      <c r="AT26" s="179">
        <f>IF($A26="","",IFERROR(INDEX(tblStaff[FTE],6)*INDEX(Assumptions!$D$15:$D$19,MATCH(INDEX(tblStaff[Staff Level],6),Assumptions!$A$15:$A$19,0))*INDEX(Assumptions!$E$15:$E$19,MATCH(INDEX(tblStaff[Staff Level],6),Assumptions!$A$15:$A$19,0)),0))</f>
        <v>36</v>
      </c>
      <c r="AU26" s="179">
        <f>IF($A26="","",IFERROR(INDEX(tblStaff[FTE],6)*INDEX(Assumptions!$D$15:$D$19,MATCH(INDEX(tblStaff[Staff Level],6),Assumptions!$A$15:$A$19,0))*INDEX(Assumptions!$E$15:$E$19,MATCH(INDEX(tblStaff[Staff Level],6),Assumptions!$A$15:$A$19,0)),0))</f>
        <v>36</v>
      </c>
      <c r="AV26" s="179">
        <f>IF($A26="","",IFERROR(INDEX(tblStaff[FTE],6)*INDEX(Assumptions!$D$15:$D$19,MATCH(INDEX(tblStaff[Staff Level],6),Assumptions!$A$15:$A$19,0))*INDEX(Assumptions!$E$15:$E$19,MATCH(INDEX(tblStaff[Staff Level],6),Assumptions!$A$15:$A$19,0)),0))</f>
        <v>36</v>
      </c>
      <c r="AW26" s="179">
        <f>IF($A26="","",IFERROR(INDEX(tblStaff[FTE],6)*INDEX(Assumptions!$D$15:$D$19,MATCH(INDEX(tblStaff[Staff Level],6),Assumptions!$A$15:$A$19,0))*INDEX(Assumptions!$E$15:$E$19,MATCH(INDEX(tblStaff[Staff Level],6),Assumptions!$A$15:$A$19,0)),0))</f>
        <v>36</v>
      </c>
      <c r="AX26" s="179">
        <f>IF($A26="","",IFERROR(INDEX(tblStaff[FTE],6)*INDEX(Assumptions!$D$15:$D$19,MATCH(INDEX(tblStaff[Staff Level],6),Assumptions!$A$15:$A$19,0))*INDEX(Assumptions!$E$15:$E$19,MATCH(INDEX(tblStaff[Staff Level],6),Assumptions!$A$15:$A$19,0)),0))</f>
        <v>36</v>
      </c>
      <c r="AY26" s="179">
        <f>IF($A26="","",IFERROR(INDEX(tblStaff[FTE],6)*INDEX(Assumptions!$D$15:$D$19,MATCH(INDEX(tblStaff[Staff Level],6),Assumptions!$A$15:$A$19,0))*INDEX(Assumptions!$E$15:$E$19,MATCH(INDEX(tblStaff[Staff Level],6),Assumptions!$A$15:$A$19,0)),0))</f>
        <v>36</v>
      </c>
      <c r="AZ26" s="179">
        <f>IF($A26="","",IFERROR(INDEX(tblStaff[FTE],6)*INDEX(Assumptions!$D$15:$D$19,MATCH(INDEX(tblStaff[Staff Level],6),Assumptions!$A$15:$A$19,0))*INDEX(Assumptions!$E$15:$E$19,MATCH(INDEX(tblStaff[Staff Level],6),Assumptions!$A$15:$A$19,0)),0))</f>
        <v>36</v>
      </c>
      <c r="BA26" s="179">
        <f>IF($A26="","",IFERROR(INDEX(tblStaff[FTE],6)*INDEX(Assumptions!$D$15:$D$19,MATCH(INDEX(tblStaff[Staff Level],6),Assumptions!$A$15:$A$19,0))*INDEX(Assumptions!$E$15:$E$19,MATCH(INDEX(tblStaff[Staff Level],6),Assumptions!$A$15:$A$19,0)),0))</f>
        <v>36</v>
      </c>
      <c r="BB26" s="179">
        <f>IF($A26="","",IFERROR(INDEX(tblStaff[FTE],6)*INDEX(Assumptions!$D$15:$D$19,MATCH(INDEX(tblStaff[Staff Level],6),Assumptions!$A$15:$A$19,0))*INDEX(Assumptions!$E$15:$E$19,MATCH(INDEX(tblStaff[Staff Level],6),Assumptions!$A$15:$A$19,0)),0))</f>
        <v>36</v>
      </c>
      <c r="BC26" s="179">
        <f>IF($A26="","",IFERROR(INDEX(tblStaff[FTE],6)*INDEX(Assumptions!$D$15:$D$19,MATCH(INDEX(tblStaff[Staff Level],6),Assumptions!$A$15:$A$19,0))*INDEX(Assumptions!$E$15:$E$19,MATCH(INDEX(tblStaff[Staff Level],6),Assumptions!$A$15:$A$19,0)),0))</f>
        <v>36</v>
      </c>
    </row>
    <row r="27" spans="1:55" hidden="1" outlineLevel="1" x14ac:dyDescent="0.25">
      <c r="A27" s="180" t="str">
        <f t="shared" si="8"/>
        <v>XX · Project Designer</v>
      </c>
      <c r="B27" s="178">
        <f t="shared" si="9"/>
        <v>36</v>
      </c>
      <c r="C27" s="178">
        <f t="shared" si="10"/>
        <v>36</v>
      </c>
      <c r="D27" s="179">
        <f>IF($A27="","",IFERROR(INDEX(tblStaff[FTE],7)*INDEX(Assumptions!$D$15:$D$19,MATCH(INDEX(tblStaff[Staff Level],7),Assumptions!$A$15:$A$19,0))*INDEX(Assumptions!$E$15:$E$19,MATCH(INDEX(tblStaff[Staff Level],7),Assumptions!$A$15:$A$19,0)),0))</f>
        <v>36</v>
      </c>
      <c r="E27" s="179">
        <f>IF($A27="","",IFERROR(INDEX(tblStaff[FTE],7)*INDEX(Assumptions!$D$15:$D$19,MATCH(INDEX(tblStaff[Staff Level],7),Assumptions!$A$15:$A$19,0))*INDEX(Assumptions!$E$15:$E$19,MATCH(INDEX(tblStaff[Staff Level],7),Assumptions!$A$15:$A$19,0)),0))</f>
        <v>36</v>
      </c>
      <c r="F27" s="179">
        <f>IF($A27="","",IFERROR(INDEX(tblStaff[FTE],7)*INDEX(Assumptions!$D$15:$D$19,MATCH(INDEX(tblStaff[Staff Level],7),Assumptions!$A$15:$A$19,0))*INDEX(Assumptions!$E$15:$E$19,MATCH(INDEX(tblStaff[Staff Level],7),Assumptions!$A$15:$A$19,0)),0))</f>
        <v>36</v>
      </c>
      <c r="G27" s="179">
        <f>IF($A27="","",IFERROR(INDEX(tblStaff[FTE],7)*INDEX(Assumptions!$D$15:$D$19,MATCH(INDEX(tblStaff[Staff Level],7),Assumptions!$A$15:$A$19,0))*INDEX(Assumptions!$E$15:$E$19,MATCH(INDEX(tblStaff[Staff Level],7),Assumptions!$A$15:$A$19,0)),0))</f>
        <v>36</v>
      </c>
      <c r="H27" s="179">
        <f>IF($A27="","",IFERROR(INDEX(tblStaff[FTE],7)*INDEX(Assumptions!$D$15:$D$19,MATCH(INDEX(tblStaff[Staff Level],7),Assumptions!$A$15:$A$19,0))*INDEX(Assumptions!$E$15:$E$19,MATCH(INDEX(tblStaff[Staff Level],7),Assumptions!$A$15:$A$19,0)),0))</f>
        <v>36</v>
      </c>
      <c r="I27" s="179">
        <f>IF($A27="","",IFERROR(INDEX(tblStaff[FTE],7)*INDEX(Assumptions!$D$15:$D$19,MATCH(INDEX(tblStaff[Staff Level],7),Assumptions!$A$15:$A$19,0))*INDEX(Assumptions!$E$15:$E$19,MATCH(INDEX(tblStaff[Staff Level],7),Assumptions!$A$15:$A$19,0)),0))</f>
        <v>36</v>
      </c>
      <c r="J27" s="179">
        <f>IF($A27="","",IFERROR(INDEX(tblStaff[FTE],7)*INDEX(Assumptions!$D$15:$D$19,MATCH(INDEX(tblStaff[Staff Level],7),Assumptions!$A$15:$A$19,0))*INDEX(Assumptions!$E$15:$E$19,MATCH(INDEX(tblStaff[Staff Level],7),Assumptions!$A$15:$A$19,0)),0))</f>
        <v>36</v>
      </c>
      <c r="K27" s="179">
        <f>IF($A27="","",IFERROR(INDEX(tblStaff[FTE],7)*INDEX(Assumptions!$D$15:$D$19,MATCH(INDEX(tblStaff[Staff Level],7),Assumptions!$A$15:$A$19,0))*INDEX(Assumptions!$E$15:$E$19,MATCH(INDEX(tblStaff[Staff Level],7),Assumptions!$A$15:$A$19,0)),0))</f>
        <v>36</v>
      </c>
      <c r="L27" s="179">
        <f>IF($A27="","",IFERROR(INDEX(tblStaff[FTE],7)*INDEX(Assumptions!$D$15:$D$19,MATCH(INDEX(tblStaff[Staff Level],7),Assumptions!$A$15:$A$19,0))*INDEX(Assumptions!$E$15:$E$19,MATCH(INDEX(tblStaff[Staff Level],7),Assumptions!$A$15:$A$19,0)),0))</f>
        <v>36</v>
      </c>
      <c r="M27" s="179">
        <f>IF($A27="","",IFERROR(INDEX(tblStaff[FTE],7)*INDEX(Assumptions!$D$15:$D$19,MATCH(INDEX(tblStaff[Staff Level],7),Assumptions!$A$15:$A$19,0))*INDEX(Assumptions!$E$15:$E$19,MATCH(INDEX(tblStaff[Staff Level],7),Assumptions!$A$15:$A$19,0)),0))</f>
        <v>36</v>
      </c>
      <c r="N27" s="179">
        <f>IF($A27="","",IFERROR(INDEX(tblStaff[FTE],7)*INDEX(Assumptions!$D$15:$D$19,MATCH(INDEX(tblStaff[Staff Level],7),Assumptions!$A$15:$A$19,0))*INDEX(Assumptions!$E$15:$E$19,MATCH(INDEX(tblStaff[Staff Level],7),Assumptions!$A$15:$A$19,0)),0))</f>
        <v>36</v>
      </c>
      <c r="O27" s="179">
        <f>IF($A27="","",IFERROR(INDEX(tblStaff[FTE],7)*INDEX(Assumptions!$D$15:$D$19,MATCH(INDEX(tblStaff[Staff Level],7),Assumptions!$A$15:$A$19,0))*INDEX(Assumptions!$E$15:$E$19,MATCH(INDEX(tblStaff[Staff Level],7),Assumptions!$A$15:$A$19,0)),0))</f>
        <v>36</v>
      </c>
      <c r="P27" s="179">
        <f>IF($A27="","",IFERROR(INDEX(tblStaff[FTE],7)*INDEX(Assumptions!$D$15:$D$19,MATCH(INDEX(tblStaff[Staff Level],7),Assumptions!$A$15:$A$19,0))*INDEX(Assumptions!$E$15:$E$19,MATCH(INDEX(tblStaff[Staff Level],7),Assumptions!$A$15:$A$19,0)),0))</f>
        <v>36</v>
      </c>
      <c r="Q27" s="179">
        <f>IF($A27="","",IFERROR(INDEX(tblStaff[FTE],7)*INDEX(Assumptions!$D$15:$D$19,MATCH(INDEX(tblStaff[Staff Level],7),Assumptions!$A$15:$A$19,0))*INDEX(Assumptions!$E$15:$E$19,MATCH(INDEX(tblStaff[Staff Level],7),Assumptions!$A$15:$A$19,0)),0))</f>
        <v>36</v>
      </c>
      <c r="R27" s="179">
        <f>IF($A27="","",IFERROR(INDEX(tblStaff[FTE],7)*INDEX(Assumptions!$D$15:$D$19,MATCH(INDEX(tblStaff[Staff Level],7),Assumptions!$A$15:$A$19,0))*INDEX(Assumptions!$E$15:$E$19,MATCH(INDEX(tblStaff[Staff Level],7),Assumptions!$A$15:$A$19,0)),0))</f>
        <v>36</v>
      </c>
      <c r="S27" s="179">
        <f>IF($A27="","",IFERROR(INDEX(tblStaff[FTE],7)*INDEX(Assumptions!$D$15:$D$19,MATCH(INDEX(tblStaff[Staff Level],7),Assumptions!$A$15:$A$19,0))*INDEX(Assumptions!$E$15:$E$19,MATCH(INDEX(tblStaff[Staff Level],7),Assumptions!$A$15:$A$19,0)),0))</f>
        <v>36</v>
      </c>
      <c r="T27" s="179">
        <f>IF($A27="","",IFERROR(INDEX(tblStaff[FTE],7)*INDEX(Assumptions!$D$15:$D$19,MATCH(INDEX(tblStaff[Staff Level],7),Assumptions!$A$15:$A$19,0))*INDEX(Assumptions!$E$15:$E$19,MATCH(INDEX(tblStaff[Staff Level],7),Assumptions!$A$15:$A$19,0)),0))</f>
        <v>36</v>
      </c>
      <c r="U27" s="179">
        <f>IF($A27="","",IFERROR(INDEX(tblStaff[FTE],7)*INDEX(Assumptions!$D$15:$D$19,MATCH(INDEX(tblStaff[Staff Level],7),Assumptions!$A$15:$A$19,0))*INDEX(Assumptions!$E$15:$E$19,MATCH(INDEX(tblStaff[Staff Level],7),Assumptions!$A$15:$A$19,0)),0))</f>
        <v>36</v>
      </c>
      <c r="V27" s="179">
        <f>IF($A27="","",IFERROR(INDEX(tblStaff[FTE],7)*INDEX(Assumptions!$D$15:$D$19,MATCH(INDEX(tblStaff[Staff Level],7),Assumptions!$A$15:$A$19,0))*INDEX(Assumptions!$E$15:$E$19,MATCH(INDEX(tblStaff[Staff Level],7),Assumptions!$A$15:$A$19,0)),0))</f>
        <v>36</v>
      </c>
      <c r="W27" s="179">
        <f>IF($A27="","",IFERROR(INDEX(tblStaff[FTE],7)*INDEX(Assumptions!$D$15:$D$19,MATCH(INDEX(tblStaff[Staff Level],7),Assumptions!$A$15:$A$19,0))*INDEX(Assumptions!$E$15:$E$19,MATCH(INDEX(tblStaff[Staff Level],7),Assumptions!$A$15:$A$19,0)),0))</f>
        <v>36</v>
      </c>
      <c r="X27" s="179">
        <f>IF($A27="","",IFERROR(INDEX(tblStaff[FTE],7)*INDEX(Assumptions!$D$15:$D$19,MATCH(INDEX(tblStaff[Staff Level],7),Assumptions!$A$15:$A$19,0))*INDEX(Assumptions!$E$15:$E$19,MATCH(INDEX(tblStaff[Staff Level],7),Assumptions!$A$15:$A$19,0)),0))</f>
        <v>36</v>
      </c>
      <c r="Y27" s="179">
        <f>IF($A27="","",IFERROR(INDEX(tblStaff[FTE],7)*INDEX(Assumptions!$D$15:$D$19,MATCH(INDEX(tblStaff[Staff Level],7),Assumptions!$A$15:$A$19,0))*INDEX(Assumptions!$E$15:$E$19,MATCH(INDEX(tblStaff[Staff Level],7),Assumptions!$A$15:$A$19,0)),0))</f>
        <v>36</v>
      </c>
      <c r="Z27" s="179">
        <f>IF($A27="","",IFERROR(INDEX(tblStaff[FTE],7)*INDEX(Assumptions!$D$15:$D$19,MATCH(INDEX(tblStaff[Staff Level],7),Assumptions!$A$15:$A$19,0))*INDEX(Assumptions!$E$15:$E$19,MATCH(INDEX(tblStaff[Staff Level],7),Assumptions!$A$15:$A$19,0)),0))</f>
        <v>36</v>
      </c>
      <c r="AA27" s="179">
        <f>IF($A27="","",IFERROR(INDEX(tblStaff[FTE],7)*INDEX(Assumptions!$D$15:$D$19,MATCH(INDEX(tblStaff[Staff Level],7),Assumptions!$A$15:$A$19,0))*INDEX(Assumptions!$E$15:$E$19,MATCH(INDEX(tblStaff[Staff Level],7),Assumptions!$A$15:$A$19,0)),0))</f>
        <v>36</v>
      </c>
      <c r="AB27" s="179">
        <f>IF($A27="","",IFERROR(INDEX(tblStaff[FTE],7)*INDEX(Assumptions!$D$15:$D$19,MATCH(INDEX(tblStaff[Staff Level],7),Assumptions!$A$15:$A$19,0))*INDEX(Assumptions!$E$15:$E$19,MATCH(INDEX(tblStaff[Staff Level],7),Assumptions!$A$15:$A$19,0)),0))</f>
        <v>36</v>
      </c>
      <c r="AC27" s="179">
        <f>IF($A27="","",IFERROR(INDEX(tblStaff[FTE],7)*INDEX(Assumptions!$D$15:$D$19,MATCH(INDEX(tblStaff[Staff Level],7),Assumptions!$A$15:$A$19,0))*INDEX(Assumptions!$E$15:$E$19,MATCH(INDEX(tblStaff[Staff Level],7),Assumptions!$A$15:$A$19,0)),0))</f>
        <v>36</v>
      </c>
      <c r="AD27" s="179">
        <f>IF($A27="","",IFERROR(INDEX(tblStaff[FTE],7)*INDEX(Assumptions!$D$15:$D$19,MATCH(INDEX(tblStaff[Staff Level],7),Assumptions!$A$15:$A$19,0))*INDEX(Assumptions!$E$15:$E$19,MATCH(INDEX(tblStaff[Staff Level],7),Assumptions!$A$15:$A$19,0)),0))</f>
        <v>36</v>
      </c>
      <c r="AE27" s="179">
        <f>IF($A27="","",IFERROR(INDEX(tblStaff[FTE],7)*INDEX(Assumptions!$D$15:$D$19,MATCH(INDEX(tblStaff[Staff Level],7),Assumptions!$A$15:$A$19,0))*INDEX(Assumptions!$E$15:$E$19,MATCH(INDEX(tblStaff[Staff Level],7),Assumptions!$A$15:$A$19,0)),0))</f>
        <v>36</v>
      </c>
      <c r="AF27" s="179">
        <f>IF($A27="","",IFERROR(INDEX(tblStaff[FTE],7)*INDEX(Assumptions!$D$15:$D$19,MATCH(INDEX(tblStaff[Staff Level],7),Assumptions!$A$15:$A$19,0))*INDEX(Assumptions!$E$15:$E$19,MATCH(INDEX(tblStaff[Staff Level],7),Assumptions!$A$15:$A$19,0)),0))</f>
        <v>36</v>
      </c>
      <c r="AG27" s="179">
        <f>IF($A27="","",IFERROR(INDEX(tblStaff[FTE],7)*INDEX(Assumptions!$D$15:$D$19,MATCH(INDEX(tblStaff[Staff Level],7),Assumptions!$A$15:$A$19,0))*INDEX(Assumptions!$E$15:$E$19,MATCH(INDEX(tblStaff[Staff Level],7),Assumptions!$A$15:$A$19,0)),0))</f>
        <v>36</v>
      </c>
      <c r="AH27" s="179">
        <f>IF($A27="","",IFERROR(INDEX(tblStaff[FTE],7)*INDEX(Assumptions!$D$15:$D$19,MATCH(INDEX(tblStaff[Staff Level],7),Assumptions!$A$15:$A$19,0))*INDEX(Assumptions!$E$15:$E$19,MATCH(INDEX(tblStaff[Staff Level],7),Assumptions!$A$15:$A$19,0)),0))</f>
        <v>36</v>
      </c>
      <c r="AI27" s="179">
        <f>IF($A27="","",IFERROR(INDEX(tblStaff[FTE],7)*INDEX(Assumptions!$D$15:$D$19,MATCH(INDEX(tblStaff[Staff Level],7),Assumptions!$A$15:$A$19,0))*INDEX(Assumptions!$E$15:$E$19,MATCH(INDEX(tblStaff[Staff Level],7),Assumptions!$A$15:$A$19,0)),0))</f>
        <v>36</v>
      </c>
      <c r="AJ27" s="179">
        <f>IF($A27="","",IFERROR(INDEX(tblStaff[FTE],7)*INDEX(Assumptions!$D$15:$D$19,MATCH(INDEX(tblStaff[Staff Level],7),Assumptions!$A$15:$A$19,0))*INDEX(Assumptions!$E$15:$E$19,MATCH(INDEX(tblStaff[Staff Level],7),Assumptions!$A$15:$A$19,0)),0))</f>
        <v>36</v>
      </c>
      <c r="AK27" s="179">
        <f>IF($A27="","",IFERROR(INDEX(tblStaff[FTE],7)*INDEX(Assumptions!$D$15:$D$19,MATCH(INDEX(tblStaff[Staff Level],7),Assumptions!$A$15:$A$19,0))*INDEX(Assumptions!$E$15:$E$19,MATCH(INDEX(tblStaff[Staff Level],7),Assumptions!$A$15:$A$19,0)),0))</f>
        <v>36</v>
      </c>
      <c r="AL27" s="179">
        <f>IF($A27="","",IFERROR(INDEX(tblStaff[FTE],7)*INDEX(Assumptions!$D$15:$D$19,MATCH(INDEX(tblStaff[Staff Level],7),Assumptions!$A$15:$A$19,0))*INDEX(Assumptions!$E$15:$E$19,MATCH(INDEX(tblStaff[Staff Level],7),Assumptions!$A$15:$A$19,0)),0))</f>
        <v>36</v>
      </c>
      <c r="AM27" s="179">
        <f>IF($A27="","",IFERROR(INDEX(tblStaff[FTE],7)*INDEX(Assumptions!$D$15:$D$19,MATCH(INDEX(tblStaff[Staff Level],7),Assumptions!$A$15:$A$19,0))*INDEX(Assumptions!$E$15:$E$19,MATCH(INDEX(tblStaff[Staff Level],7),Assumptions!$A$15:$A$19,0)),0))</f>
        <v>36</v>
      </c>
      <c r="AN27" s="179">
        <f>IF($A27="","",IFERROR(INDEX(tblStaff[FTE],7)*INDEX(Assumptions!$D$15:$D$19,MATCH(INDEX(tblStaff[Staff Level],7),Assumptions!$A$15:$A$19,0))*INDEX(Assumptions!$E$15:$E$19,MATCH(INDEX(tblStaff[Staff Level],7),Assumptions!$A$15:$A$19,0)),0))</f>
        <v>36</v>
      </c>
      <c r="AO27" s="179">
        <f>IF($A27="","",IFERROR(INDEX(tblStaff[FTE],7)*INDEX(Assumptions!$D$15:$D$19,MATCH(INDEX(tblStaff[Staff Level],7),Assumptions!$A$15:$A$19,0))*INDEX(Assumptions!$E$15:$E$19,MATCH(INDEX(tblStaff[Staff Level],7),Assumptions!$A$15:$A$19,0)),0))</f>
        <v>36</v>
      </c>
      <c r="AP27" s="179">
        <f>IF($A27="","",IFERROR(INDEX(tblStaff[FTE],7)*INDEX(Assumptions!$D$15:$D$19,MATCH(INDEX(tblStaff[Staff Level],7),Assumptions!$A$15:$A$19,0))*INDEX(Assumptions!$E$15:$E$19,MATCH(INDEX(tblStaff[Staff Level],7),Assumptions!$A$15:$A$19,0)),0))</f>
        <v>36</v>
      </c>
      <c r="AQ27" s="179">
        <f>IF($A27="","",IFERROR(INDEX(tblStaff[FTE],7)*INDEX(Assumptions!$D$15:$D$19,MATCH(INDEX(tblStaff[Staff Level],7),Assumptions!$A$15:$A$19,0))*INDEX(Assumptions!$E$15:$E$19,MATCH(INDEX(tblStaff[Staff Level],7),Assumptions!$A$15:$A$19,0)),0))</f>
        <v>36</v>
      </c>
      <c r="AR27" s="179">
        <f>IF($A27="","",IFERROR(INDEX(tblStaff[FTE],7)*INDEX(Assumptions!$D$15:$D$19,MATCH(INDEX(tblStaff[Staff Level],7),Assumptions!$A$15:$A$19,0))*INDEX(Assumptions!$E$15:$E$19,MATCH(INDEX(tblStaff[Staff Level],7),Assumptions!$A$15:$A$19,0)),0))</f>
        <v>36</v>
      </c>
      <c r="AS27" s="179">
        <f>IF($A27="","",IFERROR(INDEX(tblStaff[FTE],7)*INDEX(Assumptions!$D$15:$D$19,MATCH(INDEX(tblStaff[Staff Level],7),Assumptions!$A$15:$A$19,0))*INDEX(Assumptions!$E$15:$E$19,MATCH(INDEX(tblStaff[Staff Level],7),Assumptions!$A$15:$A$19,0)),0))</f>
        <v>36</v>
      </c>
      <c r="AT27" s="179">
        <f>IF($A27="","",IFERROR(INDEX(tblStaff[FTE],7)*INDEX(Assumptions!$D$15:$D$19,MATCH(INDEX(tblStaff[Staff Level],7),Assumptions!$A$15:$A$19,0))*INDEX(Assumptions!$E$15:$E$19,MATCH(INDEX(tblStaff[Staff Level],7),Assumptions!$A$15:$A$19,0)),0))</f>
        <v>36</v>
      </c>
      <c r="AU27" s="179">
        <f>IF($A27="","",IFERROR(INDEX(tblStaff[FTE],7)*INDEX(Assumptions!$D$15:$D$19,MATCH(INDEX(tblStaff[Staff Level],7),Assumptions!$A$15:$A$19,0))*INDEX(Assumptions!$E$15:$E$19,MATCH(INDEX(tblStaff[Staff Level],7),Assumptions!$A$15:$A$19,0)),0))</f>
        <v>36</v>
      </c>
      <c r="AV27" s="179">
        <f>IF($A27="","",IFERROR(INDEX(tblStaff[FTE],7)*INDEX(Assumptions!$D$15:$D$19,MATCH(INDEX(tblStaff[Staff Level],7),Assumptions!$A$15:$A$19,0))*INDEX(Assumptions!$E$15:$E$19,MATCH(INDEX(tblStaff[Staff Level],7),Assumptions!$A$15:$A$19,0)),0))</f>
        <v>36</v>
      </c>
      <c r="AW27" s="179">
        <f>IF($A27="","",IFERROR(INDEX(tblStaff[FTE],7)*INDEX(Assumptions!$D$15:$D$19,MATCH(INDEX(tblStaff[Staff Level],7),Assumptions!$A$15:$A$19,0))*INDEX(Assumptions!$E$15:$E$19,MATCH(INDEX(tblStaff[Staff Level],7),Assumptions!$A$15:$A$19,0)),0))</f>
        <v>36</v>
      </c>
      <c r="AX27" s="179">
        <f>IF($A27="","",IFERROR(INDEX(tblStaff[FTE],7)*INDEX(Assumptions!$D$15:$D$19,MATCH(INDEX(tblStaff[Staff Level],7),Assumptions!$A$15:$A$19,0))*INDEX(Assumptions!$E$15:$E$19,MATCH(INDEX(tblStaff[Staff Level],7),Assumptions!$A$15:$A$19,0)),0))</f>
        <v>36</v>
      </c>
      <c r="AY27" s="179">
        <f>IF($A27="","",IFERROR(INDEX(tblStaff[FTE],7)*INDEX(Assumptions!$D$15:$D$19,MATCH(INDEX(tblStaff[Staff Level],7),Assumptions!$A$15:$A$19,0))*INDEX(Assumptions!$E$15:$E$19,MATCH(INDEX(tblStaff[Staff Level],7),Assumptions!$A$15:$A$19,0)),0))</f>
        <v>36</v>
      </c>
      <c r="AZ27" s="179">
        <f>IF($A27="","",IFERROR(INDEX(tblStaff[FTE],7)*INDEX(Assumptions!$D$15:$D$19,MATCH(INDEX(tblStaff[Staff Level],7),Assumptions!$A$15:$A$19,0))*INDEX(Assumptions!$E$15:$E$19,MATCH(INDEX(tblStaff[Staff Level],7),Assumptions!$A$15:$A$19,0)),0))</f>
        <v>36</v>
      </c>
      <c r="BA27" s="179">
        <f>IF($A27="","",IFERROR(INDEX(tblStaff[FTE],7)*INDEX(Assumptions!$D$15:$D$19,MATCH(INDEX(tblStaff[Staff Level],7),Assumptions!$A$15:$A$19,0))*INDEX(Assumptions!$E$15:$E$19,MATCH(INDEX(tblStaff[Staff Level],7),Assumptions!$A$15:$A$19,0)),0))</f>
        <v>36</v>
      </c>
      <c r="BB27" s="179">
        <f>IF($A27="","",IFERROR(INDEX(tblStaff[FTE],7)*INDEX(Assumptions!$D$15:$D$19,MATCH(INDEX(tblStaff[Staff Level],7),Assumptions!$A$15:$A$19,0))*INDEX(Assumptions!$E$15:$E$19,MATCH(INDEX(tblStaff[Staff Level],7),Assumptions!$A$15:$A$19,0)),0))</f>
        <v>36</v>
      </c>
      <c r="BC27" s="179">
        <f>IF($A27="","",IFERROR(INDEX(tblStaff[FTE],7)*INDEX(Assumptions!$D$15:$D$19,MATCH(INDEX(tblStaff[Staff Level],7),Assumptions!$A$15:$A$19,0))*INDEX(Assumptions!$E$15:$E$19,MATCH(INDEX(tblStaff[Staff Level],7),Assumptions!$A$15:$A$19,0)),0))</f>
        <v>36</v>
      </c>
    </row>
    <row r="28" spans="1:55" hidden="1" outlineLevel="1" x14ac:dyDescent="0.25">
      <c r="A28" s="180" t="str">
        <f t="shared" si="8"/>
        <v/>
      </c>
      <c r="B28" s="178" t="str">
        <f t="shared" si="9"/>
        <v/>
      </c>
      <c r="C28" s="178" t="str">
        <f t="shared" si="10"/>
        <v/>
      </c>
      <c r="D28" s="179" t="str">
        <f>IF($A28="","",IFERROR(INDEX(tblStaff[FTE],8)*INDEX(Assumptions!$D$15:$D$19,MATCH(INDEX(tblStaff[Staff Level],8),Assumptions!$A$15:$A$19,0))*INDEX(Assumptions!$E$15:$E$19,MATCH(INDEX(tblStaff[Staff Level],8),Assumptions!$A$15:$A$19,0)),0))</f>
        <v/>
      </c>
      <c r="E28" s="179" t="str">
        <f>IF($A28="","",IFERROR(INDEX(tblStaff[FTE],8)*INDEX(Assumptions!$D$15:$D$19,MATCH(INDEX(tblStaff[Staff Level],8),Assumptions!$A$15:$A$19,0))*INDEX(Assumptions!$E$15:$E$19,MATCH(INDEX(tblStaff[Staff Level],8),Assumptions!$A$15:$A$19,0)),0))</f>
        <v/>
      </c>
      <c r="F28" s="179" t="str">
        <f>IF($A28="","",IFERROR(INDEX(tblStaff[FTE],8)*INDEX(Assumptions!$D$15:$D$19,MATCH(INDEX(tblStaff[Staff Level],8),Assumptions!$A$15:$A$19,0))*INDEX(Assumptions!$E$15:$E$19,MATCH(INDEX(tblStaff[Staff Level],8),Assumptions!$A$15:$A$19,0)),0))</f>
        <v/>
      </c>
      <c r="G28" s="179" t="str">
        <f>IF($A28="","",IFERROR(INDEX(tblStaff[FTE],8)*INDEX(Assumptions!$D$15:$D$19,MATCH(INDEX(tblStaff[Staff Level],8),Assumptions!$A$15:$A$19,0))*INDEX(Assumptions!$E$15:$E$19,MATCH(INDEX(tblStaff[Staff Level],8),Assumptions!$A$15:$A$19,0)),0))</f>
        <v/>
      </c>
      <c r="H28" s="179" t="str">
        <f>IF($A28="","",IFERROR(INDEX(tblStaff[FTE],8)*INDEX(Assumptions!$D$15:$D$19,MATCH(INDEX(tblStaff[Staff Level],8),Assumptions!$A$15:$A$19,0))*INDEX(Assumptions!$E$15:$E$19,MATCH(INDEX(tblStaff[Staff Level],8),Assumptions!$A$15:$A$19,0)),0))</f>
        <v/>
      </c>
      <c r="I28" s="179" t="str">
        <f>IF($A28="","",IFERROR(INDEX(tblStaff[FTE],8)*INDEX(Assumptions!$D$15:$D$19,MATCH(INDEX(tblStaff[Staff Level],8),Assumptions!$A$15:$A$19,0))*INDEX(Assumptions!$E$15:$E$19,MATCH(INDEX(tblStaff[Staff Level],8),Assumptions!$A$15:$A$19,0)),0))</f>
        <v/>
      </c>
      <c r="J28" s="179" t="str">
        <f>IF($A28="","",IFERROR(INDEX(tblStaff[FTE],8)*INDEX(Assumptions!$D$15:$D$19,MATCH(INDEX(tblStaff[Staff Level],8),Assumptions!$A$15:$A$19,0))*INDEX(Assumptions!$E$15:$E$19,MATCH(INDEX(tblStaff[Staff Level],8),Assumptions!$A$15:$A$19,0)),0))</f>
        <v/>
      </c>
      <c r="K28" s="179" t="str">
        <f>IF($A28="","",IFERROR(INDEX(tblStaff[FTE],8)*INDEX(Assumptions!$D$15:$D$19,MATCH(INDEX(tblStaff[Staff Level],8),Assumptions!$A$15:$A$19,0))*INDEX(Assumptions!$E$15:$E$19,MATCH(INDEX(tblStaff[Staff Level],8),Assumptions!$A$15:$A$19,0)),0))</f>
        <v/>
      </c>
      <c r="L28" s="179" t="str">
        <f>IF($A28="","",IFERROR(INDEX(tblStaff[FTE],8)*INDEX(Assumptions!$D$15:$D$19,MATCH(INDEX(tblStaff[Staff Level],8),Assumptions!$A$15:$A$19,0))*INDEX(Assumptions!$E$15:$E$19,MATCH(INDEX(tblStaff[Staff Level],8),Assumptions!$A$15:$A$19,0)),0))</f>
        <v/>
      </c>
      <c r="M28" s="179" t="str">
        <f>IF($A28="","",IFERROR(INDEX(tblStaff[FTE],8)*INDEX(Assumptions!$D$15:$D$19,MATCH(INDEX(tblStaff[Staff Level],8),Assumptions!$A$15:$A$19,0))*INDEX(Assumptions!$E$15:$E$19,MATCH(INDEX(tblStaff[Staff Level],8),Assumptions!$A$15:$A$19,0)),0))</f>
        <v/>
      </c>
      <c r="N28" s="179" t="str">
        <f>IF($A28="","",IFERROR(INDEX(tblStaff[FTE],8)*INDEX(Assumptions!$D$15:$D$19,MATCH(INDEX(tblStaff[Staff Level],8),Assumptions!$A$15:$A$19,0))*INDEX(Assumptions!$E$15:$E$19,MATCH(INDEX(tblStaff[Staff Level],8),Assumptions!$A$15:$A$19,0)),0))</f>
        <v/>
      </c>
      <c r="O28" s="179" t="str">
        <f>IF($A28="","",IFERROR(INDEX(tblStaff[FTE],8)*INDEX(Assumptions!$D$15:$D$19,MATCH(INDEX(tblStaff[Staff Level],8),Assumptions!$A$15:$A$19,0))*INDEX(Assumptions!$E$15:$E$19,MATCH(INDEX(tblStaff[Staff Level],8),Assumptions!$A$15:$A$19,0)),0))</f>
        <v/>
      </c>
      <c r="P28" s="179" t="str">
        <f>IF($A28="","",IFERROR(INDEX(tblStaff[FTE],8)*INDEX(Assumptions!$D$15:$D$19,MATCH(INDEX(tblStaff[Staff Level],8),Assumptions!$A$15:$A$19,0))*INDEX(Assumptions!$E$15:$E$19,MATCH(INDEX(tblStaff[Staff Level],8),Assumptions!$A$15:$A$19,0)),0))</f>
        <v/>
      </c>
      <c r="Q28" s="179" t="str">
        <f>IF($A28="","",IFERROR(INDEX(tblStaff[FTE],8)*INDEX(Assumptions!$D$15:$D$19,MATCH(INDEX(tblStaff[Staff Level],8),Assumptions!$A$15:$A$19,0))*INDEX(Assumptions!$E$15:$E$19,MATCH(INDEX(tblStaff[Staff Level],8),Assumptions!$A$15:$A$19,0)),0))</f>
        <v/>
      </c>
      <c r="R28" s="179" t="str">
        <f>IF($A28="","",IFERROR(INDEX(tblStaff[FTE],8)*INDEX(Assumptions!$D$15:$D$19,MATCH(INDEX(tblStaff[Staff Level],8),Assumptions!$A$15:$A$19,0))*INDEX(Assumptions!$E$15:$E$19,MATCH(INDEX(tblStaff[Staff Level],8),Assumptions!$A$15:$A$19,0)),0))</f>
        <v/>
      </c>
      <c r="S28" s="179" t="str">
        <f>IF($A28="","",IFERROR(INDEX(tblStaff[FTE],8)*INDEX(Assumptions!$D$15:$D$19,MATCH(INDEX(tblStaff[Staff Level],8),Assumptions!$A$15:$A$19,0))*INDEX(Assumptions!$E$15:$E$19,MATCH(INDEX(tblStaff[Staff Level],8),Assumptions!$A$15:$A$19,0)),0))</f>
        <v/>
      </c>
      <c r="T28" s="179" t="str">
        <f>IF($A28="","",IFERROR(INDEX(tblStaff[FTE],8)*INDEX(Assumptions!$D$15:$D$19,MATCH(INDEX(tblStaff[Staff Level],8),Assumptions!$A$15:$A$19,0))*INDEX(Assumptions!$E$15:$E$19,MATCH(INDEX(tblStaff[Staff Level],8),Assumptions!$A$15:$A$19,0)),0))</f>
        <v/>
      </c>
      <c r="U28" s="179" t="str">
        <f>IF($A28="","",IFERROR(INDEX(tblStaff[FTE],8)*INDEX(Assumptions!$D$15:$D$19,MATCH(INDEX(tblStaff[Staff Level],8),Assumptions!$A$15:$A$19,0))*INDEX(Assumptions!$E$15:$E$19,MATCH(INDEX(tblStaff[Staff Level],8),Assumptions!$A$15:$A$19,0)),0))</f>
        <v/>
      </c>
      <c r="V28" s="179" t="str">
        <f>IF($A28="","",IFERROR(INDEX(tblStaff[FTE],8)*INDEX(Assumptions!$D$15:$D$19,MATCH(INDEX(tblStaff[Staff Level],8),Assumptions!$A$15:$A$19,0))*INDEX(Assumptions!$E$15:$E$19,MATCH(INDEX(tblStaff[Staff Level],8),Assumptions!$A$15:$A$19,0)),0))</f>
        <v/>
      </c>
      <c r="W28" s="179" t="str">
        <f>IF($A28="","",IFERROR(INDEX(tblStaff[FTE],8)*INDEX(Assumptions!$D$15:$D$19,MATCH(INDEX(tblStaff[Staff Level],8),Assumptions!$A$15:$A$19,0))*INDEX(Assumptions!$E$15:$E$19,MATCH(INDEX(tblStaff[Staff Level],8),Assumptions!$A$15:$A$19,0)),0))</f>
        <v/>
      </c>
      <c r="X28" s="179" t="str">
        <f>IF($A28="","",IFERROR(INDEX(tblStaff[FTE],8)*INDEX(Assumptions!$D$15:$D$19,MATCH(INDEX(tblStaff[Staff Level],8),Assumptions!$A$15:$A$19,0))*INDEX(Assumptions!$E$15:$E$19,MATCH(INDEX(tblStaff[Staff Level],8),Assumptions!$A$15:$A$19,0)),0))</f>
        <v/>
      </c>
      <c r="Y28" s="179" t="str">
        <f>IF($A28="","",IFERROR(INDEX(tblStaff[FTE],8)*INDEX(Assumptions!$D$15:$D$19,MATCH(INDEX(tblStaff[Staff Level],8),Assumptions!$A$15:$A$19,0))*INDEX(Assumptions!$E$15:$E$19,MATCH(INDEX(tblStaff[Staff Level],8),Assumptions!$A$15:$A$19,0)),0))</f>
        <v/>
      </c>
      <c r="Z28" s="179" t="str">
        <f>IF($A28="","",IFERROR(INDEX(tblStaff[FTE],8)*INDEX(Assumptions!$D$15:$D$19,MATCH(INDEX(tblStaff[Staff Level],8),Assumptions!$A$15:$A$19,0))*INDEX(Assumptions!$E$15:$E$19,MATCH(INDEX(tblStaff[Staff Level],8),Assumptions!$A$15:$A$19,0)),0))</f>
        <v/>
      </c>
      <c r="AA28" s="179" t="str">
        <f>IF($A28="","",IFERROR(INDEX(tblStaff[FTE],8)*INDEX(Assumptions!$D$15:$D$19,MATCH(INDEX(tblStaff[Staff Level],8),Assumptions!$A$15:$A$19,0))*INDEX(Assumptions!$E$15:$E$19,MATCH(INDEX(tblStaff[Staff Level],8),Assumptions!$A$15:$A$19,0)),0))</f>
        <v/>
      </c>
      <c r="AB28" s="179" t="str">
        <f>IF($A28="","",IFERROR(INDEX(tblStaff[FTE],8)*INDEX(Assumptions!$D$15:$D$19,MATCH(INDEX(tblStaff[Staff Level],8),Assumptions!$A$15:$A$19,0))*INDEX(Assumptions!$E$15:$E$19,MATCH(INDEX(tblStaff[Staff Level],8),Assumptions!$A$15:$A$19,0)),0))</f>
        <v/>
      </c>
      <c r="AC28" s="179" t="str">
        <f>IF($A28="","",IFERROR(INDEX(tblStaff[FTE],8)*INDEX(Assumptions!$D$15:$D$19,MATCH(INDEX(tblStaff[Staff Level],8),Assumptions!$A$15:$A$19,0))*INDEX(Assumptions!$E$15:$E$19,MATCH(INDEX(tblStaff[Staff Level],8),Assumptions!$A$15:$A$19,0)),0))</f>
        <v/>
      </c>
      <c r="AD28" s="179" t="str">
        <f>IF($A28="","",IFERROR(INDEX(tblStaff[FTE],8)*INDEX(Assumptions!$D$15:$D$19,MATCH(INDEX(tblStaff[Staff Level],8),Assumptions!$A$15:$A$19,0))*INDEX(Assumptions!$E$15:$E$19,MATCH(INDEX(tblStaff[Staff Level],8),Assumptions!$A$15:$A$19,0)),0))</f>
        <v/>
      </c>
      <c r="AE28" s="179" t="str">
        <f>IF($A28="","",IFERROR(INDEX(tblStaff[FTE],8)*INDEX(Assumptions!$D$15:$D$19,MATCH(INDEX(tblStaff[Staff Level],8),Assumptions!$A$15:$A$19,0))*INDEX(Assumptions!$E$15:$E$19,MATCH(INDEX(tblStaff[Staff Level],8),Assumptions!$A$15:$A$19,0)),0))</f>
        <v/>
      </c>
      <c r="AF28" s="179" t="str">
        <f>IF($A28="","",IFERROR(INDEX(tblStaff[FTE],8)*INDEX(Assumptions!$D$15:$D$19,MATCH(INDEX(tblStaff[Staff Level],8),Assumptions!$A$15:$A$19,0))*INDEX(Assumptions!$E$15:$E$19,MATCH(INDEX(tblStaff[Staff Level],8),Assumptions!$A$15:$A$19,0)),0))</f>
        <v/>
      </c>
      <c r="AG28" s="179" t="str">
        <f>IF($A28="","",IFERROR(INDEX(tblStaff[FTE],8)*INDEX(Assumptions!$D$15:$D$19,MATCH(INDEX(tblStaff[Staff Level],8),Assumptions!$A$15:$A$19,0))*INDEX(Assumptions!$E$15:$E$19,MATCH(INDEX(tblStaff[Staff Level],8),Assumptions!$A$15:$A$19,0)),0))</f>
        <v/>
      </c>
      <c r="AH28" s="179" t="str">
        <f>IF($A28="","",IFERROR(INDEX(tblStaff[FTE],8)*INDEX(Assumptions!$D$15:$D$19,MATCH(INDEX(tblStaff[Staff Level],8),Assumptions!$A$15:$A$19,0))*INDEX(Assumptions!$E$15:$E$19,MATCH(INDEX(tblStaff[Staff Level],8),Assumptions!$A$15:$A$19,0)),0))</f>
        <v/>
      </c>
      <c r="AI28" s="179" t="str">
        <f>IF($A28="","",IFERROR(INDEX(tblStaff[FTE],8)*INDEX(Assumptions!$D$15:$D$19,MATCH(INDEX(tblStaff[Staff Level],8),Assumptions!$A$15:$A$19,0))*INDEX(Assumptions!$E$15:$E$19,MATCH(INDEX(tblStaff[Staff Level],8),Assumptions!$A$15:$A$19,0)),0))</f>
        <v/>
      </c>
      <c r="AJ28" s="179" t="str">
        <f>IF($A28="","",IFERROR(INDEX(tblStaff[FTE],8)*INDEX(Assumptions!$D$15:$D$19,MATCH(INDEX(tblStaff[Staff Level],8),Assumptions!$A$15:$A$19,0))*INDEX(Assumptions!$E$15:$E$19,MATCH(INDEX(tblStaff[Staff Level],8),Assumptions!$A$15:$A$19,0)),0))</f>
        <v/>
      </c>
      <c r="AK28" s="179" t="str">
        <f>IF($A28="","",IFERROR(INDEX(tblStaff[FTE],8)*INDEX(Assumptions!$D$15:$D$19,MATCH(INDEX(tblStaff[Staff Level],8),Assumptions!$A$15:$A$19,0))*INDEX(Assumptions!$E$15:$E$19,MATCH(INDEX(tblStaff[Staff Level],8),Assumptions!$A$15:$A$19,0)),0))</f>
        <v/>
      </c>
      <c r="AL28" s="179" t="str">
        <f>IF($A28="","",IFERROR(INDEX(tblStaff[FTE],8)*INDEX(Assumptions!$D$15:$D$19,MATCH(INDEX(tblStaff[Staff Level],8),Assumptions!$A$15:$A$19,0))*INDEX(Assumptions!$E$15:$E$19,MATCH(INDEX(tblStaff[Staff Level],8),Assumptions!$A$15:$A$19,0)),0))</f>
        <v/>
      </c>
      <c r="AM28" s="179" t="str">
        <f>IF($A28="","",IFERROR(INDEX(tblStaff[FTE],8)*INDEX(Assumptions!$D$15:$D$19,MATCH(INDEX(tblStaff[Staff Level],8),Assumptions!$A$15:$A$19,0))*INDEX(Assumptions!$E$15:$E$19,MATCH(INDEX(tblStaff[Staff Level],8),Assumptions!$A$15:$A$19,0)),0))</f>
        <v/>
      </c>
      <c r="AN28" s="179" t="str">
        <f>IF($A28="","",IFERROR(INDEX(tblStaff[FTE],8)*INDEX(Assumptions!$D$15:$D$19,MATCH(INDEX(tblStaff[Staff Level],8),Assumptions!$A$15:$A$19,0))*INDEX(Assumptions!$E$15:$E$19,MATCH(INDEX(tblStaff[Staff Level],8),Assumptions!$A$15:$A$19,0)),0))</f>
        <v/>
      </c>
      <c r="AO28" s="179" t="str">
        <f>IF($A28="","",IFERROR(INDEX(tblStaff[FTE],8)*INDEX(Assumptions!$D$15:$D$19,MATCH(INDEX(tblStaff[Staff Level],8),Assumptions!$A$15:$A$19,0))*INDEX(Assumptions!$E$15:$E$19,MATCH(INDEX(tblStaff[Staff Level],8),Assumptions!$A$15:$A$19,0)),0))</f>
        <v/>
      </c>
      <c r="AP28" s="179" t="str">
        <f>IF($A28="","",IFERROR(INDEX(tblStaff[FTE],8)*INDEX(Assumptions!$D$15:$D$19,MATCH(INDEX(tblStaff[Staff Level],8),Assumptions!$A$15:$A$19,0))*INDEX(Assumptions!$E$15:$E$19,MATCH(INDEX(tblStaff[Staff Level],8),Assumptions!$A$15:$A$19,0)),0))</f>
        <v/>
      </c>
      <c r="AQ28" s="179" t="str">
        <f>IF($A28="","",IFERROR(INDEX(tblStaff[FTE],8)*INDEX(Assumptions!$D$15:$D$19,MATCH(INDEX(tblStaff[Staff Level],8),Assumptions!$A$15:$A$19,0))*INDEX(Assumptions!$E$15:$E$19,MATCH(INDEX(tblStaff[Staff Level],8),Assumptions!$A$15:$A$19,0)),0))</f>
        <v/>
      </c>
      <c r="AR28" s="179" t="str">
        <f>IF($A28="","",IFERROR(INDEX(tblStaff[FTE],8)*INDEX(Assumptions!$D$15:$D$19,MATCH(INDEX(tblStaff[Staff Level],8),Assumptions!$A$15:$A$19,0))*INDEX(Assumptions!$E$15:$E$19,MATCH(INDEX(tblStaff[Staff Level],8),Assumptions!$A$15:$A$19,0)),0))</f>
        <v/>
      </c>
      <c r="AS28" s="179" t="str">
        <f>IF($A28="","",IFERROR(INDEX(tblStaff[FTE],8)*INDEX(Assumptions!$D$15:$D$19,MATCH(INDEX(tblStaff[Staff Level],8),Assumptions!$A$15:$A$19,0))*INDEX(Assumptions!$E$15:$E$19,MATCH(INDEX(tblStaff[Staff Level],8),Assumptions!$A$15:$A$19,0)),0))</f>
        <v/>
      </c>
      <c r="AT28" s="179" t="str">
        <f>IF($A28="","",IFERROR(INDEX(tblStaff[FTE],8)*INDEX(Assumptions!$D$15:$D$19,MATCH(INDEX(tblStaff[Staff Level],8),Assumptions!$A$15:$A$19,0))*INDEX(Assumptions!$E$15:$E$19,MATCH(INDEX(tblStaff[Staff Level],8),Assumptions!$A$15:$A$19,0)),0))</f>
        <v/>
      </c>
      <c r="AU28" s="179" t="str">
        <f>IF($A28="","",IFERROR(INDEX(tblStaff[FTE],8)*INDEX(Assumptions!$D$15:$D$19,MATCH(INDEX(tblStaff[Staff Level],8),Assumptions!$A$15:$A$19,0))*INDEX(Assumptions!$E$15:$E$19,MATCH(INDEX(tblStaff[Staff Level],8),Assumptions!$A$15:$A$19,0)),0))</f>
        <v/>
      </c>
      <c r="AV28" s="179" t="str">
        <f>IF($A28="","",IFERROR(INDEX(tblStaff[FTE],8)*INDEX(Assumptions!$D$15:$D$19,MATCH(INDEX(tblStaff[Staff Level],8),Assumptions!$A$15:$A$19,0))*INDEX(Assumptions!$E$15:$E$19,MATCH(INDEX(tblStaff[Staff Level],8),Assumptions!$A$15:$A$19,0)),0))</f>
        <v/>
      </c>
      <c r="AW28" s="179" t="str">
        <f>IF($A28="","",IFERROR(INDEX(tblStaff[FTE],8)*INDEX(Assumptions!$D$15:$D$19,MATCH(INDEX(tblStaff[Staff Level],8),Assumptions!$A$15:$A$19,0))*INDEX(Assumptions!$E$15:$E$19,MATCH(INDEX(tblStaff[Staff Level],8),Assumptions!$A$15:$A$19,0)),0))</f>
        <v/>
      </c>
      <c r="AX28" s="179" t="str">
        <f>IF($A28="","",IFERROR(INDEX(tblStaff[FTE],8)*INDEX(Assumptions!$D$15:$D$19,MATCH(INDEX(tblStaff[Staff Level],8),Assumptions!$A$15:$A$19,0))*INDEX(Assumptions!$E$15:$E$19,MATCH(INDEX(tblStaff[Staff Level],8),Assumptions!$A$15:$A$19,0)),0))</f>
        <v/>
      </c>
      <c r="AY28" s="179" t="str">
        <f>IF($A28="","",IFERROR(INDEX(tblStaff[FTE],8)*INDEX(Assumptions!$D$15:$D$19,MATCH(INDEX(tblStaff[Staff Level],8),Assumptions!$A$15:$A$19,0))*INDEX(Assumptions!$E$15:$E$19,MATCH(INDEX(tblStaff[Staff Level],8),Assumptions!$A$15:$A$19,0)),0))</f>
        <v/>
      </c>
      <c r="AZ28" s="179" t="str">
        <f>IF($A28="","",IFERROR(INDEX(tblStaff[FTE],8)*INDEX(Assumptions!$D$15:$D$19,MATCH(INDEX(tblStaff[Staff Level],8),Assumptions!$A$15:$A$19,0))*INDEX(Assumptions!$E$15:$E$19,MATCH(INDEX(tblStaff[Staff Level],8),Assumptions!$A$15:$A$19,0)),0))</f>
        <v/>
      </c>
      <c r="BA28" s="179" t="str">
        <f>IF($A28="","",IFERROR(INDEX(tblStaff[FTE],8)*INDEX(Assumptions!$D$15:$D$19,MATCH(INDEX(tblStaff[Staff Level],8),Assumptions!$A$15:$A$19,0))*INDEX(Assumptions!$E$15:$E$19,MATCH(INDEX(tblStaff[Staff Level],8),Assumptions!$A$15:$A$19,0)),0))</f>
        <v/>
      </c>
      <c r="BB28" s="179" t="str">
        <f>IF($A28="","",IFERROR(INDEX(tblStaff[FTE],8)*INDEX(Assumptions!$D$15:$D$19,MATCH(INDEX(tblStaff[Staff Level],8),Assumptions!$A$15:$A$19,0))*INDEX(Assumptions!$E$15:$E$19,MATCH(INDEX(tblStaff[Staff Level],8),Assumptions!$A$15:$A$19,0)),0))</f>
        <v/>
      </c>
      <c r="BC28" s="179" t="str">
        <f>IF($A28="","",IFERROR(INDEX(tblStaff[FTE],8)*INDEX(Assumptions!$D$15:$D$19,MATCH(INDEX(tblStaff[Staff Level],8),Assumptions!$A$15:$A$19,0))*INDEX(Assumptions!$E$15:$E$19,MATCH(INDEX(tblStaff[Staff Level],8),Assumptions!$A$15:$A$19,0)),0))</f>
        <v/>
      </c>
    </row>
    <row r="29" spans="1:55" hidden="1" outlineLevel="1" x14ac:dyDescent="0.25">
      <c r="A29" s="180" t="str">
        <f t="shared" si="8"/>
        <v/>
      </c>
      <c r="B29" s="178" t="str">
        <f t="shared" si="9"/>
        <v/>
      </c>
      <c r="C29" s="178" t="str">
        <f t="shared" si="10"/>
        <v/>
      </c>
      <c r="D29" s="179" t="str">
        <f>IF($A29="","",IFERROR(INDEX(tblStaff[FTE],9)*INDEX(Assumptions!$D$15:$D$19,MATCH(INDEX(tblStaff[Staff Level],9),Assumptions!$A$15:$A$19,0))*INDEX(Assumptions!$E$15:$E$19,MATCH(INDEX(tblStaff[Staff Level],9),Assumptions!$A$15:$A$19,0)),0))</f>
        <v/>
      </c>
      <c r="E29" s="179" t="str">
        <f>IF($A29="","",IFERROR(INDEX(tblStaff[FTE],9)*INDEX(Assumptions!$D$15:$D$19,MATCH(INDEX(tblStaff[Staff Level],9),Assumptions!$A$15:$A$19,0))*INDEX(Assumptions!$E$15:$E$19,MATCH(INDEX(tblStaff[Staff Level],9),Assumptions!$A$15:$A$19,0)),0))</f>
        <v/>
      </c>
      <c r="F29" s="179" t="str">
        <f>IF($A29="","",IFERROR(INDEX(tblStaff[FTE],9)*INDEX(Assumptions!$D$15:$D$19,MATCH(INDEX(tblStaff[Staff Level],9),Assumptions!$A$15:$A$19,0))*INDEX(Assumptions!$E$15:$E$19,MATCH(INDEX(tblStaff[Staff Level],9),Assumptions!$A$15:$A$19,0)),0))</f>
        <v/>
      </c>
      <c r="G29" s="179" t="str">
        <f>IF($A29="","",IFERROR(INDEX(tblStaff[FTE],9)*INDEX(Assumptions!$D$15:$D$19,MATCH(INDEX(tblStaff[Staff Level],9),Assumptions!$A$15:$A$19,0))*INDEX(Assumptions!$E$15:$E$19,MATCH(INDEX(tblStaff[Staff Level],9),Assumptions!$A$15:$A$19,0)),0))</f>
        <v/>
      </c>
      <c r="H29" s="179" t="str">
        <f>IF($A29="","",IFERROR(INDEX(tblStaff[FTE],9)*INDEX(Assumptions!$D$15:$D$19,MATCH(INDEX(tblStaff[Staff Level],9),Assumptions!$A$15:$A$19,0))*INDEX(Assumptions!$E$15:$E$19,MATCH(INDEX(tblStaff[Staff Level],9),Assumptions!$A$15:$A$19,0)),0))</f>
        <v/>
      </c>
      <c r="I29" s="179" t="str">
        <f>IF($A29="","",IFERROR(INDEX(tblStaff[FTE],9)*INDEX(Assumptions!$D$15:$D$19,MATCH(INDEX(tblStaff[Staff Level],9),Assumptions!$A$15:$A$19,0))*INDEX(Assumptions!$E$15:$E$19,MATCH(INDEX(tblStaff[Staff Level],9),Assumptions!$A$15:$A$19,0)),0))</f>
        <v/>
      </c>
      <c r="J29" s="179" t="str">
        <f>IF($A29="","",IFERROR(INDEX(tblStaff[FTE],9)*INDEX(Assumptions!$D$15:$D$19,MATCH(INDEX(tblStaff[Staff Level],9),Assumptions!$A$15:$A$19,0))*INDEX(Assumptions!$E$15:$E$19,MATCH(INDEX(tblStaff[Staff Level],9),Assumptions!$A$15:$A$19,0)),0))</f>
        <v/>
      </c>
      <c r="K29" s="179" t="str">
        <f>IF($A29="","",IFERROR(INDEX(tblStaff[FTE],9)*INDEX(Assumptions!$D$15:$D$19,MATCH(INDEX(tblStaff[Staff Level],9),Assumptions!$A$15:$A$19,0))*INDEX(Assumptions!$E$15:$E$19,MATCH(INDEX(tblStaff[Staff Level],9),Assumptions!$A$15:$A$19,0)),0))</f>
        <v/>
      </c>
      <c r="L29" s="179" t="str">
        <f>IF($A29="","",IFERROR(INDEX(tblStaff[FTE],9)*INDEX(Assumptions!$D$15:$D$19,MATCH(INDEX(tblStaff[Staff Level],9),Assumptions!$A$15:$A$19,0))*INDEX(Assumptions!$E$15:$E$19,MATCH(INDEX(tblStaff[Staff Level],9),Assumptions!$A$15:$A$19,0)),0))</f>
        <v/>
      </c>
      <c r="M29" s="179" t="str">
        <f>IF($A29="","",IFERROR(INDEX(tblStaff[FTE],9)*INDEX(Assumptions!$D$15:$D$19,MATCH(INDEX(tblStaff[Staff Level],9),Assumptions!$A$15:$A$19,0))*INDEX(Assumptions!$E$15:$E$19,MATCH(INDEX(tblStaff[Staff Level],9),Assumptions!$A$15:$A$19,0)),0))</f>
        <v/>
      </c>
      <c r="N29" s="179" t="str">
        <f>IF($A29="","",IFERROR(INDEX(tblStaff[FTE],9)*INDEX(Assumptions!$D$15:$D$19,MATCH(INDEX(tblStaff[Staff Level],9),Assumptions!$A$15:$A$19,0))*INDEX(Assumptions!$E$15:$E$19,MATCH(INDEX(tblStaff[Staff Level],9),Assumptions!$A$15:$A$19,0)),0))</f>
        <v/>
      </c>
      <c r="O29" s="179" t="str">
        <f>IF($A29="","",IFERROR(INDEX(tblStaff[FTE],9)*INDEX(Assumptions!$D$15:$D$19,MATCH(INDEX(tblStaff[Staff Level],9),Assumptions!$A$15:$A$19,0))*INDEX(Assumptions!$E$15:$E$19,MATCH(INDEX(tblStaff[Staff Level],9),Assumptions!$A$15:$A$19,0)),0))</f>
        <v/>
      </c>
      <c r="P29" s="179" t="str">
        <f>IF($A29="","",IFERROR(INDEX(tblStaff[FTE],9)*INDEX(Assumptions!$D$15:$D$19,MATCH(INDEX(tblStaff[Staff Level],9),Assumptions!$A$15:$A$19,0))*INDEX(Assumptions!$E$15:$E$19,MATCH(INDEX(tblStaff[Staff Level],9),Assumptions!$A$15:$A$19,0)),0))</f>
        <v/>
      </c>
      <c r="Q29" s="179" t="str">
        <f>IF($A29="","",IFERROR(INDEX(tblStaff[FTE],9)*INDEX(Assumptions!$D$15:$D$19,MATCH(INDEX(tblStaff[Staff Level],9),Assumptions!$A$15:$A$19,0))*INDEX(Assumptions!$E$15:$E$19,MATCH(INDEX(tblStaff[Staff Level],9),Assumptions!$A$15:$A$19,0)),0))</f>
        <v/>
      </c>
      <c r="R29" s="179" t="str">
        <f>IF($A29="","",IFERROR(INDEX(tblStaff[FTE],9)*INDEX(Assumptions!$D$15:$D$19,MATCH(INDEX(tblStaff[Staff Level],9),Assumptions!$A$15:$A$19,0))*INDEX(Assumptions!$E$15:$E$19,MATCH(INDEX(tblStaff[Staff Level],9),Assumptions!$A$15:$A$19,0)),0))</f>
        <v/>
      </c>
      <c r="S29" s="179" t="str">
        <f>IF($A29="","",IFERROR(INDEX(tblStaff[FTE],9)*INDEX(Assumptions!$D$15:$D$19,MATCH(INDEX(tblStaff[Staff Level],9),Assumptions!$A$15:$A$19,0))*INDEX(Assumptions!$E$15:$E$19,MATCH(INDEX(tblStaff[Staff Level],9),Assumptions!$A$15:$A$19,0)),0))</f>
        <v/>
      </c>
      <c r="T29" s="179" t="str">
        <f>IF($A29="","",IFERROR(INDEX(tblStaff[FTE],9)*INDEX(Assumptions!$D$15:$D$19,MATCH(INDEX(tblStaff[Staff Level],9),Assumptions!$A$15:$A$19,0))*INDEX(Assumptions!$E$15:$E$19,MATCH(INDEX(tblStaff[Staff Level],9),Assumptions!$A$15:$A$19,0)),0))</f>
        <v/>
      </c>
      <c r="U29" s="179" t="str">
        <f>IF($A29="","",IFERROR(INDEX(tblStaff[FTE],9)*INDEX(Assumptions!$D$15:$D$19,MATCH(INDEX(tblStaff[Staff Level],9),Assumptions!$A$15:$A$19,0))*INDEX(Assumptions!$E$15:$E$19,MATCH(INDEX(tblStaff[Staff Level],9),Assumptions!$A$15:$A$19,0)),0))</f>
        <v/>
      </c>
      <c r="V29" s="179" t="str">
        <f>IF($A29="","",IFERROR(INDEX(tblStaff[FTE],9)*INDEX(Assumptions!$D$15:$D$19,MATCH(INDEX(tblStaff[Staff Level],9),Assumptions!$A$15:$A$19,0))*INDEX(Assumptions!$E$15:$E$19,MATCH(INDEX(tblStaff[Staff Level],9),Assumptions!$A$15:$A$19,0)),0))</f>
        <v/>
      </c>
      <c r="W29" s="179" t="str">
        <f>IF($A29="","",IFERROR(INDEX(tblStaff[FTE],9)*INDEX(Assumptions!$D$15:$D$19,MATCH(INDEX(tblStaff[Staff Level],9),Assumptions!$A$15:$A$19,0))*INDEX(Assumptions!$E$15:$E$19,MATCH(INDEX(tblStaff[Staff Level],9),Assumptions!$A$15:$A$19,0)),0))</f>
        <v/>
      </c>
      <c r="X29" s="179" t="str">
        <f>IF($A29="","",IFERROR(INDEX(tblStaff[FTE],9)*INDEX(Assumptions!$D$15:$D$19,MATCH(INDEX(tblStaff[Staff Level],9),Assumptions!$A$15:$A$19,0))*INDEX(Assumptions!$E$15:$E$19,MATCH(INDEX(tblStaff[Staff Level],9),Assumptions!$A$15:$A$19,0)),0))</f>
        <v/>
      </c>
      <c r="Y29" s="179" t="str">
        <f>IF($A29="","",IFERROR(INDEX(tblStaff[FTE],9)*INDEX(Assumptions!$D$15:$D$19,MATCH(INDEX(tblStaff[Staff Level],9),Assumptions!$A$15:$A$19,0))*INDEX(Assumptions!$E$15:$E$19,MATCH(INDEX(tblStaff[Staff Level],9),Assumptions!$A$15:$A$19,0)),0))</f>
        <v/>
      </c>
      <c r="Z29" s="179" t="str">
        <f>IF($A29="","",IFERROR(INDEX(tblStaff[FTE],9)*INDEX(Assumptions!$D$15:$D$19,MATCH(INDEX(tblStaff[Staff Level],9),Assumptions!$A$15:$A$19,0))*INDEX(Assumptions!$E$15:$E$19,MATCH(INDEX(tblStaff[Staff Level],9),Assumptions!$A$15:$A$19,0)),0))</f>
        <v/>
      </c>
      <c r="AA29" s="179" t="str">
        <f>IF($A29="","",IFERROR(INDEX(tblStaff[FTE],9)*INDEX(Assumptions!$D$15:$D$19,MATCH(INDEX(tblStaff[Staff Level],9),Assumptions!$A$15:$A$19,0))*INDEX(Assumptions!$E$15:$E$19,MATCH(INDEX(tblStaff[Staff Level],9),Assumptions!$A$15:$A$19,0)),0))</f>
        <v/>
      </c>
      <c r="AB29" s="179" t="str">
        <f>IF($A29="","",IFERROR(INDEX(tblStaff[FTE],9)*INDEX(Assumptions!$D$15:$D$19,MATCH(INDEX(tblStaff[Staff Level],9),Assumptions!$A$15:$A$19,0))*INDEX(Assumptions!$E$15:$E$19,MATCH(INDEX(tblStaff[Staff Level],9),Assumptions!$A$15:$A$19,0)),0))</f>
        <v/>
      </c>
      <c r="AC29" s="179" t="str">
        <f>IF($A29="","",IFERROR(INDEX(tblStaff[FTE],9)*INDEX(Assumptions!$D$15:$D$19,MATCH(INDEX(tblStaff[Staff Level],9),Assumptions!$A$15:$A$19,0))*INDEX(Assumptions!$E$15:$E$19,MATCH(INDEX(tblStaff[Staff Level],9),Assumptions!$A$15:$A$19,0)),0))</f>
        <v/>
      </c>
      <c r="AD29" s="179" t="str">
        <f>IF($A29="","",IFERROR(INDEX(tblStaff[FTE],9)*INDEX(Assumptions!$D$15:$D$19,MATCH(INDEX(tblStaff[Staff Level],9),Assumptions!$A$15:$A$19,0))*INDEX(Assumptions!$E$15:$E$19,MATCH(INDEX(tblStaff[Staff Level],9),Assumptions!$A$15:$A$19,0)),0))</f>
        <v/>
      </c>
      <c r="AE29" s="179" t="str">
        <f>IF($A29="","",IFERROR(INDEX(tblStaff[FTE],9)*INDEX(Assumptions!$D$15:$D$19,MATCH(INDEX(tblStaff[Staff Level],9),Assumptions!$A$15:$A$19,0))*INDEX(Assumptions!$E$15:$E$19,MATCH(INDEX(tblStaff[Staff Level],9),Assumptions!$A$15:$A$19,0)),0))</f>
        <v/>
      </c>
      <c r="AF29" s="179" t="str">
        <f>IF($A29="","",IFERROR(INDEX(tblStaff[FTE],9)*INDEX(Assumptions!$D$15:$D$19,MATCH(INDEX(tblStaff[Staff Level],9),Assumptions!$A$15:$A$19,0))*INDEX(Assumptions!$E$15:$E$19,MATCH(INDEX(tblStaff[Staff Level],9),Assumptions!$A$15:$A$19,0)),0))</f>
        <v/>
      </c>
      <c r="AG29" s="179" t="str">
        <f>IF($A29="","",IFERROR(INDEX(tblStaff[FTE],9)*INDEX(Assumptions!$D$15:$D$19,MATCH(INDEX(tblStaff[Staff Level],9),Assumptions!$A$15:$A$19,0))*INDEX(Assumptions!$E$15:$E$19,MATCH(INDEX(tblStaff[Staff Level],9),Assumptions!$A$15:$A$19,0)),0))</f>
        <v/>
      </c>
      <c r="AH29" s="179" t="str">
        <f>IF($A29="","",IFERROR(INDEX(tblStaff[FTE],9)*INDEX(Assumptions!$D$15:$D$19,MATCH(INDEX(tblStaff[Staff Level],9),Assumptions!$A$15:$A$19,0))*INDEX(Assumptions!$E$15:$E$19,MATCH(INDEX(tblStaff[Staff Level],9),Assumptions!$A$15:$A$19,0)),0))</f>
        <v/>
      </c>
      <c r="AI29" s="179" t="str">
        <f>IF($A29="","",IFERROR(INDEX(tblStaff[FTE],9)*INDEX(Assumptions!$D$15:$D$19,MATCH(INDEX(tblStaff[Staff Level],9),Assumptions!$A$15:$A$19,0))*INDEX(Assumptions!$E$15:$E$19,MATCH(INDEX(tblStaff[Staff Level],9),Assumptions!$A$15:$A$19,0)),0))</f>
        <v/>
      </c>
      <c r="AJ29" s="179" t="str">
        <f>IF($A29="","",IFERROR(INDEX(tblStaff[FTE],9)*INDEX(Assumptions!$D$15:$D$19,MATCH(INDEX(tblStaff[Staff Level],9),Assumptions!$A$15:$A$19,0))*INDEX(Assumptions!$E$15:$E$19,MATCH(INDEX(tblStaff[Staff Level],9),Assumptions!$A$15:$A$19,0)),0))</f>
        <v/>
      </c>
      <c r="AK29" s="179" t="str">
        <f>IF($A29="","",IFERROR(INDEX(tblStaff[FTE],9)*INDEX(Assumptions!$D$15:$D$19,MATCH(INDEX(tblStaff[Staff Level],9),Assumptions!$A$15:$A$19,0))*INDEX(Assumptions!$E$15:$E$19,MATCH(INDEX(tblStaff[Staff Level],9),Assumptions!$A$15:$A$19,0)),0))</f>
        <v/>
      </c>
      <c r="AL29" s="179" t="str">
        <f>IF($A29="","",IFERROR(INDEX(tblStaff[FTE],9)*INDEX(Assumptions!$D$15:$D$19,MATCH(INDEX(tblStaff[Staff Level],9),Assumptions!$A$15:$A$19,0))*INDEX(Assumptions!$E$15:$E$19,MATCH(INDEX(tblStaff[Staff Level],9),Assumptions!$A$15:$A$19,0)),0))</f>
        <v/>
      </c>
      <c r="AM29" s="179" t="str">
        <f>IF($A29="","",IFERROR(INDEX(tblStaff[FTE],9)*INDEX(Assumptions!$D$15:$D$19,MATCH(INDEX(tblStaff[Staff Level],9),Assumptions!$A$15:$A$19,0))*INDEX(Assumptions!$E$15:$E$19,MATCH(INDEX(tblStaff[Staff Level],9),Assumptions!$A$15:$A$19,0)),0))</f>
        <v/>
      </c>
      <c r="AN29" s="179" t="str">
        <f>IF($A29="","",IFERROR(INDEX(tblStaff[FTE],9)*INDEX(Assumptions!$D$15:$D$19,MATCH(INDEX(tblStaff[Staff Level],9),Assumptions!$A$15:$A$19,0))*INDEX(Assumptions!$E$15:$E$19,MATCH(INDEX(tblStaff[Staff Level],9),Assumptions!$A$15:$A$19,0)),0))</f>
        <v/>
      </c>
      <c r="AO29" s="179" t="str">
        <f>IF($A29="","",IFERROR(INDEX(tblStaff[FTE],9)*INDEX(Assumptions!$D$15:$D$19,MATCH(INDEX(tblStaff[Staff Level],9),Assumptions!$A$15:$A$19,0))*INDEX(Assumptions!$E$15:$E$19,MATCH(INDEX(tblStaff[Staff Level],9),Assumptions!$A$15:$A$19,0)),0))</f>
        <v/>
      </c>
      <c r="AP29" s="179" t="str">
        <f>IF($A29="","",IFERROR(INDEX(tblStaff[FTE],9)*INDEX(Assumptions!$D$15:$D$19,MATCH(INDEX(tblStaff[Staff Level],9),Assumptions!$A$15:$A$19,0))*INDEX(Assumptions!$E$15:$E$19,MATCH(INDEX(tblStaff[Staff Level],9),Assumptions!$A$15:$A$19,0)),0))</f>
        <v/>
      </c>
      <c r="AQ29" s="179" t="str">
        <f>IF($A29="","",IFERROR(INDEX(tblStaff[FTE],9)*INDEX(Assumptions!$D$15:$D$19,MATCH(INDEX(tblStaff[Staff Level],9),Assumptions!$A$15:$A$19,0))*INDEX(Assumptions!$E$15:$E$19,MATCH(INDEX(tblStaff[Staff Level],9),Assumptions!$A$15:$A$19,0)),0))</f>
        <v/>
      </c>
      <c r="AR29" s="179" t="str">
        <f>IF($A29="","",IFERROR(INDEX(tblStaff[FTE],9)*INDEX(Assumptions!$D$15:$D$19,MATCH(INDEX(tblStaff[Staff Level],9),Assumptions!$A$15:$A$19,0))*INDEX(Assumptions!$E$15:$E$19,MATCH(INDEX(tblStaff[Staff Level],9),Assumptions!$A$15:$A$19,0)),0))</f>
        <v/>
      </c>
      <c r="AS29" s="179" t="str">
        <f>IF($A29="","",IFERROR(INDEX(tblStaff[FTE],9)*INDEX(Assumptions!$D$15:$D$19,MATCH(INDEX(tblStaff[Staff Level],9),Assumptions!$A$15:$A$19,0))*INDEX(Assumptions!$E$15:$E$19,MATCH(INDEX(tblStaff[Staff Level],9),Assumptions!$A$15:$A$19,0)),0))</f>
        <v/>
      </c>
      <c r="AT29" s="179" t="str">
        <f>IF($A29="","",IFERROR(INDEX(tblStaff[FTE],9)*INDEX(Assumptions!$D$15:$D$19,MATCH(INDEX(tblStaff[Staff Level],9),Assumptions!$A$15:$A$19,0))*INDEX(Assumptions!$E$15:$E$19,MATCH(INDEX(tblStaff[Staff Level],9),Assumptions!$A$15:$A$19,0)),0))</f>
        <v/>
      </c>
      <c r="AU29" s="179" t="str">
        <f>IF($A29="","",IFERROR(INDEX(tblStaff[FTE],9)*INDEX(Assumptions!$D$15:$D$19,MATCH(INDEX(tblStaff[Staff Level],9),Assumptions!$A$15:$A$19,0))*INDEX(Assumptions!$E$15:$E$19,MATCH(INDEX(tblStaff[Staff Level],9),Assumptions!$A$15:$A$19,0)),0))</f>
        <v/>
      </c>
      <c r="AV29" s="179" t="str">
        <f>IF($A29="","",IFERROR(INDEX(tblStaff[FTE],9)*INDEX(Assumptions!$D$15:$D$19,MATCH(INDEX(tblStaff[Staff Level],9),Assumptions!$A$15:$A$19,0))*INDEX(Assumptions!$E$15:$E$19,MATCH(INDEX(tblStaff[Staff Level],9),Assumptions!$A$15:$A$19,0)),0))</f>
        <v/>
      </c>
      <c r="AW29" s="179" t="str">
        <f>IF($A29="","",IFERROR(INDEX(tblStaff[FTE],9)*INDEX(Assumptions!$D$15:$D$19,MATCH(INDEX(tblStaff[Staff Level],9),Assumptions!$A$15:$A$19,0))*INDEX(Assumptions!$E$15:$E$19,MATCH(INDEX(tblStaff[Staff Level],9),Assumptions!$A$15:$A$19,0)),0))</f>
        <v/>
      </c>
      <c r="AX29" s="179" t="str">
        <f>IF($A29="","",IFERROR(INDEX(tblStaff[FTE],9)*INDEX(Assumptions!$D$15:$D$19,MATCH(INDEX(tblStaff[Staff Level],9),Assumptions!$A$15:$A$19,0))*INDEX(Assumptions!$E$15:$E$19,MATCH(INDEX(tblStaff[Staff Level],9),Assumptions!$A$15:$A$19,0)),0))</f>
        <v/>
      </c>
      <c r="AY29" s="179" t="str">
        <f>IF($A29="","",IFERROR(INDEX(tblStaff[FTE],9)*INDEX(Assumptions!$D$15:$D$19,MATCH(INDEX(tblStaff[Staff Level],9),Assumptions!$A$15:$A$19,0))*INDEX(Assumptions!$E$15:$E$19,MATCH(INDEX(tblStaff[Staff Level],9),Assumptions!$A$15:$A$19,0)),0))</f>
        <v/>
      </c>
      <c r="AZ29" s="179" t="str">
        <f>IF($A29="","",IFERROR(INDEX(tblStaff[FTE],9)*INDEX(Assumptions!$D$15:$D$19,MATCH(INDEX(tblStaff[Staff Level],9),Assumptions!$A$15:$A$19,0))*INDEX(Assumptions!$E$15:$E$19,MATCH(INDEX(tblStaff[Staff Level],9),Assumptions!$A$15:$A$19,0)),0))</f>
        <v/>
      </c>
      <c r="BA29" s="179" t="str">
        <f>IF($A29="","",IFERROR(INDEX(tblStaff[FTE],9)*INDEX(Assumptions!$D$15:$D$19,MATCH(INDEX(tblStaff[Staff Level],9),Assumptions!$A$15:$A$19,0))*INDEX(Assumptions!$E$15:$E$19,MATCH(INDEX(tblStaff[Staff Level],9),Assumptions!$A$15:$A$19,0)),0))</f>
        <v/>
      </c>
      <c r="BB29" s="179" t="str">
        <f>IF($A29="","",IFERROR(INDEX(tblStaff[FTE],9)*INDEX(Assumptions!$D$15:$D$19,MATCH(INDEX(tblStaff[Staff Level],9),Assumptions!$A$15:$A$19,0))*INDEX(Assumptions!$E$15:$E$19,MATCH(INDEX(tblStaff[Staff Level],9),Assumptions!$A$15:$A$19,0)),0))</f>
        <v/>
      </c>
      <c r="BC29" s="179" t="str">
        <f>IF($A29="","",IFERROR(INDEX(tblStaff[FTE],9)*INDEX(Assumptions!$D$15:$D$19,MATCH(INDEX(tblStaff[Staff Level],9),Assumptions!$A$15:$A$19,0))*INDEX(Assumptions!$E$15:$E$19,MATCH(INDEX(tblStaff[Staff Level],9),Assumptions!$A$15:$A$19,0)),0))</f>
        <v/>
      </c>
    </row>
    <row r="30" spans="1:55" hidden="1" outlineLevel="1" x14ac:dyDescent="0.25">
      <c r="A30" s="189" t="str">
        <f t="shared" si="8"/>
        <v/>
      </c>
      <c r="B30" s="190" t="str">
        <f t="shared" si="9"/>
        <v/>
      </c>
      <c r="C30" s="190" t="str">
        <f t="shared" si="10"/>
        <v/>
      </c>
      <c r="D30" s="191" t="str">
        <f>IF($A30="","",IFERROR(INDEX(tblStaff[FTE],10)*INDEX(Assumptions!$D$15:$D$19,MATCH(INDEX(tblStaff[Staff Level],10),Assumptions!$A$15:$A$19,0))*INDEX(Assumptions!$E$15:$E$19,MATCH(INDEX(tblStaff[Staff Level],10),Assumptions!$A$15:$A$19,0)),0))</f>
        <v/>
      </c>
      <c r="E30" s="191" t="str">
        <f>IF($A30="","",IFERROR(INDEX(tblStaff[FTE],10)*INDEX(Assumptions!$D$15:$D$19,MATCH(INDEX(tblStaff[Staff Level],10),Assumptions!$A$15:$A$19,0))*INDEX(Assumptions!$E$15:$E$19,MATCH(INDEX(tblStaff[Staff Level],10),Assumptions!$A$15:$A$19,0)),0))</f>
        <v/>
      </c>
      <c r="F30" s="191" t="str">
        <f>IF($A30="","",IFERROR(INDEX(tblStaff[FTE],10)*INDEX(Assumptions!$D$15:$D$19,MATCH(INDEX(tblStaff[Staff Level],10),Assumptions!$A$15:$A$19,0))*INDEX(Assumptions!$E$15:$E$19,MATCH(INDEX(tblStaff[Staff Level],10),Assumptions!$A$15:$A$19,0)),0))</f>
        <v/>
      </c>
      <c r="G30" s="191" t="str">
        <f>IF($A30="","",IFERROR(INDEX(tblStaff[FTE],10)*INDEX(Assumptions!$D$15:$D$19,MATCH(INDEX(tblStaff[Staff Level],10),Assumptions!$A$15:$A$19,0))*INDEX(Assumptions!$E$15:$E$19,MATCH(INDEX(tblStaff[Staff Level],10),Assumptions!$A$15:$A$19,0)),0))</f>
        <v/>
      </c>
      <c r="H30" s="191" t="str">
        <f>IF($A30="","",IFERROR(INDEX(tblStaff[FTE],10)*INDEX(Assumptions!$D$15:$D$19,MATCH(INDEX(tblStaff[Staff Level],10),Assumptions!$A$15:$A$19,0))*INDEX(Assumptions!$E$15:$E$19,MATCH(INDEX(tblStaff[Staff Level],10),Assumptions!$A$15:$A$19,0)),0))</f>
        <v/>
      </c>
      <c r="I30" s="191" t="str">
        <f>IF($A30="","",IFERROR(INDEX(tblStaff[FTE],10)*INDEX(Assumptions!$D$15:$D$19,MATCH(INDEX(tblStaff[Staff Level],10),Assumptions!$A$15:$A$19,0))*INDEX(Assumptions!$E$15:$E$19,MATCH(INDEX(tblStaff[Staff Level],10),Assumptions!$A$15:$A$19,0)),0))</f>
        <v/>
      </c>
      <c r="J30" s="191" t="str">
        <f>IF($A30="","",IFERROR(INDEX(tblStaff[FTE],10)*INDEX(Assumptions!$D$15:$D$19,MATCH(INDEX(tblStaff[Staff Level],10),Assumptions!$A$15:$A$19,0))*INDEX(Assumptions!$E$15:$E$19,MATCH(INDEX(tblStaff[Staff Level],10),Assumptions!$A$15:$A$19,0)),0))</f>
        <v/>
      </c>
      <c r="K30" s="191" t="str">
        <f>IF($A30="","",IFERROR(INDEX(tblStaff[FTE],10)*INDEX(Assumptions!$D$15:$D$19,MATCH(INDEX(tblStaff[Staff Level],10),Assumptions!$A$15:$A$19,0))*INDEX(Assumptions!$E$15:$E$19,MATCH(INDEX(tblStaff[Staff Level],10),Assumptions!$A$15:$A$19,0)),0))</f>
        <v/>
      </c>
      <c r="L30" s="191" t="str">
        <f>IF($A30="","",IFERROR(INDEX(tblStaff[FTE],10)*INDEX(Assumptions!$D$15:$D$19,MATCH(INDEX(tblStaff[Staff Level],10),Assumptions!$A$15:$A$19,0))*INDEX(Assumptions!$E$15:$E$19,MATCH(INDEX(tblStaff[Staff Level],10),Assumptions!$A$15:$A$19,0)),0))</f>
        <v/>
      </c>
      <c r="M30" s="191" t="str">
        <f>IF($A30="","",IFERROR(INDEX(tblStaff[FTE],10)*INDEX(Assumptions!$D$15:$D$19,MATCH(INDEX(tblStaff[Staff Level],10),Assumptions!$A$15:$A$19,0))*INDEX(Assumptions!$E$15:$E$19,MATCH(INDEX(tblStaff[Staff Level],10),Assumptions!$A$15:$A$19,0)),0))</f>
        <v/>
      </c>
      <c r="N30" s="191" t="str">
        <f>IF($A30="","",IFERROR(INDEX(tblStaff[FTE],10)*INDEX(Assumptions!$D$15:$D$19,MATCH(INDEX(tblStaff[Staff Level],10),Assumptions!$A$15:$A$19,0))*INDEX(Assumptions!$E$15:$E$19,MATCH(INDEX(tblStaff[Staff Level],10),Assumptions!$A$15:$A$19,0)),0))</f>
        <v/>
      </c>
      <c r="O30" s="191" t="str">
        <f>IF($A30="","",IFERROR(INDEX(tblStaff[FTE],10)*INDEX(Assumptions!$D$15:$D$19,MATCH(INDEX(tblStaff[Staff Level],10),Assumptions!$A$15:$A$19,0))*INDEX(Assumptions!$E$15:$E$19,MATCH(INDEX(tblStaff[Staff Level],10),Assumptions!$A$15:$A$19,0)),0))</f>
        <v/>
      </c>
      <c r="P30" s="191" t="str">
        <f>IF($A30="","",IFERROR(INDEX(tblStaff[FTE],10)*INDEX(Assumptions!$D$15:$D$19,MATCH(INDEX(tblStaff[Staff Level],10),Assumptions!$A$15:$A$19,0))*INDEX(Assumptions!$E$15:$E$19,MATCH(INDEX(tblStaff[Staff Level],10),Assumptions!$A$15:$A$19,0)),0))</f>
        <v/>
      </c>
      <c r="Q30" s="191" t="str">
        <f>IF($A30="","",IFERROR(INDEX(tblStaff[FTE],10)*INDEX(Assumptions!$D$15:$D$19,MATCH(INDEX(tblStaff[Staff Level],10),Assumptions!$A$15:$A$19,0))*INDEX(Assumptions!$E$15:$E$19,MATCH(INDEX(tblStaff[Staff Level],10),Assumptions!$A$15:$A$19,0)),0))</f>
        <v/>
      </c>
      <c r="R30" s="191" t="str">
        <f>IF($A30="","",IFERROR(INDEX(tblStaff[FTE],10)*INDEX(Assumptions!$D$15:$D$19,MATCH(INDEX(tblStaff[Staff Level],10),Assumptions!$A$15:$A$19,0))*INDEX(Assumptions!$E$15:$E$19,MATCH(INDEX(tblStaff[Staff Level],10),Assumptions!$A$15:$A$19,0)),0))</f>
        <v/>
      </c>
      <c r="S30" s="191" t="str">
        <f>IF($A30="","",IFERROR(INDEX(tblStaff[FTE],10)*INDEX(Assumptions!$D$15:$D$19,MATCH(INDEX(tblStaff[Staff Level],10),Assumptions!$A$15:$A$19,0))*INDEX(Assumptions!$E$15:$E$19,MATCH(INDEX(tblStaff[Staff Level],10),Assumptions!$A$15:$A$19,0)),0))</f>
        <v/>
      </c>
      <c r="T30" s="191" t="str">
        <f>IF($A30="","",IFERROR(INDEX(tblStaff[FTE],10)*INDEX(Assumptions!$D$15:$D$19,MATCH(INDEX(tblStaff[Staff Level],10),Assumptions!$A$15:$A$19,0))*INDEX(Assumptions!$E$15:$E$19,MATCH(INDEX(tblStaff[Staff Level],10),Assumptions!$A$15:$A$19,0)),0))</f>
        <v/>
      </c>
      <c r="U30" s="191" t="str">
        <f>IF($A30="","",IFERROR(INDEX(tblStaff[FTE],10)*INDEX(Assumptions!$D$15:$D$19,MATCH(INDEX(tblStaff[Staff Level],10),Assumptions!$A$15:$A$19,0))*INDEX(Assumptions!$E$15:$E$19,MATCH(INDEX(tblStaff[Staff Level],10),Assumptions!$A$15:$A$19,0)),0))</f>
        <v/>
      </c>
      <c r="V30" s="191" t="str">
        <f>IF($A30="","",IFERROR(INDEX(tblStaff[FTE],10)*INDEX(Assumptions!$D$15:$D$19,MATCH(INDEX(tblStaff[Staff Level],10),Assumptions!$A$15:$A$19,0))*INDEX(Assumptions!$E$15:$E$19,MATCH(INDEX(tblStaff[Staff Level],10),Assumptions!$A$15:$A$19,0)),0))</f>
        <v/>
      </c>
      <c r="W30" s="191" t="str">
        <f>IF($A30="","",IFERROR(INDEX(tblStaff[FTE],10)*INDEX(Assumptions!$D$15:$D$19,MATCH(INDEX(tblStaff[Staff Level],10),Assumptions!$A$15:$A$19,0))*INDEX(Assumptions!$E$15:$E$19,MATCH(INDEX(tblStaff[Staff Level],10),Assumptions!$A$15:$A$19,0)),0))</f>
        <v/>
      </c>
      <c r="X30" s="191" t="str">
        <f>IF($A30="","",IFERROR(INDEX(tblStaff[FTE],10)*INDEX(Assumptions!$D$15:$D$19,MATCH(INDEX(tblStaff[Staff Level],10),Assumptions!$A$15:$A$19,0))*INDEX(Assumptions!$E$15:$E$19,MATCH(INDEX(tblStaff[Staff Level],10),Assumptions!$A$15:$A$19,0)),0))</f>
        <v/>
      </c>
      <c r="Y30" s="191" t="str">
        <f>IF($A30="","",IFERROR(INDEX(tblStaff[FTE],10)*INDEX(Assumptions!$D$15:$D$19,MATCH(INDEX(tblStaff[Staff Level],10),Assumptions!$A$15:$A$19,0))*INDEX(Assumptions!$E$15:$E$19,MATCH(INDEX(tblStaff[Staff Level],10),Assumptions!$A$15:$A$19,0)),0))</f>
        <v/>
      </c>
      <c r="Z30" s="191" t="str">
        <f>IF($A30="","",IFERROR(INDEX(tblStaff[FTE],10)*INDEX(Assumptions!$D$15:$D$19,MATCH(INDEX(tblStaff[Staff Level],10),Assumptions!$A$15:$A$19,0))*INDEX(Assumptions!$E$15:$E$19,MATCH(INDEX(tblStaff[Staff Level],10),Assumptions!$A$15:$A$19,0)),0))</f>
        <v/>
      </c>
      <c r="AA30" s="191" t="str">
        <f>IF($A30="","",IFERROR(INDEX(tblStaff[FTE],10)*INDEX(Assumptions!$D$15:$D$19,MATCH(INDEX(tblStaff[Staff Level],10),Assumptions!$A$15:$A$19,0))*INDEX(Assumptions!$E$15:$E$19,MATCH(INDEX(tblStaff[Staff Level],10),Assumptions!$A$15:$A$19,0)),0))</f>
        <v/>
      </c>
      <c r="AB30" s="191" t="str">
        <f>IF($A30="","",IFERROR(INDEX(tblStaff[FTE],10)*INDEX(Assumptions!$D$15:$D$19,MATCH(INDEX(tblStaff[Staff Level],10),Assumptions!$A$15:$A$19,0))*INDEX(Assumptions!$E$15:$E$19,MATCH(INDEX(tblStaff[Staff Level],10),Assumptions!$A$15:$A$19,0)),0))</f>
        <v/>
      </c>
      <c r="AC30" s="191" t="str">
        <f>IF($A30="","",IFERROR(INDEX(tblStaff[FTE],10)*INDEX(Assumptions!$D$15:$D$19,MATCH(INDEX(tblStaff[Staff Level],10),Assumptions!$A$15:$A$19,0))*INDEX(Assumptions!$E$15:$E$19,MATCH(INDEX(tblStaff[Staff Level],10),Assumptions!$A$15:$A$19,0)),0))</f>
        <v/>
      </c>
      <c r="AD30" s="191" t="str">
        <f>IF($A30="","",IFERROR(INDEX(tblStaff[FTE],10)*INDEX(Assumptions!$D$15:$D$19,MATCH(INDEX(tblStaff[Staff Level],10),Assumptions!$A$15:$A$19,0))*INDEX(Assumptions!$E$15:$E$19,MATCH(INDEX(tblStaff[Staff Level],10),Assumptions!$A$15:$A$19,0)),0))</f>
        <v/>
      </c>
      <c r="AE30" s="191" t="str">
        <f>IF($A30="","",IFERROR(INDEX(tblStaff[FTE],10)*INDEX(Assumptions!$D$15:$D$19,MATCH(INDEX(tblStaff[Staff Level],10),Assumptions!$A$15:$A$19,0))*INDEX(Assumptions!$E$15:$E$19,MATCH(INDEX(tblStaff[Staff Level],10),Assumptions!$A$15:$A$19,0)),0))</f>
        <v/>
      </c>
      <c r="AF30" s="191" t="str">
        <f>IF($A30="","",IFERROR(INDEX(tblStaff[FTE],10)*INDEX(Assumptions!$D$15:$D$19,MATCH(INDEX(tblStaff[Staff Level],10),Assumptions!$A$15:$A$19,0))*INDEX(Assumptions!$E$15:$E$19,MATCH(INDEX(tblStaff[Staff Level],10),Assumptions!$A$15:$A$19,0)),0))</f>
        <v/>
      </c>
      <c r="AG30" s="191" t="str">
        <f>IF($A30="","",IFERROR(INDEX(tblStaff[FTE],10)*INDEX(Assumptions!$D$15:$D$19,MATCH(INDEX(tblStaff[Staff Level],10),Assumptions!$A$15:$A$19,0))*INDEX(Assumptions!$E$15:$E$19,MATCH(INDEX(tblStaff[Staff Level],10),Assumptions!$A$15:$A$19,0)),0))</f>
        <v/>
      </c>
      <c r="AH30" s="191" t="str">
        <f>IF($A30="","",IFERROR(INDEX(tblStaff[FTE],10)*INDEX(Assumptions!$D$15:$D$19,MATCH(INDEX(tblStaff[Staff Level],10),Assumptions!$A$15:$A$19,0))*INDEX(Assumptions!$E$15:$E$19,MATCH(INDEX(tblStaff[Staff Level],10),Assumptions!$A$15:$A$19,0)),0))</f>
        <v/>
      </c>
      <c r="AI30" s="191" t="str">
        <f>IF($A30="","",IFERROR(INDEX(tblStaff[FTE],10)*INDEX(Assumptions!$D$15:$D$19,MATCH(INDEX(tblStaff[Staff Level],10),Assumptions!$A$15:$A$19,0))*INDEX(Assumptions!$E$15:$E$19,MATCH(INDEX(tblStaff[Staff Level],10),Assumptions!$A$15:$A$19,0)),0))</f>
        <v/>
      </c>
      <c r="AJ30" s="191" t="str">
        <f>IF($A30="","",IFERROR(INDEX(tblStaff[FTE],10)*INDEX(Assumptions!$D$15:$D$19,MATCH(INDEX(tblStaff[Staff Level],10),Assumptions!$A$15:$A$19,0))*INDEX(Assumptions!$E$15:$E$19,MATCH(INDEX(tblStaff[Staff Level],10),Assumptions!$A$15:$A$19,0)),0))</f>
        <v/>
      </c>
      <c r="AK30" s="191" t="str">
        <f>IF($A30="","",IFERROR(INDEX(tblStaff[FTE],10)*INDEX(Assumptions!$D$15:$D$19,MATCH(INDEX(tblStaff[Staff Level],10),Assumptions!$A$15:$A$19,0))*INDEX(Assumptions!$E$15:$E$19,MATCH(INDEX(tblStaff[Staff Level],10),Assumptions!$A$15:$A$19,0)),0))</f>
        <v/>
      </c>
      <c r="AL30" s="191" t="str">
        <f>IF($A30="","",IFERROR(INDEX(tblStaff[FTE],10)*INDEX(Assumptions!$D$15:$D$19,MATCH(INDEX(tblStaff[Staff Level],10),Assumptions!$A$15:$A$19,0))*INDEX(Assumptions!$E$15:$E$19,MATCH(INDEX(tblStaff[Staff Level],10),Assumptions!$A$15:$A$19,0)),0))</f>
        <v/>
      </c>
      <c r="AM30" s="191" t="str">
        <f>IF($A30="","",IFERROR(INDEX(tblStaff[FTE],10)*INDEX(Assumptions!$D$15:$D$19,MATCH(INDEX(tblStaff[Staff Level],10),Assumptions!$A$15:$A$19,0))*INDEX(Assumptions!$E$15:$E$19,MATCH(INDEX(tblStaff[Staff Level],10),Assumptions!$A$15:$A$19,0)),0))</f>
        <v/>
      </c>
      <c r="AN30" s="191" t="str">
        <f>IF($A30="","",IFERROR(INDEX(tblStaff[FTE],10)*INDEX(Assumptions!$D$15:$D$19,MATCH(INDEX(tblStaff[Staff Level],10),Assumptions!$A$15:$A$19,0))*INDEX(Assumptions!$E$15:$E$19,MATCH(INDEX(tblStaff[Staff Level],10),Assumptions!$A$15:$A$19,0)),0))</f>
        <v/>
      </c>
      <c r="AO30" s="191" t="str">
        <f>IF($A30="","",IFERROR(INDEX(tblStaff[FTE],10)*INDEX(Assumptions!$D$15:$D$19,MATCH(INDEX(tblStaff[Staff Level],10),Assumptions!$A$15:$A$19,0))*INDEX(Assumptions!$E$15:$E$19,MATCH(INDEX(tblStaff[Staff Level],10),Assumptions!$A$15:$A$19,0)),0))</f>
        <v/>
      </c>
      <c r="AP30" s="191" t="str">
        <f>IF($A30="","",IFERROR(INDEX(tblStaff[FTE],10)*INDEX(Assumptions!$D$15:$D$19,MATCH(INDEX(tblStaff[Staff Level],10),Assumptions!$A$15:$A$19,0))*INDEX(Assumptions!$E$15:$E$19,MATCH(INDEX(tblStaff[Staff Level],10),Assumptions!$A$15:$A$19,0)),0))</f>
        <v/>
      </c>
      <c r="AQ30" s="191" t="str">
        <f>IF($A30="","",IFERROR(INDEX(tblStaff[FTE],10)*INDEX(Assumptions!$D$15:$D$19,MATCH(INDEX(tblStaff[Staff Level],10),Assumptions!$A$15:$A$19,0))*INDEX(Assumptions!$E$15:$E$19,MATCH(INDEX(tblStaff[Staff Level],10),Assumptions!$A$15:$A$19,0)),0))</f>
        <v/>
      </c>
      <c r="AR30" s="191" t="str">
        <f>IF($A30="","",IFERROR(INDEX(tblStaff[FTE],10)*INDEX(Assumptions!$D$15:$D$19,MATCH(INDEX(tblStaff[Staff Level],10),Assumptions!$A$15:$A$19,0))*INDEX(Assumptions!$E$15:$E$19,MATCH(INDEX(tblStaff[Staff Level],10),Assumptions!$A$15:$A$19,0)),0))</f>
        <v/>
      </c>
      <c r="AS30" s="191" t="str">
        <f>IF($A30="","",IFERROR(INDEX(tblStaff[FTE],10)*INDEX(Assumptions!$D$15:$D$19,MATCH(INDEX(tblStaff[Staff Level],10),Assumptions!$A$15:$A$19,0))*INDEX(Assumptions!$E$15:$E$19,MATCH(INDEX(tblStaff[Staff Level],10),Assumptions!$A$15:$A$19,0)),0))</f>
        <v/>
      </c>
      <c r="AT30" s="191" t="str">
        <f>IF($A30="","",IFERROR(INDEX(tblStaff[FTE],10)*INDEX(Assumptions!$D$15:$D$19,MATCH(INDEX(tblStaff[Staff Level],10),Assumptions!$A$15:$A$19,0))*INDEX(Assumptions!$E$15:$E$19,MATCH(INDEX(tblStaff[Staff Level],10),Assumptions!$A$15:$A$19,0)),0))</f>
        <v/>
      </c>
      <c r="AU30" s="191" t="str">
        <f>IF($A30="","",IFERROR(INDEX(tblStaff[FTE],10)*INDEX(Assumptions!$D$15:$D$19,MATCH(INDEX(tblStaff[Staff Level],10),Assumptions!$A$15:$A$19,0))*INDEX(Assumptions!$E$15:$E$19,MATCH(INDEX(tblStaff[Staff Level],10),Assumptions!$A$15:$A$19,0)),0))</f>
        <v/>
      </c>
      <c r="AV30" s="191" t="str">
        <f>IF($A30="","",IFERROR(INDEX(tblStaff[FTE],10)*INDEX(Assumptions!$D$15:$D$19,MATCH(INDEX(tblStaff[Staff Level],10),Assumptions!$A$15:$A$19,0))*INDEX(Assumptions!$E$15:$E$19,MATCH(INDEX(tblStaff[Staff Level],10),Assumptions!$A$15:$A$19,0)),0))</f>
        <v/>
      </c>
      <c r="AW30" s="191" t="str">
        <f>IF($A30="","",IFERROR(INDEX(tblStaff[FTE],10)*INDEX(Assumptions!$D$15:$D$19,MATCH(INDEX(tblStaff[Staff Level],10),Assumptions!$A$15:$A$19,0))*INDEX(Assumptions!$E$15:$E$19,MATCH(INDEX(tblStaff[Staff Level],10),Assumptions!$A$15:$A$19,0)),0))</f>
        <v/>
      </c>
      <c r="AX30" s="191" t="str">
        <f>IF($A30="","",IFERROR(INDEX(tblStaff[FTE],10)*INDEX(Assumptions!$D$15:$D$19,MATCH(INDEX(tblStaff[Staff Level],10),Assumptions!$A$15:$A$19,0))*INDEX(Assumptions!$E$15:$E$19,MATCH(INDEX(tblStaff[Staff Level],10),Assumptions!$A$15:$A$19,0)),0))</f>
        <v/>
      </c>
      <c r="AY30" s="191" t="str">
        <f>IF($A30="","",IFERROR(INDEX(tblStaff[FTE],10)*INDEX(Assumptions!$D$15:$D$19,MATCH(INDEX(tblStaff[Staff Level],10),Assumptions!$A$15:$A$19,0))*INDEX(Assumptions!$E$15:$E$19,MATCH(INDEX(tblStaff[Staff Level],10),Assumptions!$A$15:$A$19,0)),0))</f>
        <v/>
      </c>
      <c r="AZ30" s="191" t="str">
        <f>IF($A30="","",IFERROR(INDEX(tblStaff[FTE],10)*INDEX(Assumptions!$D$15:$D$19,MATCH(INDEX(tblStaff[Staff Level],10),Assumptions!$A$15:$A$19,0))*INDEX(Assumptions!$E$15:$E$19,MATCH(INDEX(tblStaff[Staff Level],10),Assumptions!$A$15:$A$19,0)),0))</f>
        <v/>
      </c>
      <c r="BA30" s="191" t="str">
        <f>IF($A30="","",IFERROR(INDEX(tblStaff[FTE],10)*INDEX(Assumptions!$D$15:$D$19,MATCH(INDEX(tblStaff[Staff Level],10),Assumptions!$A$15:$A$19,0))*INDEX(Assumptions!$E$15:$E$19,MATCH(INDEX(tblStaff[Staff Level],10),Assumptions!$A$15:$A$19,0)),0))</f>
        <v/>
      </c>
      <c r="BB30" s="191" t="str">
        <f>IF($A30="","",IFERROR(INDEX(tblStaff[FTE],10)*INDEX(Assumptions!$D$15:$D$19,MATCH(INDEX(tblStaff[Staff Level],10),Assumptions!$A$15:$A$19,0))*INDEX(Assumptions!$E$15:$E$19,MATCH(INDEX(tblStaff[Staff Level],10),Assumptions!$A$15:$A$19,0)),0))</f>
        <v/>
      </c>
      <c r="BC30" s="191" t="str">
        <f>IF($A30="","",IFERROR(INDEX(tblStaff[FTE],10)*INDEX(Assumptions!$D$15:$D$19,MATCH(INDEX(tblStaff[Staff Level],10),Assumptions!$A$15:$A$19,0))*INDEX(Assumptions!$E$15:$E$19,MATCH(INDEX(tblStaff[Staff Level],10),Assumptions!$A$15:$A$19,0)),0))</f>
        <v/>
      </c>
    </row>
    <row r="31" spans="1:55" hidden="1" outlineLevel="1" x14ac:dyDescent="0.25">
      <c r="A31" s="192" t="s">
        <v>180</v>
      </c>
      <c r="B31" s="193">
        <f>AVERAGE(D31:BC31)</f>
        <v>236</v>
      </c>
      <c r="C31" s="193">
        <f>MAX(D31:BC31)</f>
        <v>236</v>
      </c>
      <c r="D31" s="194">
        <f t="shared" ref="D31:AI31" si="11">SUM(D21:D30)</f>
        <v>236</v>
      </c>
      <c r="E31" s="194">
        <f t="shared" si="11"/>
        <v>236</v>
      </c>
      <c r="F31" s="194">
        <f t="shared" si="11"/>
        <v>236</v>
      </c>
      <c r="G31" s="194">
        <f t="shared" si="11"/>
        <v>236</v>
      </c>
      <c r="H31" s="194">
        <f t="shared" si="11"/>
        <v>236</v>
      </c>
      <c r="I31" s="194">
        <f t="shared" si="11"/>
        <v>236</v>
      </c>
      <c r="J31" s="194">
        <f t="shared" si="11"/>
        <v>236</v>
      </c>
      <c r="K31" s="194">
        <f t="shared" si="11"/>
        <v>236</v>
      </c>
      <c r="L31" s="194">
        <f t="shared" si="11"/>
        <v>236</v>
      </c>
      <c r="M31" s="194">
        <f t="shared" si="11"/>
        <v>236</v>
      </c>
      <c r="N31" s="194">
        <f t="shared" si="11"/>
        <v>236</v>
      </c>
      <c r="O31" s="194">
        <f t="shared" si="11"/>
        <v>236</v>
      </c>
      <c r="P31" s="194">
        <f t="shared" si="11"/>
        <v>236</v>
      </c>
      <c r="Q31" s="194">
        <f t="shared" si="11"/>
        <v>236</v>
      </c>
      <c r="R31" s="194">
        <f t="shared" si="11"/>
        <v>236</v>
      </c>
      <c r="S31" s="194">
        <f t="shared" si="11"/>
        <v>236</v>
      </c>
      <c r="T31" s="194">
        <f t="shared" si="11"/>
        <v>236</v>
      </c>
      <c r="U31" s="194">
        <f t="shared" si="11"/>
        <v>236</v>
      </c>
      <c r="V31" s="194">
        <f t="shared" si="11"/>
        <v>236</v>
      </c>
      <c r="W31" s="194">
        <f t="shared" si="11"/>
        <v>236</v>
      </c>
      <c r="X31" s="194">
        <f t="shared" si="11"/>
        <v>236</v>
      </c>
      <c r="Y31" s="194">
        <f t="shared" si="11"/>
        <v>236</v>
      </c>
      <c r="Z31" s="194">
        <f t="shared" si="11"/>
        <v>236</v>
      </c>
      <c r="AA31" s="194">
        <f t="shared" si="11"/>
        <v>236</v>
      </c>
      <c r="AB31" s="194">
        <f t="shared" si="11"/>
        <v>236</v>
      </c>
      <c r="AC31" s="194">
        <f t="shared" si="11"/>
        <v>236</v>
      </c>
      <c r="AD31" s="194">
        <f t="shared" si="11"/>
        <v>236</v>
      </c>
      <c r="AE31" s="194">
        <f t="shared" si="11"/>
        <v>236</v>
      </c>
      <c r="AF31" s="194">
        <f t="shared" si="11"/>
        <v>236</v>
      </c>
      <c r="AG31" s="194">
        <f t="shared" si="11"/>
        <v>236</v>
      </c>
      <c r="AH31" s="194">
        <f t="shared" si="11"/>
        <v>236</v>
      </c>
      <c r="AI31" s="194">
        <f t="shared" si="11"/>
        <v>236</v>
      </c>
      <c r="AJ31" s="194">
        <f t="shared" ref="AJ31:BC31" si="12">SUM(AJ21:AJ30)</f>
        <v>236</v>
      </c>
      <c r="AK31" s="194">
        <f t="shared" si="12"/>
        <v>236</v>
      </c>
      <c r="AL31" s="194">
        <f t="shared" si="12"/>
        <v>236</v>
      </c>
      <c r="AM31" s="194">
        <f t="shared" si="12"/>
        <v>236</v>
      </c>
      <c r="AN31" s="194">
        <f t="shared" si="12"/>
        <v>236</v>
      </c>
      <c r="AO31" s="194">
        <f t="shared" si="12"/>
        <v>236</v>
      </c>
      <c r="AP31" s="194">
        <f t="shared" si="12"/>
        <v>236</v>
      </c>
      <c r="AQ31" s="194">
        <f t="shared" si="12"/>
        <v>236</v>
      </c>
      <c r="AR31" s="194">
        <f t="shared" si="12"/>
        <v>236</v>
      </c>
      <c r="AS31" s="194">
        <f t="shared" si="12"/>
        <v>236</v>
      </c>
      <c r="AT31" s="194">
        <f t="shared" si="12"/>
        <v>236</v>
      </c>
      <c r="AU31" s="194">
        <f t="shared" si="12"/>
        <v>236</v>
      </c>
      <c r="AV31" s="194">
        <f t="shared" si="12"/>
        <v>236</v>
      </c>
      <c r="AW31" s="194">
        <f t="shared" si="12"/>
        <v>236</v>
      </c>
      <c r="AX31" s="194">
        <f t="shared" si="12"/>
        <v>236</v>
      </c>
      <c r="AY31" s="194">
        <f t="shared" si="12"/>
        <v>236</v>
      </c>
      <c r="AZ31" s="194">
        <f t="shared" si="12"/>
        <v>236</v>
      </c>
      <c r="BA31" s="194">
        <f t="shared" si="12"/>
        <v>236</v>
      </c>
      <c r="BB31" s="194">
        <f t="shared" si="12"/>
        <v>236</v>
      </c>
      <c r="BC31" s="194">
        <f t="shared" si="12"/>
        <v>236</v>
      </c>
    </row>
    <row r="32" spans="1:55" hidden="1" outlineLevel="1" x14ac:dyDescent="0.25">
      <c r="A32" s="39"/>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row>
    <row r="33" spans="1:55" collapsed="1" x14ac:dyDescent="0.25">
      <c r="A33" s="175" t="s">
        <v>178</v>
      </c>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row>
    <row r="34" spans="1:55" x14ac:dyDescent="0.25">
      <c r="A34" s="180" t="str">
        <f t="shared" ref="A34:A43" si="13">A8</f>
        <v>PK · Principal</v>
      </c>
      <c r="B34" s="178">
        <f t="shared" ref="B34:B43" si="14">IF($A34="","",IFERROR(AVERAGE(D34:BC34),""))</f>
        <v>-18.846153846153847</v>
      </c>
      <c r="C34" s="178">
        <f t="shared" ref="C34:C43" si="15">IF($A34="","",IFERROR(MAX(D34:BC34),""))</f>
        <v>31</v>
      </c>
      <c r="D34" s="179">
        <f t="shared" ref="D34:AI34" si="16">IF($A34="","",D8-D21)</f>
        <v>26</v>
      </c>
      <c r="E34" s="179">
        <f t="shared" si="16"/>
        <v>30</v>
      </c>
      <c r="F34" s="179">
        <f t="shared" si="16"/>
        <v>23</v>
      </c>
      <c r="G34" s="179">
        <f t="shared" si="16"/>
        <v>31</v>
      </c>
      <c r="H34" s="179">
        <f t="shared" si="16"/>
        <v>15</v>
      </c>
      <c r="I34" s="179">
        <f t="shared" si="16"/>
        <v>7</v>
      </c>
      <c r="J34" s="179">
        <f t="shared" si="16"/>
        <v>-1</v>
      </c>
      <c r="K34" s="179">
        <f t="shared" si="16"/>
        <v>-1</v>
      </c>
      <c r="L34" s="179">
        <f t="shared" si="16"/>
        <v>-2</v>
      </c>
      <c r="M34" s="179">
        <f t="shared" si="16"/>
        <v>-18</v>
      </c>
      <c r="N34" s="179">
        <f t="shared" si="16"/>
        <v>-18</v>
      </c>
      <c r="O34" s="179">
        <f t="shared" si="16"/>
        <v>-22</v>
      </c>
      <c r="P34" s="179">
        <f t="shared" si="16"/>
        <v>-22</v>
      </c>
      <c r="Q34" s="179">
        <f t="shared" si="16"/>
        <v>-22</v>
      </c>
      <c r="R34" s="179">
        <f t="shared" si="16"/>
        <v>-22</v>
      </c>
      <c r="S34" s="179">
        <f t="shared" si="16"/>
        <v>-22</v>
      </c>
      <c r="T34" s="179">
        <f t="shared" si="16"/>
        <v>-18</v>
      </c>
      <c r="U34" s="179">
        <f t="shared" si="16"/>
        <v>-22</v>
      </c>
      <c r="V34" s="179">
        <f t="shared" si="16"/>
        <v>-22</v>
      </c>
      <c r="W34" s="179">
        <f t="shared" si="16"/>
        <v>-18</v>
      </c>
      <c r="X34" s="179">
        <f t="shared" si="16"/>
        <v>-14</v>
      </c>
      <c r="Y34" s="179">
        <f t="shared" si="16"/>
        <v>-14</v>
      </c>
      <c r="Z34" s="179">
        <f t="shared" si="16"/>
        <v>-10</v>
      </c>
      <c r="AA34" s="179">
        <f t="shared" si="16"/>
        <v>-30</v>
      </c>
      <c r="AB34" s="179">
        <f t="shared" si="16"/>
        <v>-30</v>
      </c>
      <c r="AC34" s="179">
        <f t="shared" si="16"/>
        <v>-30</v>
      </c>
      <c r="AD34" s="179">
        <f t="shared" si="16"/>
        <v>-28</v>
      </c>
      <c r="AE34" s="179">
        <f t="shared" si="16"/>
        <v>-28</v>
      </c>
      <c r="AF34" s="179">
        <f t="shared" si="16"/>
        <v>-28</v>
      </c>
      <c r="AG34" s="179">
        <f t="shared" si="16"/>
        <v>-28</v>
      </c>
      <c r="AH34" s="179">
        <f t="shared" si="16"/>
        <v>-28</v>
      </c>
      <c r="AI34" s="179">
        <f t="shared" si="16"/>
        <v>-28</v>
      </c>
      <c r="AJ34" s="179">
        <f t="shared" ref="AJ34:BC34" si="17">IF($A34="","",AJ8-AJ21)</f>
        <v>-28</v>
      </c>
      <c r="AK34" s="179">
        <f t="shared" si="17"/>
        <v>-28</v>
      </c>
      <c r="AL34" s="179">
        <f t="shared" si="17"/>
        <v>-28</v>
      </c>
      <c r="AM34" s="179">
        <f t="shared" si="17"/>
        <v>-28</v>
      </c>
      <c r="AN34" s="179">
        <f t="shared" si="17"/>
        <v>-28</v>
      </c>
      <c r="AO34" s="179">
        <f t="shared" si="17"/>
        <v>-28</v>
      </c>
      <c r="AP34" s="179">
        <f t="shared" si="17"/>
        <v>-28</v>
      </c>
      <c r="AQ34" s="179">
        <f t="shared" si="17"/>
        <v>-30</v>
      </c>
      <c r="AR34" s="179">
        <f t="shared" si="17"/>
        <v>-30</v>
      </c>
      <c r="AS34" s="179">
        <f t="shared" si="17"/>
        <v>-30</v>
      </c>
      <c r="AT34" s="179">
        <f t="shared" si="17"/>
        <v>-30</v>
      </c>
      <c r="AU34" s="179">
        <f t="shared" si="17"/>
        <v>-30</v>
      </c>
      <c r="AV34" s="179">
        <f t="shared" si="17"/>
        <v>-30</v>
      </c>
      <c r="AW34" s="179">
        <f t="shared" si="17"/>
        <v>-30</v>
      </c>
      <c r="AX34" s="179">
        <f t="shared" si="17"/>
        <v>-30</v>
      </c>
      <c r="AY34" s="179">
        <f t="shared" si="17"/>
        <v>-30</v>
      </c>
      <c r="AZ34" s="179">
        <f t="shared" si="17"/>
        <v>-30</v>
      </c>
      <c r="BA34" s="179">
        <f t="shared" si="17"/>
        <v>-30</v>
      </c>
      <c r="BB34" s="179">
        <f t="shared" si="17"/>
        <v>-30</v>
      </c>
      <c r="BC34" s="179">
        <f t="shared" si="17"/>
        <v>-30</v>
      </c>
    </row>
    <row r="35" spans="1:55" x14ac:dyDescent="0.25">
      <c r="A35" s="180" t="str">
        <f t="shared" si="13"/>
        <v>DF · Principal</v>
      </c>
      <c r="B35" s="178">
        <f t="shared" si="14"/>
        <v>-20.03846153846154</v>
      </c>
      <c r="C35" s="178">
        <f t="shared" si="15"/>
        <v>4</v>
      </c>
      <c r="D35" s="179">
        <f t="shared" ref="D35:AI35" si="18">IF($A35="","",D9-D22)</f>
        <v>-4</v>
      </c>
      <c r="E35" s="179">
        <f t="shared" si="18"/>
        <v>-4</v>
      </c>
      <c r="F35" s="179">
        <f t="shared" si="18"/>
        <v>-4</v>
      </c>
      <c r="G35" s="179">
        <f t="shared" si="18"/>
        <v>4</v>
      </c>
      <c r="H35" s="179">
        <f t="shared" si="18"/>
        <v>4</v>
      </c>
      <c r="I35" s="179">
        <f t="shared" si="18"/>
        <v>-4</v>
      </c>
      <c r="J35" s="179">
        <f t="shared" si="18"/>
        <v>-4</v>
      </c>
      <c r="K35" s="179">
        <f t="shared" si="18"/>
        <v>-4</v>
      </c>
      <c r="L35" s="179">
        <f t="shared" si="18"/>
        <v>-4</v>
      </c>
      <c r="M35" s="179">
        <f t="shared" si="18"/>
        <v>-4</v>
      </c>
      <c r="N35" s="179">
        <f t="shared" si="18"/>
        <v>-4</v>
      </c>
      <c r="O35" s="179">
        <f t="shared" si="18"/>
        <v>-4</v>
      </c>
      <c r="P35" s="179">
        <f t="shared" si="18"/>
        <v>-4</v>
      </c>
      <c r="Q35" s="179">
        <f t="shared" si="18"/>
        <v>-4</v>
      </c>
      <c r="R35" s="179">
        <f t="shared" si="18"/>
        <v>-4</v>
      </c>
      <c r="S35" s="179">
        <f t="shared" si="18"/>
        <v>-14</v>
      </c>
      <c r="T35" s="179">
        <f t="shared" si="18"/>
        <v>-14</v>
      </c>
      <c r="U35" s="179">
        <f t="shared" si="18"/>
        <v>-22</v>
      </c>
      <c r="V35" s="179">
        <f t="shared" si="18"/>
        <v>-14</v>
      </c>
      <c r="W35" s="179">
        <f t="shared" si="18"/>
        <v>-14</v>
      </c>
      <c r="X35" s="179">
        <f t="shared" si="18"/>
        <v>-14</v>
      </c>
      <c r="Y35" s="179">
        <f t="shared" si="18"/>
        <v>-14</v>
      </c>
      <c r="Z35" s="179">
        <f t="shared" si="18"/>
        <v>-22</v>
      </c>
      <c r="AA35" s="179">
        <f t="shared" si="18"/>
        <v>-30</v>
      </c>
      <c r="AB35" s="179">
        <f t="shared" si="18"/>
        <v>-30</v>
      </c>
      <c r="AC35" s="179">
        <f t="shared" si="18"/>
        <v>-30</v>
      </c>
      <c r="AD35" s="179">
        <f t="shared" si="18"/>
        <v>-30</v>
      </c>
      <c r="AE35" s="179">
        <f t="shared" si="18"/>
        <v>-30</v>
      </c>
      <c r="AF35" s="179">
        <f t="shared" si="18"/>
        <v>-30</v>
      </c>
      <c r="AG35" s="179">
        <f t="shared" si="18"/>
        <v>-30</v>
      </c>
      <c r="AH35" s="179">
        <f t="shared" si="18"/>
        <v>-30</v>
      </c>
      <c r="AI35" s="179">
        <f t="shared" si="18"/>
        <v>-30</v>
      </c>
      <c r="AJ35" s="179">
        <f t="shared" ref="AJ35:BC35" si="19">IF($A35="","",AJ9-AJ22)</f>
        <v>-30</v>
      </c>
      <c r="AK35" s="179">
        <f t="shared" si="19"/>
        <v>-30</v>
      </c>
      <c r="AL35" s="179">
        <f t="shared" si="19"/>
        <v>-30</v>
      </c>
      <c r="AM35" s="179">
        <f t="shared" si="19"/>
        <v>-30</v>
      </c>
      <c r="AN35" s="179">
        <f t="shared" si="19"/>
        <v>-30</v>
      </c>
      <c r="AO35" s="179">
        <f t="shared" si="19"/>
        <v>-30</v>
      </c>
      <c r="AP35" s="179">
        <f t="shared" si="19"/>
        <v>-30</v>
      </c>
      <c r="AQ35" s="179">
        <f t="shared" si="19"/>
        <v>-30</v>
      </c>
      <c r="AR35" s="179">
        <f t="shared" si="19"/>
        <v>-30</v>
      </c>
      <c r="AS35" s="179">
        <f t="shared" si="19"/>
        <v>-30</v>
      </c>
      <c r="AT35" s="179">
        <f t="shared" si="19"/>
        <v>-30</v>
      </c>
      <c r="AU35" s="179">
        <f t="shared" si="19"/>
        <v>-30</v>
      </c>
      <c r="AV35" s="179">
        <f t="shared" si="19"/>
        <v>-30</v>
      </c>
      <c r="AW35" s="179">
        <f t="shared" si="19"/>
        <v>-30</v>
      </c>
      <c r="AX35" s="179">
        <f t="shared" si="19"/>
        <v>-30</v>
      </c>
      <c r="AY35" s="179">
        <f t="shared" si="19"/>
        <v>-30</v>
      </c>
      <c r="AZ35" s="179">
        <f t="shared" si="19"/>
        <v>-30</v>
      </c>
      <c r="BA35" s="179">
        <f t="shared" si="19"/>
        <v>-30</v>
      </c>
      <c r="BB35" s="179">
        <f t="shared" si="19"/>
        <v>-30</v>
      </c>
      <c r="BC35" s="179">
        <f t="shared" si="19"/>
        <v>-30</v>
      </c>
    </row>
    <row r="36" spans="1:55" x14ac:dyDescent="0.25">
      <c r="A36" s="180" t="str">
        <f t="shared" si="13"/>
        <v>KJ · Director</v>
      </c>
      <c r="B36" s="178">
        <f t="shared" si="14"/>
        <v>-20.134615384615383</v>
      </c>
      <c r="C36" s="178">
        <f t="shared" si="15"/>
        <v>6</v>
      </c>
      <c r="D36" s="179">
        <f t="shared" ref="D36:AI36" si="20">IF($A36="","",D10-D23)</f>
        <v>-14</v>
      </c>
      <c r="E36" s="179">
        <f t="shared" si="20"/>
        <v>-6</v>
      </c>
      <c r="F36" s="179">
        <f t="shared" si="20"/>
        <v>-6</v>
      </c>
      <c r="G36" s="179">
        <f t="shared" si="20"/>
        <v>-6</v>
      </c>
      <c r="H36" s="179">
        <f t="shared" si="20"/>
        <v>-6</v>
      </c>
      <c r="I36" s="179">
        <f t="shared" si="20"/>
        <v>-6</v>
      </c>
      <c r="J36" s="179">
        <f t="shared" si="20"/>
        <v>-6</v>
      </c>
      <c r="K36" s="179">
        <f t="shared" si="20"/>
        <v>6</v>
      </c>
      <c r="L36" s="179">
        <f t="shared" si="20"/>
        <v>6</v>
      </c>
      <c r="M36" s="179">
        <f t="shared" si="20"/>
        <v>-9</v>
      </c>
      <c r="N36" s="179">
        <f t="shared" si="20"/>
        <v>-9</v>
      </c>
      <c r="O36" s="179">
        <f t="shared" si="20"/>
        <v>-17</v>
      </c>
      <c r="P36" s="179">
        <f t="shared" si="20"/>
        <v>-17</v>
      </c>
      <c r="Q36" s="179">
        <f t="shared" si="20"/>
        <v>-17</v>
      </c>
      <c r="R36" s="179">
        <f t="shared" si="20"/>
        <v>-2</v>
      </c>
      <c r="S36" s="179">
        <f t="shared" si="20"/>
        <v>-4</v>
      </c>
      <c r="T36" s="179">
        <f t="shared" si="20"/>
        <v>4</v>
      </c>
      <c r="U36" s="179">
        <f t="shared" si="20"/>
        <v>-8</v>
      </c>
      <c r="V36" s="179">
        <f t="shared" si="20"/>
        <v>-23</v>
      </c>
      <c r="W36" s="179">
        <f t="shared" si="20"/>
        <v>-23</v>
      </c>
      <c r="X36" s="179">
        <f t="shared" si="20"/>
        <v>-23</v>
      </c>
      <c r="Y36" s="179">
        <f t="shared" si="20"/>
        <v>-23</v>
      </c>
      <c r="Z36" s="179">
        <f t="shared" si="20"/>
        <v>-23</v>
      </c>
      <c r="AA36" s="179">
        <f t="shared" si="20"/>
        <v>-27</v>
      </c>
      <c r="AB36" s="179">
        <f t="shared" si="20"/>
        <v>-31</v>
      </c>
      <c r="AC36" s="179">
        <f t="shared" si="20"/>
        <v>-31</v>
      </c>
      <c r="AD36" s="179">
        <f t="shared" si="20"/>
        <v>-27</v>
      </c>
      <c r="AE36" s="179">
        <f t="shared" si="20"/>
        <v>-27</v>
      </c>
      <c r="AF36" s="179">
        <f t="shared" si="20"/>
        <v>-27</v>
      </c>
      <c r="AG36" s="179">
        <f t="shared" si="20"/>
        <v>-27</v>
      </c>
      <c r="AH36" s="179">
        <f t="shared" si="20"/>
        <v>-12</v>
      </c>
      <c r="AI36" s="179">
        <f t="shared" si="20"/>
        <v>-12</v>
      </c>
      <c r="AJ36" s="179">
        <f t="shared" ref="AJ36:BC36" si="21">IF($A36="","",AJ10-AJ23)</f>
        <v>-12</v>
      </c>
      <c r="AK36" s="179">
        <f t="shared" si="21"/>
        <v>-28</v>
      </c>
      <c r="AL36" s="179">
        <f t="shared" si="21"/>
        <v>-28</v>
      </c>
      <c r="AM36" s="179">
        <f t="shared" si="21"/>
        <v>-28</v>
      </c>
      <c r="AN36" s="179">
        <f t="shared" si="21"/>
        <v>-28</v>
      </c>
      <c r="AO36" s="179">
        <f t="shared" si="21"/>
        <v>-28</v>
      </c>
      <c r="AP36" s="179">
        <f t="shared" si="21"/>
        <v>-28</v>
      </c>
      <c r="AQ36" s="179">
        <f t="shared" si="21"/>
        <v>-30</v>
      </c>
      <c r="AR36" s="179">
        <f t="shared" si="21"/>
        <v>-32</v>
      </c>
      <c r="AS36" s="179">
        <f t="shared" si="21"/>
        <v>-32</v>
      </c>
      <c r="AT36" s="179">
        <f t="shared" si="21"/>
        <v>-32</v>
      </c>
      <c r="AU36" s="179">
        <f t="shared" si="21"/>
        <v>-32</v>
      </c>
      <c r="AV36" s="179">
        <f t="shared" si="21"/>
        <v>-32</v>
      </c>
      <c r="AW36" s="179">
        <f t="shared" si="21"/>
        <v>-32</v>
      </c>
      <c r="AX36" s="179">
        <f t="shared" si="21"/>
        <v>-32</v>
      </c>
      <c r="AY36" s="179">
        <f t="shared" si="21"/>
        <v>-32</v>
      </c>
      <c r="AZ36" s="179">
        <f t="shared" si="21"/>
        <v>-32</v>
      </c>
      <c r="BA36" s="179">
        <f t="shared" si="21"/>
        <v>-32</v>
      </c>
      <c r="BB36" s="179">
        <f t="shared" si="21"/>
        <v>-32</v>
      </c>
      <c r="BC36" s="179">
        <f t="shared" si="21"/>
        <v>-32</v>
      </c>
    </row>
    <row r="37" spans="1:55" x14ac:dyDescent="0.25">
      <c r="A37" s="180" t="str">
        <f t="shared" si="13"/>
        <v>HL · Senior Designer</v>
      </c>
      <c r="B37" s="178">
        <f t="shared" si="14"/>
        <v>-26.923076923076923</v>
      </c>
      <c r="C37" s="178">
        <f t="shared" si="15"/>
        <v>16</v>
      </c>
      <c r="D37" s="179">
        <f t="shared" ref="D37:AI37" si="22">IF($A37="","",D11-D24)</f>
        <v>16</v>
      </c>
      <c r="E37" s="179">
        <f t="shared" si="22"/>
        <v>16</v>
      </c>
      <c r="F37" s="179">
        <f t="shared" si="22"/>
        <v>16</v>
      </c>
      <c r="G37" s="179">
        <f t="shared" si="22"/>
        <v>16</v>
      </c>
      <c r="H37" s="179">
        <f t="shared" si="22"/>
        <v>4</v>
      </c>
      <c r="I37" s="179">
        <f t="shared" si="22"/>
        <v>4</v>
      </c>
      <c r="J37" s="179">
        <f t="shared" si="22"/>
        <v>-12</v>
      </c>
      <c r="K37" s="179">
        <f t="shared" si="22"/>
        <v>-20</v>
      </c>
      <c r="L37" s="179">
        <f t="shared" si="22"/>
        <v>-20</v>
      </c>
      <c r="M37" s="179">
        <f t="shared" si="22"/>
        <v>-20</v>
      </c>
      <c r="N37" s="179">
        <f t="shared" si="22"/>
        <v>-20</v>
      </c>
      <c r="O37" s="179">
        <f t="shared" si="22"/>
        <v>-20</v>
      </c>
      <c r="P37" s="179">
        <f t="shared" si="22"/>
        <v>-20</v>
      </c>
      <c r="Q37" s="179">
        <f t="shared" si="22"/>
        <v>-20</v>
      </c>
      <c r="R37" s="179">
        <f t="shared" si="22"/>
        <v>-20</v>
      </c>
      <c r="S37" s="179">
        <f t="shared" si="22"/>
        <v>-20</v>
      </c>
      <c r="T37" s="179">
        <f t="shared" si="22"/>
        <v>-20</v>
      </c>
      <c r="U37" s="179">
        <f t="shared" si="22"/>
        <v>-36</v>
      </c>
      <c r="V37" s="179">
        <f t="shared" si="22"/>
        <v>-36</v>
      </c>
      <c r="W37" s="179">
        <f t="shared" si="22"/>
        <v>-36</v>
      </c>
      <c r="X37" s="179">
        <f t="shared" si="22"/>
        <v>-36</v>
      </c>
      <c r="Y37" s="179">
        <f t="shared" si="22"/>
        <v>-36</v>
      </c>
      <c r="Z37" s="179">
        <f t="shared" si="22"/>
        <v>-36</v>
      </c>
      <c r="AA37" s="179">
        <f t="shared" si="22"/>
        <v>-36</v>
      </c>
      <c r="AB37" s="179">
        <f t="shared" si="22"/>
        <v>-36</v>
      </c>
      <c r="AC37" s="179">
        <f t="shared" si="22"/>
        <v>-36</v>
      </c>
      <c r="AD37" s="179">
        <f t="shared" si="22"/>
        <v>-36</v>
      </c>
      <c r="AE37" s="179">
        <f t="shared" si="22"/>
        <v>-36</v>
      </c>
      <c r="AF37" s="179">
        <f t="shared" si="22"/>
        <v>-36</v>
      </c>
      <c r="AG37" s="179">
        <f t="shared" si="22"/>
        <v>-36</v>
      </c>
      <c r="AH37" s="179">
        <f t="shared" si="22"/>
        <v>-36</v>
      </c>
      <c r="AI37" s="179">
        <f t="shared" si="22"/>
        <v>-36</v>
      </c>
      <c r="AJ37" s="179">
        <f t="shared" ref="AJ37:BC37" si="23">IF($A37="","",AJ11-AJ24)</f>
        <v>-36</v>
      </c>
      <c r="AK37" s="179">
        <f t="shared" si="23"/>
        <v>-36</v>
      </c>
      <c r="AL37" s="179">
        <f t="shared" si="23"/>
        <v>-36</v>
      </c>
      <c r="AM37" s="179">
        <f t="shared" si="23"/>
        <v>-36</v>
      </c>
      <c r="AN37" s="179">
        <f t="shared" si="23"/>
        <v>-36</v>
      </c>
      <c r="AO37" s="179">
        <f t="shared" si="23"/>
        <v>-36</v>
      </c>
      <c r="AP37" s="179">
        <f t="shared" si="23"/>
        <v>-36</v>
      </c>
      <c r="AQ37" s="179">
        <f t="shared" si="23"/>
        <v>-36</v>
      </c>
      <c r="AR37" s="179">
        <f t="shared" si="23"/>
        <v>-36</v>
      </c>
      <c r="AS37" s="179">
        <f t="shared" si="23"/>
        <v>-36</v>
      </c>
      <c r="AT37" s="179">
        <f t="shared" si="23"/>
        <v>-36</v>
      </c>
      <c r="AU37" s="179">
        <f t="shared" si="23"/>
        <v>-36</v>
      </c>
      <c r="AV37" s="179">
        <f t="shared" si="23"/>
        <v>-36</v>
      </c>
      <c r="AW37" s="179">
        <f t="shared" si="23"/>
        <v>-36</v>
      </c>
      <c r="AX37" s="179">
        <f t="shared" si="23"/>
        <v>-36</v>
      </c>
      <c r="AY37" s="179">
        <f t="shared" si="23"/>
        <v>-36</v>
      </c>
      <c r="AZ37" s="179">
        <f t="shared" si="23"/>
        <v>-36</v>
      </c>
      <c r="BA37" s="179">
        <f t="shared" si="23"/>
        <v>-36</v>
      </c>
      <c r="BB37" s="179">
        <f t="shared" si="23"/>
        <v>-36</v>
      </c>
      <c r="BC37" s="179">
        <f t="shared" si="23"/>
        <v>-36</v>
      </c>
    </row>
    <row r="38" spans="1:55" x14ac:dyDescent="0.25">
      <c r="A38" s="180" t="str">
        <f t="shared" si="13"/>
        <v>EHH · Mid Level Designer</v>
      </c>
      <c r="B38" s="178">
        <f t="shared" si="14"/>
        <v>-32.53846153846154</v>
      </c>
      <c r="C38" s="178">
        <f t="shared" si="15"/>
        <v>-20</v>
      </c>
      <c r="D38" s="179">
        <f t="shared" ref="D38:AI38" si="24">IF($A38="","",D12-D25)</f>
        <v>-35</v>
      </c>
      <c r="E38" s="179">
        <f t="shared" si="24"/>
        <v>-35</v>
      </c>
      <c r="F38" s="179">
        <f t="shared" si="24"/>
        <v>-35</v>
      </c>
      <c r="G38" s="179">
        <f t="shared" si="24"/>
        <v>-27</v>
      </c>
      <c r="H38" s="179">
        <f t="shared" si="24"/>
        <v>-28</v>
      </c>
      <c r="I38" s="179">
        <f t="shared" si="24"/>
        <v>-28</v>
      </c>
      <c r="J38" s="179">
        <f t="shared" si="24"/>
        <v>-28</v>
      </c>
      <c r="K38" s="179">
        <f t="shared" si="24"/>
        <v>-28</v>
      </c>
      <c r="L38" s="179">
        <f t="shared" si="24"/>
        <v>-28</v>
      </c>
      <c r="M38" s="179">
        <f t="shared" si="24"/>
        <v>-20</v>
      </c>
      <c r="N38" s="179">
        <f t="shared" si="24"/>
        <v>-20</v>
      </c>
      <c r="O38" s="179">
        <f t="shared" si="24"/>
        <v>-20</v>
      </c>
      <c r="P38" s="179">
        <f t="shared" si="24"/>
        <v>-20</v>
      </c>
      <c r="Q38" s="179">
        <f t="shared" si="24"/>
        <v>-20</v>
      </c>
      <c r="R38" s="179">
        <f t="shared" si="24"/>
        <v>-20</v>
      </c>
      <c r="S38" s="179">
        <f t="shared" si="24"/>
        <v>-20</v>
      </c>
      <c r="T38" s="179">
        <f t="shared" si="24"/>
        <v>-20</v>
      </c>
      <c r="U38" s="179">
        <f t="shared" si="24"/>
        <v>-36</v>
      </c>
      <c r="V38" s="179">
        <f t="shared" si="24"/>
        <v>-36</v>
      </c>
      <c r="W38" s="179">
        <f t="shared" si="24"/>
        <v>-36</v>
      </c>
      <c r="X38" s="179">
        <f t="shared" si="24"/>
        <v>-36</v>
      </c>
      <c r="Y38" s="179">
        <f t="shared" si="24"/>
        <v>-36</v>
      </c>
      <c r="Z38" s="179">
        <f t="shared" si="24"/>
        <v>-36</v>
      </c>
      <c r="AA38" s="179">
        <f t="shared" si="24"/>
        <v>-36</v>
      </c>
      <c r="AB38" s="179">
        <f t="shared" si="24"/>
        <v>-36</v>
      </c>
      <c r="AC38" s="179">
        <f t="shared" si="24"/>
        <v>-36</v>
      </c>
      <c r="AD38" s="179">
        <f t="shared" si="24"/>
        <v>-36</v>
      </c>
      <c r="AE38" s="179">
        <f t="shared" si="24"/>
        <v>-36</v>
      </c>
      <c r="AF38" s="179">
        <f t="shared" si="24"/>
        <v>-36</v>
      </c>
      <c r="AG38" s="179">
        <f t="shared" si="24"/>
        <v>-36</v>
      </c>
      <c r="AH38" s="179">
        <f t="shared" si="24"/>
        <v>-36</v>
      </c>
      <c r="AI38" s="179">
        <f t="shared" si="24"/>
        <v>-36</v>
      </c>
      <c r="AJ38" s="179">
        <f t="shared" ref="AJ38:BC38" si="25">IF($A38="","",AJ12-AJ25)</f>
        <v>-36</v>
      </c>
      <c r="AK38" s="179">
        <f t="shared" si="25"/>
        <v>-36</v>
      </c>
      <c r="AL38" s="179">
        <f t="shared" si="25"/>
        <v>-36</v>
      </c>
      <c r="AM38" s="179">
        <f t="shared" si="25"/>
        <v>-36</v>
      </c>
      <c r="AN38" s="179">
        <f t="shared" si="25"/>
        <v>-36</v>
      </c>
      <c r="AO38" s="179">
        <f t="shared" si="25"/>
        <v>-36</v>
      </c>
      <c r="AP38" s="179">
        <f t="shared" si="25"/>
        <v>-36</v>
      </c>
      <c r="AQ38" s="179">
        <f t="shared" si="25"/>
        <v>-36</v>
      </c>
      <c r="AR38" s="179">
        <f t="shared" si="25"/>
        <v>-36</v>
      </c>
      <c r="AS38" s="179">
        <f t="shared" si="25"/>
        <v>-36</v>
      </c>
      <c r="AT38" s="179">
        <f t="shared" si="25"/>
        <v>-36</v>
      </c>
      <c r="AU38" s="179">
        <f t="shared" si="25"/>
        <v>-36</v>
      </c>
      <c r="AV38" s="179">
        <f t="shared" si="25"/>
        <v>-36</v>
      </c>
      <c r="AW38" s="179">
        <f t="shared" si="25"/>
        <v>-36</v>
      </c>
      <c r="AX38" s="179">
        <f t="shared" si="25"/>
        <v>-36</v>
      </c>
      <c r="AY38" s="179">
        <f t="shared" si="25"/>
        <v>-36</v>
      </c>
      <c r="AZ38" s="179">
        <f t="shared" si="25"/>
        <v>-36</v>
      </c>
      <c r="BA38" s="179">
        <f t="shared" si="25"/>
        <v>-36</v>
      </c>
      <c r="BB38" s="179">
        <f t="shared" si="25"/>
        <v>-36</v>
      </c>
      <c r="BC38" s="179">
        <f t="shared" si="25"/>
        <v>-36</v>
      </c>
    </row>
    <row r="39" spans="1:55" x14ac:dyDescent="0.25">
      <c r="A39" s="180" t="str">
        <f t="shared" si="13"/>
        <v>KD · Mid Level Designer</v>
      </c>
      <c r="B39" s="178">
        <f t="shared" si="14"/>
        <v>-25.076923076923077</v>
      </c>
      <c r="C39" s="178">
        <f t="shared" si="15"/>
        <v>20</v>
      </c>
      <c r="D39" s="179">
        <f t="shared" ref="D39:AI39" si="26">IF($A39="","",D13-D26)</f>
        <v>4</v>
      </c>
      <c r="E39" s="179">
        <f t="shared" si="26"/>
        <v>20</v>
      </c>
      <c r="F39" s="179">
        <f t="shared" si="26"/>
        <v>20</v>
      </c>
      <c r="G39" s="179">
        <f t="shared" si="26"/>
        <v>20</v>
      </c>
      <c r="H39" s="179">
        <f t="shared" si="26"/>
        <v>4</v>
      </c>
      <c r="I39" s="179">
        <f t="shared" si="26"/>
        <v>0</v>
      </c>
      <c r="J39" s="179">
        <f t="shared" si="26"/>
        <v>4</v>
      </c>
      <c r="K39" s="179">
        <f t="shared" si="26"/>
        <v>4</v>
      </c>
      <c r="L39" s="179">
        <f t="shared" si="26"/>
        <v>4</v>
      </c>
      <c r="M39" s="179">
        <f t="shared" si="26"/>
        <v>-16</v>
      </c>
      <c r="N39" s="179">
        <f t="shared" si="26"/>
        <v>-16</v>
      </c>
      <c r="O39" s="179">
        <f t="shared" si="26"/>
        <v>-36</v>
      </c>
      <c r="P39" s="179">
        <f t="shared" si="26"/>
        <v>-36</v>
      </c>
      <c r="Q39" s="179">
        <f t="shared" si="26"/>
        <v>-36</v>
      </c>
      <c r="R39" s="179">
        <f t="shared" si="26"/>
        <v>-20</v>
      </c>
      <c r="S39" s="179">
        <f t="shared" si="26"/>
        <v>-20</v>
      </c>
      <c r="T39" s="179">
        <f t="shared" si="26"/>
        <v>-20</v>
      </c>
      <c r="U39" s="179">
        <f t="shared" si="26"/>
        <v>-20</v>
      </c>
      <c r="V39" s="179">
        <f t="shared" si="26"/>
        <v>-36</v>
      </c>
      <c r="W39" s="179">
        <f t="shared" si="26"/>
        <v>-36</v>
      </c>
      <c r="X39" s="179">
        <f t="shared" si="26"/>
        <v>-36</v>
      </c>
      <c r="Y39" s="179">
        <f t="shared" si="26"/>
        <v>-36</v>
      </c>
      <c r="Z39" s="179">
        <f t="shared" si="26"/>
        <v>-36</v>
      </c>
      <c r="AA39" s="179">
        <f t="shared" si="26"/>
        <v>-36</v>
      </c>
      <c r="AB39" s="179">
        <f t="shared" si="26"/>
        <v>-36</v>
      </c>
      <c r="AC39" s="179">
        <f t="shared" si="26"/>
        <v>-36</v>
      </c>
      <c r="AD39" s="179">
        <f t="shared" si="26"/>
        <v>-36</v>
      </c>
      <c r="AE39" s="179">
        <f t="shared" si="26"/>
        <v>-36</v>
      </c>
      <c r="AF39" s="179">
        <f t="shared" si="26"/>
        <v>-36</v>
      </c>
      <c r="AG39" s="179">
        <f t="shared" si="26"/>
        <v>-36</v>
      </c>
      <c r="AH39" s="179">
        <f t="shared" si="26"/>
        <v>-16</v>
      </c>
      <c r="AI39" s="179">
        <f t="shared" si="26"/>
        <v>-16</v>
      </c>
      <c r="AJ39" s="179">
        <f t="shared" ref="AJ39:BC39" si="27">IF($A39="","",AJ13-AJ26)</f>
        <v>-16</v>
      </c>
      <c r="AK39" s="179">
        <f t="shared" si="27"/>
        <v>-36</v>
      </c>
      <c r="AL39" s="179">
        <f t="shared" si="27"/>
        <v>-36</v>
      </c>
      <c r="AM39" s="179">
        <f t="shared" si="27"/>
        <v>-36</v>
      </c>
      <c r="AN39" s="179">
        <f t="shared" si="27"/>
        <v>-36</v>
      </c>
      <c r="AO39" s="179">
        <f t="shared" si="27"/>
        <v>-36</v>
      </c>
      <c r="AP39" s="179">
        <f t="shared" si="27"/>
        <v>-36</v>
      </c>
      <c r="AQ39" s="179">
        <f t="shared" si="27"/>
        <v>-36</v>
      </c>
      <c r="AR39" s="179">
        <f t="shared" si="27"/>
        <v>-36</v>
      </c>
      <c r="AS39" s="179">
        <f t="shared" si="27"/>
        <v>-36</v>
      </c>
      <c r="AT39" s="179">
        <f t="shared" si="27"/>
        <v>-36</v>
      </c>
      <c r="AU39" s="179">
        <f t="shared" si="27"/>
        <v>-36</v>
      </c>
      <c r="AV39" s="179">
        <f t="shared" si="27"/>
        <v>-36</v>
      </c>
      <c r="AW39" s="179">
        <f t="shared" si="27"/>
        <v>-36</v>
      </c>
      <c r="AX39" s="179">
        <f t="shared" si="27"/>
        <v>-36</v>
      </c>
      <c r="AY39" s="179">
        <f t="shared" si="27"/>
        <v>-36</v>
      </c>
      <c r="AZ39" s="179">
        <f t="shared" si="27"/>
        <v>-36</v>
      </c>
      <c r="BA39" s="179">
        <f t="shared" si="27"/>
        <v>-36</v>
      </c>
      <c r="BB39" s="179">
        <f t="shared" si="27"/>
        <v>-36</v>
      </c>
      <c r="BC39" s="179">
        <f t="shared" si="27"/>
        <v>-36</v>
      </c>
    </row>
    <row r="40" spans="1:55" x14ac:dyDescent="0.25">
      <c r="A40" s="180" t="str">
        <f t="shared" si="13"/>
        <v>XX · Project Designer</v>
      </c>
      <c r="B40" s="178">
        <f t="shared" si="14"/>
        <v>-20.807692307692307</v>
      </c>
      <c r="C40" s="178">
        <f t="shared" si="15"/>
        <v>24</v>
      </c>
      <c r="D40" s="179">
        <f t="shared" ref="D40:AI40" si="28">IF($A40="","",D14-D27)</f>
        <v>2</v>
      </c>
      <c r="E40" s="179">
        <f t="shared" si="28"/>
        <v>2</v>
      </c>
      <c r="F40" s="179">
        <f t="shared" si="28"/>
        <v>10</v>
      </c>
      <c r="G40" s="179">
        <f t="shared" si="28"/>
        <v>10</v>
      </c>
      <c r="H40" s="179">
        <f t="shared" si="28"/>
        <v>2</v>
      </c>
      <c r="I40" s="179">
        <f t="shared" si="28"/>
        <v>2</v>
      </c>
      <c r="J40" s="179">
        <f t="shared" si="28"/>
        <v>2</v>
      </c>
      <c r="K40" s="179">
        <f t="shared" si="28"/>
        <v>20</v>
      </c>
      <c r="L40" s="179">
        <f t="shared" si="28"/>
        <v>20</v>
      </c>
      <c r="M40" s="179">
        <f t="shared" si="28"/>
        <v>4</v>
      </c>
      <c r="N40" s="179">
        <f t="shared" si="28"/>
        <v>4</v>
      </c>
      <c r="O40" s="179">
        <f t="shared" si="28"/>
        <v>8</v>
      </c>
      <c r="P40" s="179">
        <f t="shared" si="28"/>
        <v>4</v>
      </c>
      <c r="Q40" s="179">
        <f t="shared" si="28"/>
        <v>4</v>
      </c>
      <c r="R40" s="179">
        <f t="shared" si="28"/>
        <v>12</v>
      </c>
      <c r="S40" s="179">
        <f t="shared" si="28"/>
        <v>24</v>
      </c>
      <c r="T40" s="179">
        <f t="shared" si="28"/>
        <v>24</v>
      </c>
      <c r="U40" s="179">
        <f t="shared" si="28"/>
        <v>-16</v>
      </c>
      <c r="V40" s="179">
        <f t="shared" si="28"/>
        <v>-36</v>
      </c>
      <c r="W40" s="179">
        <f t="shared" si="28"/>
        <v>-36</v>
      </c>
      <c r="X40" s="179">
        <f t="shared" si="28"/>
        <v>-36</v>
      </c>
      <c r="Y40" s="179">
        <f t="shared" si="28"/>
        <v>-36</v>
      </c>
      <c r="Z40" s="179">
        <f t="shared" si="28"/>
        <v>-36</v>
      </c>
      <c r="AA40" s="179">
        <f t="shared" si="28"/>
        <v>-36</v>
      </c>
      <c r="AB40" s="179">
        <f t="shared" si="28"/>
        <v>-36</v>
      </c>
      <c r="AC40" s="179">
        <f t="shared" si="28"/>
        <v>-36</v>
      </c>
      <c r="AD40" s="179">
        <f t="shared" si="28"/>
        <v>-36</v>
      </c>
      <c r="AE40" s="179">
        <f t="shared" si="28"/>
        <v>-36</v>
      </c>
      <c r="AF40" s="179">
        <f t="shared" si="28"/>
        <v>-36</v>
      </c>
      <c r="AG40" s="179">
        <f t="shared" si="28"/>
        <v>-36</v>
      </c>
      <c r="AH40" s="179">
        <f t="shared" si="28"/>
        <v>-32</v>
      </c>
      <c r="AI40" s="179">
        <f t="shared" si="28"/>
        <v>-36</v>
      </c>
      <c r="AJ40" s="179">
        <f t="shared" ref="AJ40:BC40" si="29">IF($A40="","",AJ14-AJ27)</f>
        <v>-36</v>
      </c>
      <c r="AK40" s="179">
        <f t="shared" si="29"/>
        <v>-36</v>
      </c>
      <c r="AL40" s="179">
        <f t="shared" si="29"/>
        <v>-36</v>
      </c>
      <c r="AM40" s="179">
        <f t="shared" si="29"/>
        <v>-36</v>
      </c>
      <c r="AN40" s="179">
        <f t="shared" si="29"/>
        <v>-36</v>
      </c>
      <c r="AO40" s="179">
        <f t="shared" si="29"/>
        <v>-36</v>
      </c>
      <c r="AP40" s="179">
        <f t="shared" si="29"/>
        <v>-36</v>
      </c>
      <c r="AQ40" s="179">
        <f t="shared" si="29"/>
        <v>-36</v>
      </c>
      <c r="AR40" s="179">
        <f t="shared" si="29"/>
        <v>-36</v>
      </c>
      <c r="AS40" s="179">
        <f t="shared" si="29"/>
        <v>-36</v>
      </c>
      <c r="AT40" s="179">
        <f t="shared" si="29"/>
        <v>-36</v>
      </c>
      <c r="AU40" s="179">
        <f t="shared" si="29"/>
        <v>-36</v>
      </c>
      <c r="AV40" s="179">
        <f t="shared" si="29"/>
        <v>-36</v>
      </c>
      <c r="AW40" s="179">
        <f t="shared" si="29"/>
        <v>-36</v>
      </c>
      <c r="AX40" s="179">
        <f t="shared" si="29"/>
        <v>-36</v>
      </c>
      <c r="AY40" s="179">
        <f t="shared" si="29"/>
        <v>-36</v>
      </c>
      <c r="AZ40" s="179">
        <f t="shared" si="29"/>
        <v>-36</v>
      </c>
      <c r="BA40" s="179">
        <f t="shared" si="29"/>
        <v>-36</v>
      </c>
      <c r="BB40" s="179">
        <f t="shared" si="29"/>
        <v>-36</v>
      </c>
      <c r="BC40" s="179">
        <f t="shared" si="29"/>
        <v>-36</v>
      </c>
    </row>
    <row r="41" spans="1:55" x14ac:dyDescent="0.25">
      <c r="A41" s="180" t="str">
        <f t="shared" si="13"/>
        <v/>
      </c>
      <c r="B41" s="178" t="str">
        <f t="shared" si="14"/>
        <v/>
      </c>
      <c r="C41" s="178" t="str">
        <f t="shared" si="15"/>
        <v/>
      </c>
      <c r="D41" s="179" t="str">
        <f t="shared" ref="D41:AI41" si="30">IF($A41="","",D15-D28)</f>
        <v/>
      </c>
      <c r="E41" s="179" t="str">
        <f t="shared" si="30"/>
        <v/>
      </c>
      <c r="F41" s="179" t="str">
        <f t="shared" si="30"/>
        <v/>
      </c>
      <c r="G41" s="179" t="str">
        <f t="shared" si="30"/>
        <v/>
      </c>
      <c r="H41" s="179" t="str">
        <f t="shared" si="30"/>
        <v/>
      </c>
      <c r="I41" s="179" t="str">
        <f t="shared" si="30"/>
        <v/>
      </c>
      <c r="J41" s="179" t="str">
        <f t="shared" si="30"/>
        <v/>
      </c>
      <c r="K41" s="179" t="str">
        <f t="shared" si="30"/>
        <v/>
      </c>
      <c r="L41" s="179" t="str">
        <f t="shared" si="30"/>
        <v/>
      </c>
      <c r="M41" s="179" t="str">
        <f t="shared" si="30"/>
        <v/>
      </c>
      <c r="N41" s="179" t="str">
        <f t="shared" si="30"/>
        <v/>
      </c>
      <c r="O41" s="179" t="str">
        <f t="shared" si="30"/>
        <v/>
      </c>
      <c r="P41" s="179" t="str">
        <f t="shared" si="30"/>
        <v/>
      </c>
      <c r="Q41" s="179" t="str">
        <f t="shared" si="30"/>
        <v/>
      </c>
      <c r="R41" s="179" t="str">
        <f t="shared" si="30"/>
        <v/>
      </c>
      <c r="S41" s="179" t="str">
        <f t="shared" si="30"/>
        <v/>
      </c>
      <c r="T41" s="179" t="str">
        <f t="shared" si="30"/>
        <v/>
      </c>
      <c r="U41" s="179" t="str">
        <f t="shared" si="30"/>
        <v/>
      </c>
      <c r="V41" s="179" t="str">
        <f t="shared" si="30"/>
        <v/>
      </c>
      <c r="W41" s="179" t="str">
        <f t="shared" si="30"/>
        <v/>
      </c>
      <c r="X41" s="179" t="str">
        <f t="shared" si="30"/>
        <v/>
      </c>
      <c r="Y41" s="179" t="str">
        <f t="shared" si="30"/>
        <v/>
      </c>
      <c r="Z41" s="179" t="str">
        <f t="shared" si="30"/>
        <v/>
      </c>
      <c r="AA41" s="179" t="str">
        <f t="shared" si="30"/>
        <v/>
      </c>
      <c r="AB41" s="179" t="str">
        <f t="shared" si="30"/>
        <v/>
      </c>
      <c r="AC41" s="179" t="str">
        <f t="shared" si="30"/>
        <v/>
      </c>
      <c r="AD41" s="179" t="str">
        <f t="shared" si="30"/>
        <v/>
      </c>
      <c r="AE41" s="179" t="str">
        <f t="shared" si="30"/>
        <v/>
      </c>
      <c r="AF41" s="179" t="str">
        <f t="shared" si="30"/>
        <v/>
      </c>
      <c r="AG41" s="179" t="str">
        <f t="shared" si="30"/>
        <v/>
      </c>
      <c r="AH41" s="179" t="str">
        <f t="shared" si="30"/>
        <v/>
      </c>
      <c r="AI41" s="179" t="str">
        <f t="shared" si="30"/>
        <v/>
      </c>
      <c r="AJ41" s="179" t="str">
        <f t="shared" ref="AJ41:BC41" si="31">IF($A41="","",AJ15-AJ28)</f>
        <v/>
      </c>
      <c r="AK41" s="179" t="str">
        <f t="shared" si="31"/>
        <v/>
      </c>
      <c r="AL41" s="179" t="str">
        <f t="shared" si="31"/>
        <v/>
      </c>
      <c r="AM41" s="179" t="str">
        <f t="shared" si="31"/>
        <v/>
      </c>
      <c r="AN41" s="179" t="str">
        <f t="shared" si="31"/>
        <v/>
      </c>
      <c r="AO41" s="179" t="str">
        <f t="shared" si="31"/>
        <v/>
      </c>
      <c r="AP41" s="179" t="str">
        <f t="shared" si="31"/>
        <v/>
      </c>
      <c r="AQ41" s="179" t="str">
        <f t="shared" si="31"/>
        <v/>
      </c>
      <c r="AR41" s="179" t="str">
        <f t="shared" si="31"/>
        <v/>
      </c>
      <c r="AS41" s="179" t="str">
        <f t="shared" si="31"/>
        <v/>
      </c>
      <c r="AT41" s="179" t="str">
        <f t="shared" si="31"/>
        <v/>
      </c>
      <c r="AU41" s="179" t="str">
        <f t="shared" si="31"/>
        <v/>
      </c>
      <c r="AV41" s="179" t="str">
        <f t="shared" si="31"/>
        <v/>
      </c>
      <c r="AW41" s="179" t="str">
        <f t="shared" si="31"/>
        <v/>
      </c>
      <c r="AX41" s="179" t="str">
        <f t="shared" si="31"/>
        <v/>
      </c>
      <c r="AY41" s="179" t="str">
        <f t="shared" si="31"/>
        <v/>
      </c>
      <c r="AZ41" s="179" t="str">
        <f t="shared" si="31"/>
        <v/>
      </c>
      <c r="BA41" s="179" t="str">
        <f t="shared" si="31"/>
        <v/>
      </c>
      <c r="BB41" s="179" t="str">
        <f t="shared" si="31"/>
        <v/>
      </c>
      <c r="BC41" s="179" t="str">
        <f t="shared" si="31"/>
        <v/>
      </c>
    </row>
    <row r="42" spans="1:55" x14ac:dyDescent="0.25">
      <c r="A42" s="180" t="str">
        <f t="shared" si="13"/>
        <v/>
      </c>
      <c r="B42" s="178" t="str">
        <f t="shared" si="14"/>
        <v/>
      </c>
      <c r="C42" s="178" t="str">
        <f t="shared" si="15"/>
        <v/>
      </c>
      <c r="D42" s="179" t="str">
        <f t="shared" ref="D42:AI42" si="32">IF($A42="","",D16-D29)</f>
        <v/>
      </c>
      <c r="E42" s="179" t="str">
        <f t="shared" si="32"/>
        <v/>
      </c>
      <c r="F42" s="179" t="str">
        <f t="shared" si="32"/>
        <v/>
      </c>
      <c r="G42" s="179" t="str">
        <f t="shared" si="32"/>
        <v/>
      </c>
      <c r="H42" s="179" t="str">
        <f t="shared" si="32"/>
        <v/>
      </c>
      <c r="I42" s="179" t="str">
        <f t="shared" si="32"/>
        <v/>
      </c>
      <c r="J42" s="179" t="str">
        <f t="shared" si="32"/>
        <v/>
      </c>
      <c r="K42" s="179" t="str">
        <f t="shared" si="32"/>
        <v/>
      </c>
      <c r="L42" s="179" t="str">
        <f t="shared" si="32"/>
        <v/>
      </c>
      <c r="M42" s="179" t="str">
        <f t="shared" si="32"/>
        <v/>
      </c>
      <c r="N42" s="179" t="str">
        <f t="shared" si="32"/>
        <v/>
      </c>
      <c r="O42" s="179" t="str">
        <f t="shared" si="32"/>
        <v/>
      </c>
      <c r="P42" s="179" t="str">
        <f t="shared" si="32"/>
        <v/>
      </c>
      <c r="Q42" s="179" t="str">
        <f t="shared" si="32"/>
        <v/>
      </c>
      <c r="R42" s="179" t="str">
        <f t="shared" si="32"/>
        <v/>
      </c>
      <c r="S42" s="179" t="str">
        <f t="shared" si="32"/>
        <v/>
      </c>
      <c r="T42" s="179" t="str">
        <f t="shared" si="32"/>
        <v/>
      </c>
      <c r="U42" s="179" t="str">
        <f t="shared" si="32"/>
        <v/>
      </c>
      <c r="V42" s="179" t="str">
        <f t="shared" si="32"/>
        <v/>
      </c>
      <c r="W42" s="179" t="str">
        <f t="shared" si="32"/>
        <v/>
      </c>
      <c r="X42" s="179" t="str">
        <f t="shared" si="32"/>
        <v/>
      </c>
      <c r="Y42" s="179" t="str">
        <f t="shared" si="32"/>
        <v/>
      </c>
      <c r="Z42" s="179" t="str">
        <f t="shared" si="32"/>
        <v/>
      </c>
      <c r="AA42" s="179" t="str">
        <f t="shared" si="32"/>
        <v/>
      </c>
      <c r="AB42" s="179" t="str">
        <f t="shared" si="32"/>
        <v/>
      </c>
      <c r="AC42" s="179" t="str">
        <f t="shared" si="32"/>
        <v/>
      </c>
      <c r="AD42" s="179" t="str">
        <f t="shared" si="32"/>
        <v/>
      </c>
      <c r="AE42" s="179" t="str">
        <f t="shared" si="32"/>
        <v/>
      </c>
      <c r="AF42" s="179" t="str">
        <f t="shared" si="32"/>
        <v/>
      </c>
      <c r="AG42" s="179" t="str">
        <f t="shared" si="32"/>
        <v/>
      </c>
      <c r="AH42" s="179" t="str">
        <f t="shared" si="32"/>
        <v/>
      </c>
      <c r="AI42" s="179" t="str">
        <f t="shared" si="32"/>
        <v/>
      </c>
      <c r="AJ42" s="179" t="str">
        <f t="shared" ref="AJ42:BC42" si="33">IF($A42="","",AJ16-AJ29)</f>
        <v/>
      </c>
      <c r="AK42" s="179" t="str">
        <f t="shared" si="33"/>
        <v/>
      </c>
      <c r="AL42" s="179" t="str">
        <f t="shared" si="33"/>
        <v/>
      </c>
      <c r="AM42" s="179" t="str">
        <f t="shared" si="33"/>
        <v/>
      </c>
      <c r="AN42" s="179" t="str">
        <f t="shared" si="33"/>
        <v/>
      </c>
      <c r="AO42" s="179" t="str">
        <f t="shared" si="33"/>
        <v/>
      </c>
      <c r="AP42" s="179" t="str">
        <f t="shared" si="33"/>
        <v/>
      </c>
      <c r="AQ42" s="179" t="str">
        <f t="shared" si="33"/>
        <v/>
      </c>
      <c r="AR42" s="179" t="str">
        <f t="shared" si="33"/>
        <v/>
      </c>
      <c r="AS42" s="179" t="str">
        <f t="shared" si="33"/>
        <v/>
      </c>
      <c r="AT42" s="179" t="str">
        <f t="shared" si="33"/>
        <v/>
      </c>
      <c r="AU42" s="179" t="str">
        <f t="shared" si="33"/>
        <v/>
      </c>
      <c r="AV42" s="179" t="str">
        <f t="shared" si="33"/>
        <v/>
      </c>
      <c r="AW42" s="179" t="str">
        <f t="shared" si="33"/>
        <v/>
      </c>
      <c r="AX42" s="179" t="str">
        <f t="shared" si="33"/>
        <v/>
      </c>
      <c r="AY42" s="179" t="str">
        <f t="shared" si="33"/>
        <v/>
      </c>
      <c r="AZ42" s="179" t="str">
        <f t="shared" si="33"/>
        <v/>
      </c>
      <c r="BA42" s="179" t="str">
        <f t="shared" si="33"/>
        <v/>
      </c>
      <c r="BB42" s="179" t="str">
        <f t="shared" si="33"/>
        <v/>
      </c>
      <c r="BC42" s="179" t="str">
        <f t="shared" si="33"/>
        <v/>
      </c>
    </row>
    <row r="43" spans="1:55" x14ac:dyDescent="0.25">
      <c r="A43" s="189" t="str">
        <f t="shared" si="13"/>
        <v/>
      </c>
      <c r="B43" s="190" t="str">
        <f t="shared" si="14"/>
        <v/>
      </c>
      <c r="C43" s="190" t="str">
        <f t="shared" si="15"/>
        <v/>
      </c>
      <c r="D43" s="191" t="str">
        <f t="shared" ref="D43:AI43" si="34">IF($A43="","",D17-D30)</f>
        <v/>
      </c>
      <c r="E43" s="191" t="str">
        <f t="shared" si="34"/>
        <v/>
      </c>
      <c r="F43" s="191" t="str">
        <f t="shared" si="34"/>
        <v/>
      </c>
      <c r="G43" s="191" t="str">
        <f t="shared" si="34"/>
        <v/>
      </c>
      <c r="H43" s="191" t="str">
        <f t="shared" si="34"/>
        <v/>
      </c>
      <c r="I43" s="191" t="str">
        <f t="shared" si="34"/>
        <v/>
      </c>
      <c r="J43" s="191" t="str">
        <f t="shared" si="34"/>
        <v/>
      </c>
      <c r="K43" s="191" t="str">
        <f t="shared" si="34"/>
        <v/>
      </c>
      <c r="L43" s="191" t="str">
        <f t="shared" si="34"/>
        <v/>
      </c>
      <c r="M43" s="191" t="str">
        <f t="shared" si="34"/>
        <v/>
      </c>
      <c r="N43" s="191" t="str">
        <f t="shared" si="34"/>
        <v/>
      </c>
      <c r="O43" s="191" t="str">
        <f t="shared" si="34"/>
        <v/>
      </c>
      <c r="P43" s="191" t="str">
        <f t="shared" si="34"/>
        <v/>
      </c>
      <c r="Q43" s="191" t="str">
        <f t="shared" si="34"/>
        <v/>
      </c>
      <c r="R43" s="191" t="str">
        <f t="shared" si="34"/>
        <v/>
      </c>
      <c r="S43" s="191" t="str">
        <f t="shared" si="34"/>
        <v/>
      </c>
      <c r="T43" s="191" t="str">
        <f t="shared" si="34"/>
        <v/>
      </c>
      <c r="U43" s="191" t="str">
        <f t="shared" si="34"/>
        <v/>
      </c>
      <c r="V43" s="191" t="str">
        <f t="shared" si="34"/>
        <v/>
      </c>
      <c r="W43" s="191" t="str">
        <f t="shared" si="34"/>
        <v/>
      </c>
      <c r="X43" s="191" t="str">
        <f t="shared" si="34"/>
        <v/>
      </c>
      <c r="Y43" s="191" t="str">
        <f t="shared" si="34"/>
        <v/>
      </c>
      <c r="Z43" s="191" t="str">
        <f t="shared" si="34"/>
        <v/>
      </c>
      <c r="AA43" s="191" t="str">
        <f t="shared" si="34"/>
        <v/>
      </c>
      <c r="AB43" s="191" t="str">
        <f t="shared" si="34"/>
        <v/>
      </c>
      <c r="AC43" s="191" t="str">
        <f t="shared" si="34"/>
        <v/>
      </c>
      <c r="AD43" s="191" t="str">
        <f t="shared" si="34"/>
        <v/>
      </c>
      <c r="AE43" s="191" t="str">
        <f t="shared" si="34"/>
        <v/>
      </c>
      <c r="AF43" s="191" t="str">
        <f t="shared" si="34"/>
        <v/>
      </c>
      <c r="AG43" s="191" t="str">
        <f t="shared" si="34"/>
        <v/>
      </c>
      <c r="AH43" s="191" t="str">
        <f t="shared" si="34"/>
        <v/>
      </c>
      <c r="AI43" s="191" t="str">
        <f t="shared" si="34"/>
        <v/>
      </c>
      <c r="AJ43" s="191" t="str">
        <f t="shared" ref="AJ43:BC43" si="35">IF($A43="","",AJ17-AJ30)</f>
        <v/>
      </c>
      <c r="AK43" s="191" t="str">
        <f t="shared" si="35"/>
        <v/>
      </c>
      <c r="AL43" s="191" t="str">
        <f t="shared" si="35"/>
        <v/>
      </c>
      <c r="AM43" s="191" t="str">
        <f t="shared" si="35"/>
        <v/>
      </c>
      <c r="AN43" s="191" t="str">
        <f t="shared" si="35"/>
        <v/>
      </c>
      <c r="AO43" s="191" t="str">
        <f t="shared" si="35"/>
        <v/>
      </c>
      <c r="AP43" s="191" t="str">
        <f t="shared" si="35"/>
        <v/>
      </c>
      <c r="AQ43" s="191" t="str">
        <f t="shared" si="35"/>
        <v/>
      </c>
      <c r="AR43" s="191" t="str">
        <f t="shared" si="35"/>
        <v/>
      </c>
      <c r="AS43" s="191" t="str">
        <f t="shared" si="35"/>
        <v/>
      </c>
      <c r="AT43" s="191" t="str">
        <f t="shared" si="35"/>
        <v/>
      </c>
      <c r="AU43" s="191" t="str">
        <f t="shared" si="35"/>
        <v/>
      </c>
      <c r="AV43" s="191" t="str">
        <f t="shared" si="35"/>
        <v/>
      </c>
      <c r="AW43" s="191" t="str">
        <f t="shared" si="35"/>
        <v/>
      </c>
      <c r="AX43" s="191" t="str">
        <f t="shared" si="35"/>
        <v/>
      </c>
      <c r="AY43" s="191" t="str">
        <f t="shared" si="35"/>
        <v/>
      </c>
      <c r="AZ43" s="191" t="str">
        <f t="shared" si="35"/>
        <v/>
      </c>
      <c r="BA43" s="191" t="str">
        <f t="shared" si="35"/>
        <v/>
      </c>
      <c r="BB43" s="191" t="str">
        <f t="shared" si="35"/>
        <v/>
      </c>
      <c r="BC43" s="191" t="str">
        <f t="shared" si="35"/>
        <v/>
      </c>
    </row>
    <row r="44" spans="1:55" x14ac:dyDescent="0.25">
      <c r="A44" s="192" t="s">
        <v>181</v>
      </c>
      <c r="B44" s="193">
        <f>AVERAGE(D44:BC44)</f>
        <v>-164.36538461538461</v>
      </c>
      <c r="C44" s="193">
        <f>MAX(D44:BC44)</f>
        <v>48</v>
      </c>
      <c r="D44" s="194">
        <f t="shared" ref="D44:AI44" si="36">D18-D31</f>
        <v>-5</v>
      </c>
      <c r="E44" s="194">
        <f t="shared" si="36"/>
        <v>23</v>
      </c>
      <c r="F44" s="194">
        <f t="shared" si="36"/>
        <v>24</v>
      </c>
      <c r="G44" s="194">
        <f t="shared" si="36"/>
        <v>48</v>
      </c>
      <c r="H44" s="194">
        <f t="shared" si="36"/>
        <v>-5</v>
      </c>
      <c r="I44" s="194">
        <f t="shared" si="36"/>
        <v>-25</v>
      </c>
      <c r="J44" s="194">
        <f t="shared" si="36"/>
        <v>-45</v>
      </c>
      <c r="K44" s="194">
        <f t="shared" si="36"/>
        <v>-23</v>
      </c>
      <c r="L44" s="194">
        <f t="shared" si="36"/>
        <v>-24</v>
      </c>
      <c r="M44" s="194">
        <f t="shared" si="36"/>
        <v>-83</v>
      </c>
      <c r="N44" s="194">
        <f t="shared" si="36"/>
        <v>-83</v>
      </c>
      <c r="O44" s="194">
        <f t="shared" si="36"/>
        <v>-111</v>
      </c>
      <c r="P44" s="194">
        <f t="shared" si="36"/>
        <v>-115</v>
      </c>
      <c r="Q44" s="194">
        <f t="shared" si="36"/>
        <v>-115</v>
      </c>
      <c r="R44" s="194">
        <f t="shared" si="36"/>
        <v>-76</v>
      </c>
      <c r="S44" s="194">
        <f t="shared" si="36"/>
        <v>-76</v>
      </c>
      <c r="T44" s="194">
        <f t="shared" si="36"/>
        <v>-64</v>
      </c>
      <c r="U44" s="194">
        <f t="shared" si="36"/>
        <v>-160</v>
      </c>
      <c r="V44" s="194">
        <f t="shared" si="36"/>
        <v>-203</v>
      </c>
      <c r="W44" s="194">
        <f t="shared" si="36"/>
        <v>-199</v>
      </c>
      <c r="X44" s="194">
        <f t="shared" si="36"/>
        <v>-195</v>
      </c>
      <c r="Y44" s="194">
        <f t="shared" si="36"/>
        <v>-195</v>
      </c>
      <c r="Z44" s="194">
        <f t="shared" si="36"/>
        <v>-199</v>
      </c>
      <c r="AA44" s="194">
        <f t="shared" si="36"/>
        <v>-231</v>
      </c>
      <c r="AB44" s="194">
        <f t="shared" si="36"/>
        <v>-235</v>
      </c>
      <c r="AC44" s="194">
        <f t="shared" si="36"/>
        <v>-235</v>
      </c>
      <c r="AD44" s="194">
        <f t="shared" si="36"/>
        <v>-229</v>
      </c>
      <c r="AE44" s="194">
        <f t="shared" si="36"/>
        <v>-229</v>
      </c>
      <c r="AF44" s="194">
        <f t="shared" si="36"/>
        <v>-229</v>
      </c>
      <c r="AG44" s="194">
        <f t="shared" si="36"/>
        <v>-229</v>
      </c>
      <c r="AH44" s="194">
        <f t="shared" si="36"/>
        <v>-190</v>
      </c>
      <c r="AI44" s="194">
        <f t="shared" si="36"/>
        <v>-194</v>
      </c>
      <c r="AJ44" s="194">
        <f t="shared" ref="AJ44:BC44" si="37">AJ18-AJ31</f>
        <v>-194</v>
      </c>
      <c r="AK44" s="194">
        <f t="shared" si="37"/>
        <v>-230</v>
      </c>
      <c r="AL44" s="194">
        <f t="shared" si="37"/>
        <v>-230</v>
      </c>
      <c r="AM44" s="194">
        <f t="shared" si="37"/>
        <v>-230</v>
      </c>
      <c r="AN44" s="194">
        <f t="shared" si="37"/>
        <v>-230</v>
      </c>
      <c r="AO44" s="194">
        <f t="shared" si="37"/>
        <v>-230</v>
      </c>
      <c r="AP44" s="194">
        <f t="shared" si="37"/>
        <v>-230</v>
      </c>
      <c r="AQ44" s="194">
        <f t="shared" si="37"/>
        <v>-234</v>
      </c>
      <c r="AR44" s="194">
        <f t="shared" si="37"/>
        <v>-236</v>
      </c>
      <c r="AS44" s="194">
        <f t="shared" si="37"/>
        <v>-236</v>
      </c>
      <c r="AT44" s="194">
        <f t="shared" si="37"/>
        <v>-236</v>
      </c>
      <c r="AU44" s="194">
        <f t="shared" si="37"/>
        <v>-236</v>
      </c>
      <c r="AV44" s="194">
        <f t="shared" si="37"/>
        <v>-236</v>
      </c>
      <c r="AW44" s="194">
        <f t="shared" si="37"/>
        <v>-236</v>
      </c>
      <c r="AX44" s="194">
        <f t="shared" si="37"/>
        <v>-236</v>
      </c>
      <c r="AY44" s="194">
        <f t="shared" si="37"/>
        <v>-236</v>
      </c>
      <c r="AZ44" s="194">
        <f t="shared" si="37"/>
        <v>-236</v>
      </c>
      <c r="BA44" s="194">
        <f t="shared" si="37"/>
        <v>-236</v>
      </c>
      <c r="BB44" s="194">
        <f t="shared" si="37"/>
        <v>-236</v>
      </c>
      <c r="BC44" s="194">
        <f t="shared" si="37"/>
        <v>-236</v>
      </c>
    </row>
    <row r="45" spans="1:55" x14ac:dyDescent="0.25">
      <c r="A45" s="39"/>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row>
    <row r="46" spans="1:55" x14ac:dyDescent="0.25">
      <c r="A46" s="175" t="s">
        <v>185</v>
      </c>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row>
    <row r="47" spans="1:55" x14ac:dyDescent="0.25">
      <c r="A47" s="181" t="s">
        <v>182</v>
      </c>
      <c r="B47" s="184">
        <f>IF(SUM(D31:BC31)=0,0,SUM(D18:BC18)/SUM(D31:BC31))</f>
        <v>0.30353650586701436</v>
      </c>
      <c r="C47" s="184">
        <f>MAX(D47:BC47)</f>
        <v>1.2033898305084745</v>
      </c>
      <c r="D47" s="185">
        <f t="shared" ref="D47:AI47" si="38">IF(D31=0,IF(D18&gt;0,9.99,0),D18/D31)</f>
        <v>0.97881355932203384</v>
      </c>
      <c r="E47" s="185">
        <f t="shared" si="38"/>
        <v>1.097457627118644</v>
      </c>
      <c r="F47" s="185">
        <f t="shared" si="38"/>
        <v>1.1016949152542372</v>
      </c>
      <c r="G47" s="185">
        <f t="shared" si="38"/>
        <v>1.2033898305084745</v>
      </c>
      <c r="H47" s="185">
        <f t="shared" si="38"/>
        <v>0.97881355932203384</v>
      </c>
      <c r="I47" s="185">
        <f t="shared" si="38"/>
        <v>0.89406779661016944</v>
      </c>
      <c r="J47" s="185">
        <f t="shared" si="38"/>
        <v>0.80932203389830504</v>
      </c>
      <c r="K47" s="185">
        <f t="shared" si="38"/>
        <v>0.90254237288135597</v>
      </c>
      <c r="L47" s="185">
        <f t="shared" si="38"/>
        <v>0.89830508474576276</v>
      </c>
      <c r="M47" s="185">
        <f t="shared" si="38"/>
        <v>0.64830508474576276</v>
      </c>
      <c r="N47" s="185">
        <f t="shared" si="38"/>
        <v>0.64830508474576276</v>
      </c>
      <c r="O47" s="185">
        <f t="shared" si="38"/>
        <v>0.52966101694915257</v>
      </c>
      <c r="P47" s="185">
        <f t="shared" si="38"/>
        <v>0.51271186440677963</v>
      </c>
      <c r="Q47" s="185">
        <f t="shared" si="38"/>
        <v>0.51271186440677963</v>
      </c>
      <c r="R47" s="185">
        <f t="shared" si="38"/>
        <v>0.67796610169491522</v>
      </c>
      <c r="S47" s="185">
        <f t="shared" si="38"/>
        <v>0.67796610169491522</v>
      </c>
      <c r="T47" s="185">
        <f t="shared" si="38"/>
        <v>0.72881355932203384</v>
      </c>
      <c r="U47" s="185">
        <f t="shared" si="38"/>
        <v>0.32203389830508472</v>
      </c>
      <c r="V47" s="185">
        <f t="shared" si="38"/>
        <v>0.13983050847457626</v>
      </c>
      <c r="W47" s="185">
        <f t="shared" si="38"/>
        <v>0.15677966101694915</v>
      </c>
      <c r="X47" s="185">
        <f t="shared" si="38"/>
        <v>0.17372881355932204</v>
      </c>
      <c r="Y47" s="185">
        <f t="shared" si="38"/>
        <v>0.17372881355932204</v>
      </c>
      <c r="Z47" s="185">
        <f t="shared" si="38"/>
        <v>0.15677966101694915</v>
      </c>
      <c r="AA47" s="185">
        <f t="shared" si="38"/>
        <v>2.1186440677966101E-2</v>
      </c>
      <c r="AB47" s="185">
        <f t="shared" si="38"/>
        <v>4.2372881355932203E-3</v>
      </c>
      <c r="AC47" s="185">
        <f t="shared" si="38"/>
        <v>4.2372881355932203E-3</v>
      </c>
      <c r="AD47" s="185">
        <f t="shared" si="38"/>
        <v>2.9661016949152543E-2</v>
      </c>
      <c r="AE47" s="185">
        <f t="shared" si="38"/>
        <v>2.9661016949152543E-2</v>
      </c>
      <c r="AF47" s="185">
        <f t="shared" si="38"/>
        <v>2.9661016949152543E-2</v>
      </c>
      <c r="AG47" s="185">
        <f t="shared" si="38"/>
        <v>2.9661016949152543E-2</v>
      </c>
      <c r="AH47" s="185">
        <f t="shared" si="38"/>
        <v>0.19491525423728814</v>
      </c>
      <c r="AI47" s="185">
        <f t="shared" si="38"/>
        <v>0.17796610169491525</v>
      </c>
      <c r="AJ47" s="185">
        <f t="shared" ref="AJ47:BC47" si="39">IF(AJ31=0,IF(AJ18&gt;0,9.99,0),AJ18/AJ31)</f>
        <v>0.17796610169491525</v>
      </c>
      <c r="AK47" s="185">
        <f t="shared" si="39"/>
        <v>2.5423728813559324E-2</v>
      </c>
      <c r="AL47" s="185">
        <f t="shared" si="39"/>
        <v>2.5423728813559324E-2</v>
      </c>
      <c r="AM47" s="185">
        <f t="shared" si="39"/>
        <v>2.5423728813559324E-2</v>
      </c>
      <c r="AN47" s="185">
        <f t="shared" si="39"/>
        <v>2.5423728813559324E-2</v>
      </c>
      <c r="AO47" s="185">
        <f t="shared" si="39"/>
        <v>2.5423728813559324E-2</v>
      </c>
      <c r="AP47" s="185">
        <f t="shared" si="39"/>
        <v>2.5423728813559324E-2</v>
      </c>
      <c r="AQ47" s="185">
        <f t="shared" si="39"/>
        <v>8.4745762711864406E-3</v>
      </c>
      <c r="AR47" s="185">
        <f t="shared" si="39"/>
        <v>0</v>
      </c>
      <c r="AS47" s="185">
        <f t="shared" si="39"/>
        <v>0</v>
      </c>
      <c r="AT47" s="185">
        <f t="shared" si="39"/>
        <v>0</v>
      </c>
      <c r="AU47" s="185">
        <f t="shared" si="39"/>
        <v>0</v>
      </c>
      <c r="AV47" s="185">
        <f t="shared" si="39"/>
        <v>0</v>
      </c>
      <c r="AW47" s="185">
        <f t="shared" si="39"/>
        <v>0</v>
      </c>
      <c r="AX47" s="185">
        <f t="shared" si="39"/>
        <v>0</v>
      </c>
      <c r="AY47" s="185">
        <f t="shared" si="39"/>
        <v>0</v>
      </c>
      <c r="AZ47" s="185">
        <f t="shared" si="39"/>
        <v>0</v>
      </c>
      <c r="BA47" s="185">
        <f t="shared" si="39"/>
        <v>0</v>
      </c>
      <c r="BB47" s="185">
        <f t="shared" si="39"/>
        <v>0</v>
      </c>
      <c r="BC47" s="185">
        <f t="shared" si="39"/>
        <v>0</v>
      </c>
    </row>
    <row r="48" spans="1:55" x14ac:dyDescent="0.25">
      <c r="A48" s="180" t="s">
        <v>186</v>
      </c>
      <c r="B48" s="182">
        <f>AVERAGE(D48:BC48)</f>
        <v>5.4188396349413297E-2</v>
      </c>
      <c r="C48" s="182">
        <f>MAX(D48:BC48)</f>
        <v>1.423728813559322</v>
      </c>
      <c r="D48" s="183">
        <f>IF(OR(SUM(tblStaff[FTE])=0,D31=0),0,MAX(0,D44)/(D31/SUM(tblStaff[FTE])))</f>
        <v>0</v>
      </c>
      <c r="E48" s="183">
        <f>IF(OR(SUM(tblStaff[FTE])=0,E31=0),0,MAX(0,E44)/(E31/SUM(tblStaff[FTE])))</f>
        <v>0.68220338983050843</v>
      </c>
      <c r="F48" s="183">
        <f>IF(OR(SUM(tblStaff[FTE])=0,F31=0),0,MAX(0,F44)/(F31/SUM(tblStaff[FTE])))</f>
        <v>0.71186440677966101</v>
      </c>
      <c r="G48" s="183">
        <f>IF(OR(SUM(tblStaff[FTE])=0,G31=0),0,MAX(0,G44)/(G31/SUM(tblStaff[FTE])))</f>
        <v>1.423728813559322</v>
      </c>
      <c r="H48" s="183">
        <f>IF(OR(SUM(tblStaff[FTE])=0,H31=0),0,MAX(0,H44)/(H31/SUM(tblStaff[FTE])))</f>
        <v>0</v>
      </c>
      <c r="I48" s="183">
        <f>IF(OR(SUM(tblStaff[FTE])=0,I31=0),0,MAX(0,I44)/(I31/SUM(tblStaff[FTE])))</f>
        <v>0</v>
      </c>
      <c r="J48" s="183">
        <f>IF(OR(SUM(tblStaff[FTE])=0,J31=0),0,MAX(0,J44)/(J31/SUM(tblStaff[FTE])))</f>
        <v>0</v>
      </c>
      <c r="K48" s="183">
        <f>IF(OR(SUM(tblStaff[FTE])=0,K31=0),0,MAX(0,K44)/(K31/SUM(tblStaff[FTE])))</f>
        <v>0</v>
      </c>
      <c r="L48" s="183">
        <f>IF(OR(SUM(tblStaff[FTE])=0,L31=0),0,MAX(0,L44)/(L31/SUM(tblStaff[FTE])))</f>
        <v>0</v>
      </c>
      <c r="M48" s="183">
        <f>IF(OR(SUM(tblStaff[FTE])=0,M31=0),0,MAX(0,M44)/(M31/SUM(tblStaff[FTE])))</f>
        <v>0</v>
      </c>
      <c r="N48" s="183">
        <f>IF(OR(SUM(tblStaff[FTE])=0,N31=0),0,MAX(0,N44)/(N31/SUM(tblStaff[FTE])))</f>
        <v>0</v>
      </c>
      <c r="O48" s="183">
        <f>IF(OR(SUM(tblStaff[FTE])=0,O31=0),0,MAX(0,O44)/(O31/SUM(tblStaff[FTE])))</f>
        <v>0</v>
      </c>
      <c r="P48" s="183">
        <f>IF(OR(SUM(tblStaff[FTE])=0,P31=0),0,MAX(0,P44)/(P31/SUM(tblStaff[FTE])))</f>
        <v>0</v>
      </c>
      <c r="Q48" s="183">
        <f>IF(OR(SUM(tblStaff[FTE])=0,Q31=0),0,MAX(0,Q44)/(Q31/SUM(tblStaff[FTE])))</f>
        <v>0</v>
      </c>
      <c r="R48" s="183">
        <f>IF(OR(SUM(tblStaff[FTE])=0,R31=0),0,MAX(0,R44)/(R31/SUM(tblStaff[FTE])))</f>
        <v>0</v>
      </c>
      <c r="S48" s="183">
        <f>IF(OR(SUM(tblStaff[FTE])=0,S31=0),0,MAX(0,S44)/(S31/SUM(tblStaff[FTE])))</f>
        <v>0</v>
      </c>
      <c r="T48" s="183">
        <f>IF(OR(SUM(tblStaff[FTE])=0,T31=0),0,MAX(0,T44)/(T31/SUM(tblStaff[FTE])))</f>
        <v>0</v>
      </c>
      <c r="U48" s="183">
        <f>IF(OR(SUM(tblStaff[FTE])=0,U31=0),0,MAX(0,U44)/(U31/SUM(tblStaff[FTE])))</f>
        <v>0</v>
      </c>
      <c r="V48" s="183">
        <f>IF(OR(SUM(tblStaff[FTE])=0,V31=0),0,MAX(0,V44)/(V31/SUM(tblStaff[FTE])))</f>
        <v>0</v>
      </c>
      <c r="W48" s="183">
        <f>IF(OR(SUM(tblStaff[FTE])=0,W31=0),0,MAX(0,W44)/(W31/SUM(tblStaff[FTE])))</f>
        <v>0</v>
      </c>
      <c r="X48" s="183">
        <f>IF(OR(SUM(tblStaff[FTE])=0,X31=0),0,MAX(0,X44)/(X31/SUM(tblStaff[FTE])))</f>
        <v>0</v>
      </c>
      <c r="Y48" s="183">
        <f>IF(OR(SUM(tblStaff[FTE])=0,Y31=0),0,MAX(0,Y44)/(Y31/SUM(tblStaff[FTE])))</f>
        <v>0</v>
      </c>
      <c r="Z48" s="183">
        <f>IF(OR(SUM(tblStaff[FTE])=0,Z31=0),0,MAX(0,Z44)/(Z31/SUM(tblStaff[FTE])))</f>
        <v>0</v>
      </c>
      <c r="AA48" s="183">
        <f>IF(OR(SUM(tblStaff[FTE])=0,AA31=0),0,MAX(0,AA44)/(AA31/SUM(tblStaff[FTE])))</f>
        <v>0</v>
      </c>
      <c r="AB48" s="183">
        <f>IF(OR(SUM(tblStaff[FTE])=0,AB31=0),0,MAX(0,AB44)/(AB31/SUM(tblStaff[FTE])))</f>
        <v>0</v>
      </c>
      <c r="AC48" s="183">
        <f>IF(OR(SUM(tblStaff[FTE])=0,AC31=0),0,MAX(0,AC44)/(AC31/SUM(tblStaff[FTE])))</f>
        <v>0</v>
      </c>
      <c r="AD48" s="183">
        <f>IF(OR(SUM(tblStaff[FTE])=0,AD31=0),0,MAX(0,AD44)/(AD31/SUM(tblStaff[FTE])))</f>
        <v>0</v>
      </c>
      <c r="AE48" s="183">
        <f>IF(OR(SUM(tblStaff[FTE])=0,AE31=0),0,MAX(0,AE44)/(AE31/SUM(tblStaff[FTE])))</f>
        <v>0</v>
      </c>
      <c r="AF48" s="183">
        <f>IF(OR(SUM(tblStaff[FTE])=0,AF31=0),0,MAX(0,AF44)/(AF31/SUM(tblStaff[FTE])))</f>
        <v>0</v>
      </c>
      <c r="AG48" s="183">
        <f>IF(OR(SUM(tblStaff[FTE])=0,AG31=0),0,MAX(0,AG44)/(AG31/SUM(tblStaff[FTE])))</f>
        <v>0</v>
      </c>
      <c r="AH48" s="183">
        <f>IF(OR(SUM(tblStaff[FTE])=0,AH31=0),0,MAX(0,AH44)/(AH31/SUM(tblStaff[FTE])))</f>
        <v>0</v>
      </c>
      <c r="AI48" s="183">
        <f>IF(OR(SUM(tblStaff[FTE])=0,AI31=0),0,MAX(0,AI44)/(AI31/SUM(tblStaff[FTE])))</f>
        <v>0</v>
      </c>
      <c r="AJ48" s="183">
        <f>IF(OR(SUM(tblStaff[FTE])=0,AJ31=0),0,MAX(0,AJ44)/(AJ31/SUM(tblStaff[FTE])))</f>
        <v>0</v>
      </c>
      <c r="AK48" s="183">
        <f>IF(OR(SUM(tblStaff[FTE])=0,AK31=0),0,MAX(0,AK44)/(AK31/SUM(tblStaff[FTE])))</f>
        <v>0</v>
      </c>
      <c r="AL48" s="183">
        <f>IF(OR(SUM(tblStaff[FTE])=0,AL31=0),0,MAX(0,AL44)/(AL31/SUM(tblStaff[FTE])))</f>
        <v>0</v>
      </c>
      <c r="AM48" s="183">
        <f>IF(OR(SUM(tblStaff[FTE])=0,AM31=0),0,MAX(0,AM44)/(AM31/SUM(tblStaff[FTE])))</f>
        <v>0</v>
      </c>
      <c r="AN48" s="183">
        <f>IF(OR(SUM(tblStaff[FTE])=0,AN31=0),0,MAX(0,AN44)/(AN31/SUM(tblStaff[FTE])))</f>
        <v>0</v>
      </c>
      <c r="AO48" s="183">
        <f>IF(OR(SUM(tblStaff[FTE])=0,AO31=0),0,MAX(0,AO44)/(AO31/SUM(tblStaff[FTE])))</f>
        <v>0</v>
      </c>
      <c r="AP48" s="183">
        <f>IF(OR(SUM(tblStaff[FTE])=0,AP31=0),0,MAX(0,AP44)/(AP31/SUM(tblStaff[FTE])))</f>
        <v>0</v>
      </c>
      <c r="AQ48" s="183">
        <f>IF(OR(SUM(tblStaff[FTE])=0,AQ31=0),0,MAX(0,AQ44)/(AQ31/SUM(tblStaff[FTE])))</f>
        <v>0</v>
      </c>
      <c r="AR48" s="183">
        <f>IF(OR(SUM(tblStaff[FTE])=0,AR31=0),0,MAX(0,AR44)/(AR31/SUM(tblStaff[FTE])))</f>
        <v>0</v>
      </c>
      <c r="AS48" s="183">
        <f>IF(OR(SUM(tblStaff[FTE])=0,AS31=0),0,MAX(0,AS44)/(AS31/SUM(tblStaff[FTE])))</f>
        <v>0</v>
      </c>
      <c r="AT48" s="183">
        <f>IF(OR(SUM(tblStaff[FTE])=0,AT31=0),0,MAX(0,AT44)/(AT31/SUM(tblStaff[FTE])))</f>
        <v>0</v>
      </c>
      <c r="AU48" s="183">
        <f>IF(OR(SUM(tblStaff[FTE])=0,AU31=0),0,MAX(0,AU44)/(AU31/SUM(tblStaff[FTE])))</f>
        <v>0</v>
      </c>
      <c r="AV48" s="183">
        <f>IF(OR(SUM(tblStaff[FTE])=0,AV31=0),0,MAX(0,AV44)/(AV31/SUM(tblStaff[FTE])))</f>
        <v>0</v>
      </c>
      <c r="AW48" s="183">
        <f>IF(OR(SUM(tblStaff[FTE])=0,AW31=0),0,MAX(0,AW44)/(AW31/SUM(tblStaff[FTE])))</f>
        <v>0</v>
      </c>
      <c r="AX48" s="183">
        <f>IF(OR(SUM(tblStaff[FTE])=0,AX31=0),0,MAX(0,AX44)/(AX31/SUM(tblStaff[FTE])))</f>
        <v>0</v>
      </c>
      <c r="AY48" s="183">
        <f>IF(OR(SUM(tblStaff[FTE])=0,AY31=0),0,MAX(0,AY44)/(AY31/SUM(tblStaff[FTE])))</f>
        <v>0</v>
      </c>
      <c r="AZ48" s="183">
        <f>IF(OR(SUM(tblStaff[FTE])=0,AZ31=0),0,MAX(0,AZ44)/(AZ31/SUM(tblStaff[FTE])))</f>
        <v>0</v>
      </c>
      <c r="BA48" s="183">
        <f>IF(OR(SUM(tblStaff[FTE])=0,BA31=0),0,MAX(0,BA44)/(BA31/SUM(tblStaff[FTE])))</f>
        <v>0</v>
      </c>
      <c r="BB48" s="183">
        <f>IF(OR(SUM(tblStaff[FTE])=0,BB31=0),0,MAX(0,BB44)/(BB31/SUM(tblStaff[FTE])))</f>
        <v>0</v>
      </c>
      <c r="BC48" s="183">
        <f>IF(OR(SUM(tblStaff[FTE])=0,BC31=0),0,MAX(0,BC44)/(BC31/SUM(tblStaff[FTE])))</f>
        <v>0</v>
      </c>
    </row>
    <row r="49" spans="1:55" x14ac:dyDescent="0.25">
      <c r="A49" s="181" t="s">
        <v>183</v>
      </c>
      <c r="B49" s="186">
        <f>SUM(D49:BC49)</f>
        <v>3</v>
      </c>
      <c r="C49" s="187">
        <f>MAX(D49:BC49)</f>
        <v>1</v>
      </c>
      <c r="D49" s="188">
        <f>IF(D48&gt;=Assumptions!$B$10,1,0)</f>
        <v>0</v>
      </c>
      <c r="E49" s="188">
        <f>IF(E48&gt;=Assumptions!$B$10,1,0)</f>
        <v>1</v>
      </c>
      <c r="F49" s="188">
        <f>IF(F48&gt;=Assumptions!$B$10,1,0)</f>
        <v>1</v>
      </c>
      <c r="G49" s="188">
        <f>IF(G48&gt;=Assumptions!$B$10,1,0)</f>
        <v>1</v>
      </c>
      <c r="H49" s="188">
        <f>IF(H48&gt;=Assumptions!$B$10,1,0)</f>
        <v>0</v>
      </c>
      <c r="I49" s="188">
        <f>IF(I48&gt;=Assumptions!$B$10,1,0)</f>
        <v>0</v>
      </c>
      <c r="J49" s="188">
        <f>IF(J48&gt;=Assumptions!$B$10,1,0)</f>
        <v>0</v>
      </c>
      <c r="K49" s="188">
        <f>IF(K48&gt;=Assumptions!$B$10,1,0)</f>
        <v>0</v>
      </c>
      <c r="L49" s="188">
        <f>IF(L48&gt;=Assumptions!$B$10,1,0)</f>
        <v>0</v>
      </c>
      <c r="M49" s="188">
        <f>IF(M48&gt;=Assumptions!$B$10,1,0)</f>
        <v>0</v>
      </c>
      <c r="N49" s="188">
        <f>IF(N48&gt;=Assumptions!$B$10,1,0)</f>
        <v>0</v>
      </c>
      <c r="O49" s="188">
        <f>IF(O48&gt;=Assumptions!$B$10,1,0)</f>
        <v>0</v>
      </c>
      <c r="P49" s="188">
        <f>IF(P48&gt;=Assumptions!$B$10,1,0)</f>
        <v>0</v>
      </c>
      <c r="Q49" s="188">
        <f>IF(Q48&gt;=Assumptions!$B$10,1,0)</f>
        <v>0</v>
      </c>
      <c r="R49" s="188">
        <f>IF(R48&gt;=Assumptions!$B$10,1,0)</f>
        <v>0</v>
      </c>
      <c r="S49" s="188">
        <f>IF(S48&gt;=Assumptions!$B$10,1,0)</f>
        <v>0</v>
      </c>
      <c r="T49" s="188">
        <f>IF(T48&gt;=Assumptions!$B$10,1,0)</f>
        <v>0</v>
      </c>
      <c r="U49" s="188">
        <f>IF(U48&gt;=Assumptions!$B$10,1,0)</f>
        <v>0</v>
      </c>
      <c r="V49" s="188">
        <f>IF(V48&gt;=Assumptions!$B$10,1,0)</f>
        <v>0</v>
      </c>
      <c r="W49" s="188">
        <f>IF(W48&gt;=Assumptions!$B$10,1,0)</f>
        <v>0</v>
      </c>
      <c r="X49" s="188">
        <f>IF(X48&gt;=Assumptions!$B$10,1,0)</f>
        <v>0</v>
      </c>
      <c r="Y49" s="188">
        <f>IF(Y48&gt;=Assumptions!$B$10,1,0)</f>
        <v>0</v>
      </c>
      <c r="Z49" s="188">
        <f>IF(Z48&gt;=Assumptions!$B$10,1,0)</f>
        <v>0</v>
      </c>
      <c r="AA49" s="188">
        <f>IF(AA48&gt;=Assumptions!$B$10,1,0)</f>
        <v>0</v>
      </c>
      <c r="AB49" s="188">
        <f>IF(AB48&gt;=Assumptions!$B$10,1,0)</f>
        <v>0</v>
      </c>
      <c r="AC49" s="188">
        <f>IF(AC48&gt;=Assumptions!$B$10,1,0)</f>
        <v>0</v>
      </c>
      <c r="AD49" s="188">
        <f>IF(AD48&gt;=Assumptions!$B$10,1,0)</f>
        <v>0</v>
      </c>
      <c r="AE49" s="188">
        <f>IF(AE48&gt;=Assumptions!$B$10,1,0)</f>
        <v>0</v>
      </c>
      <c r="AF49" s="188">
        <f>IF(AF48&gt;=Assumptions!$B$10,1,0)</f>
        <v>0</v>
      </c>
      <c r="AG49" s="188">
        <f>IF(AG48&gt;=Assumptions!$B$10,1,0)</f>
        <v>0</v>
      </c>
      <c r="AH49" s="188">
        <f>IF(AH48&gt;=Assumptions!$B$10,1,0)</f>
        <v>0</v>
      </c>
      <c r="AI49" s="188">
        <f>IF(AI48&gt;=Assumptions!$B$10,1,0)</f>
        <v>0</v>
      </c>
      <c r="AJ49" s="188">
        <f>IF(AJ48&gt;=Assumptions!$B$10,1,0)</f>
        <v>0</v>
      </c>
      <c r="AK49" s="188">
        <f>IF(AK48&gt;=Assumptions!$B$10,1,0)</f>
        <v>0</v>
      </c>
      <c r="AL49" s="188">
        <f>IF(AL48&gt;=Assumptions!$B$10,1,0)</f>
        <v>0</v>
      </c>
      <c r="AM49" s="188">
        <f>IF(AM48&gt;=Assumptions!$B$10,1,0)</f>
        <v>0</v>
      </c>
      <c r="AN49" s="188">
        <f>IF(AN48&gt;=Assumptions!$B$10,1,0)</f>
        <v>0</v>
      </c>
      <c r="AO49" s="188">
        <f>IF(AO48&gt;=Assumptions!$B$10,1,0)</f>
        <v>0</v>
      </c>
      <c r="AP49" s="188">
        <f>IF(AP48&gt;=Assumptions!$B$10,1,0)</f>
        <v>0</v>
      </c>
      <c r="AQ49" s="188">
        <f>IF(AQ48&gt;=Assumptions!$B$10,1,0)</f>
        <v>0</v>
      </c>
      <c r="AR49" s="188">
        <f>IF(AR48&gt;=Assumptions!$B$10,1,0)</f>
        <v>0</v>
      </c>
      <c r="AS49" s="188">
        <f>IF(AS48&gt;=Assumptions!$B$10,1,0)</f>
        <v>0</v>
      </c>
      <c r="AT49" s="188">
        <f>IF(AT48&gt;=Assumptions!$B$10,1,0)</f>
        <v>0</v>
      </c>
      <c r="AU49" s="188">
        <f>IF(AU48&gt;=Assumptions!$B$10,1,0)</f>
        <v>0</v>
      </c>
      <c r="AV49" s="188">
        <f>IF(AV48&gt;=Assumptions!$B$10,1,0)</f>
        <v>0</v>
      </c>
      <c r="AW49" s="188">
        <f>IF(AW48&gt;=Assumptions!$B$10,1,0)</f>
        <v>0</v>
      </c>
      <c r="AX49" s="188">
        <f>IF(AX48&gt;=Assumptions!$B$10,1,0)</f>
        <v>0</v>
      </c>
      <c r="AY49" s="188">
        <f>IF(AY48&gt;=Assumptions!$B$10,1,0)</f>
        <v>0</v>
      </c>
      <c r="AZ49" s="188">
        <f>IF(AZ48&gt;=Assumptions!$B$10,1,0)</f>
        <v>0</v>
      </c>
      <c r="BA49" s="188">
        <f>IF(BA48&gt;=Assumptions!$B$10,1,0)</f>
        <v>0</v>
      </c>
      <c r="BB49" s="188">
        <f>IF(BB48&gt;=Assumptions!$B$10,1,0)</f>
        <v>0</v>
      </c>
      <c r="BC49" s="188">
        <f>IF(BC48&gt;=Assumptions!$B$10,1,0)</f>
        <v>0</v>
      </c>
    </row>
    <row r="50" spans="1:55" x14ac:dyDescent="0.25">
      <c r="A50" s="195" t="str">
        <f>"First hire-signal week: "&amp;IFERROR(TEXT(INDEX($D$5:$BC$5,MATCH(1,$D$49:$BC$49,0)),"m/d/yy"),"none in the next 52 weeks")&amp;"   |   Trigger = "&amp;TEXT(Assumptions!$B$10,"0.0")&amp;" FTE of firm net overage (set on Assumptions)"</f>
        <v>First hire-signal week: 10/12/26   |   Trigger = 0.5 FTE of firm net overage (set on Assumptions)</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row>
    <row r="51" spans="1:55" x14ac:dyDescent="0.25">
      <c r="A51" s="196" t="s">
        <v>187</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row>
    <row r="52" spans="1:55" x14ac:dyDescent="0.25">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row>
    <row r="53" spans="1:55" x14ac:dyDescent="0.25">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row>
    <row r="54" spans="1:55" x14ac:dyDescent="0.25">
      <c r="A54" s="19" t="s">
        <v>184</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row>
    <row r="55" spans="1:55" hidden="1" outlineLevel="1" x14ac:dyDescent="0.25">
      <c r="A55" s="24" t="s">
        <v>51</v>
      </c>
      <c r="B55" s="25"/>
      <c r="C55" s="25"/>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row>
    <row r="56" spans="1:55" hidden="1" outlineLevel="1" x14ac:dyDescent="0.25">
      <c r="A56" s="78" t="s">
        <v>24</v>
      </c>
      <c r="B56" s="74">
        <f t="shared" ref="B56:B61" si="40">AVERAGE(D56:BC56)</f>
        <v>21.115384615384617</v>
      </c>
      <c r="C56" s="74">
        <f t="shared" ref="C56:C61" si="41">MAX(D56:BC56)</f>
        <v>95</v>
      </c>
      <c r="D56" s="75" cm="1">
        <f t="array" ref="D56">SUMPRODUCT((tlLevel=Assumptions!$A$15)*tlWeight*Timeline!H$20:H$378)</f>
        <v>82</v>
      </c>
      <c r="E56" s="75" cm="1">
        <f t="array" ref="E56">SUMPRODUCT((tlLevel=Assumptions!$A$15)*tlWeight*Timeline!I$20:I$378)</f>
        <v>86</v>
      </c>
      <c r="F56" s="75" cm="1">
        <f t="array" ref="F56">SUMPRODUCT((tlLevel=Assumptions!$A$15)*tlWeight*Timeline!J$20:J$378)</f>
        <v>79</v>
      </c>
      <c r="G56" s="75" cm="1">
        <f t="array" ref="G56">SUMPRODUCT((tlLevel=Assumptions!$A$15)*tlWeight*Timeline!K$20:K$378)</f>
        <v>95</v>
      </c>
      <c r="H56" s="75" cm="1">
        <f t="array" ref="H56">SUMPRODUCT((tlLevel=Assumptions!$A$15)*tlWeight*Timeline!L$20:L$378)</f>
        <v>79</v>
      </c>
      <c r="I56" s="75" cm="1">
        <f t="array" ref="I56">SUMPRODUCT((tlLevel=Assumptions!$A$15)*tlWeight*Timeline!M$20:M$378)</f>
        <v>63</v>
      </c>
      <c r="J56" s="75" cm="1">
        <f t="array" ref="J56">SUMPRODUCT((tlLevel=Assumptions!$A$15)*tlWeight*Timeline!N$20:N$378)</f>
        <v>55</v>
      </c>
      <c r="K56" s="75" cm="1">
        <f t="array" ref="K56">SUMPRODUCT((tlLevel=Assumptions!$A$15)*tlWeight*Timeline!O$20:O$378)</f>
        <v>55</v>
      </c>
      <c r="L56" s="75" cm="1">
        <f t="array" ref="L56">SUMPRODUCT((tlLevel=Assumptions!$A$15)*tlWeight*Timeline!P$20:P$378)</f>
        <v>54</v>
      </c>
      <c r="M56" s="75" cm="1">
        <f t="array" ref="M56">SUMPRODUCT((tlLevel=Assumptions!$A$15)*tlWeight*Timeline!Q$20:Q$378)</f>
        <v>38</v>
      </c>
      <c r="N56" s="75" cm="1">
        <f t="array" ref="N56">SUMPRODUCT((tlLevel=Assumptions!$A$15)*tlWeight*Timeline!R$20:R$378)</f>
        <v>38</v>
      </c>
      <c r="O56" s="75" cm="1">
        <f t="array" ref="O56">SUMPRODUCT((tlLevel=Assumptions!$A$15)*tlWeight*Timeline!S$20:S$378)</f>
        <v>34</v>
      </c>
      <c r="P56" s="75" cm="1">
        <f t="array" ref="P56">SUMPRODUCT((tlLevel=Assumptions!$A$15)*tlWeight*Timeline!T$20:T$378)</f>
        <v>34</v>
      </c>
      <c r="Q56" s="75" cm="1">
        <f t="array" ref="Q56">SUMPRODUCT((tlLevel=Assumptions!$A$15)*tlWeight*Timeline!U$20:U$378)</f>
        <v>34</v>
      </c>
      <c r="R56" s="75" cm="1">
        <f t="array" ref="R56">SUMPRODUCT((tlLevel=Assumptions!$A$15)*tlWeight*Timeline!V$20:V$378)</f>
        <v>34</v>
      </c>
      <c r="S56" s="75" cm="1">
        <f t="array" ref="S56">SUMPRODUCT((tlLevel=Assumptions!$A$15)*tlWeight*Timeline!W$20:W$378)</f>
        <v>24</v>
      </c>
      <c r="T56" s="75" cm="1">
        <f t="array" ref="T56">SUMPRODUCT((tlLevel=Assumptions!$A$15)*tlWeight*Timeline!X$20:X$378)</f>
        <v>28</v>
      </c>
      <c r="U56" s="75" cm="1">
        <f t="array" ref="U56">SUMPRODUCT((tlLevel=Assumptions!$A$15)*tlWeight*Timeline!Y$20:Y$378)</f>
        <v>16</v>
      </c>
      <c r="V56" s="75" cm="1">
        <f t="array" ref="V56">SUMPRODUCT((tlLevel=Assumptions!$A$15)*tlWeight*Timeline!Z$20:Z$378)</f>
        <v>24</v>
      </c>
      <c r="W56" s="75" cm="1">
        <f t="array" ref="W56">SUMPRODUCT((tlLevel=Assumptions!$A$15)*tlWeight*Timeline!AA$20:AA$378)</f>
        <v>28</v>
      </c>
      <c r="X56" s="75" cm="1">
        <f t="array" ref="X56">SUMPRODUCT((tlLevel=Assumptions!$A$15)*tlWeight*Timeline!AB$20:AB$378)</f>
        <v>32</v>
      </c>
      <c r="Y56" s="75" cm="1">
        <f t="array" ref="Y56">SUMPRODUCT((tlLevel=Assumptions!$A$15)*tlWeight*Timeline!AC$20:AC$378)</f>
        <v>32</v>
      </c>
      <c r="Z56" s="75" cm="1">
        <f t="array" ref="Z56">SUMPRODUCT((tlLevel=Assumptions!$A$15)*tlWeight*Timeline!AD$20:AD$378)</f>
        <v>28</v>
      </c>
      <c r="AA56" s="75" cm="1">
        <f t="array" ref="AA56">SUMPRODUCT((tlLevel=Assumptions!$A$15)*tlWeight*Timeline!AE$20:AE$378)</f>
        <v>0</v>
      </c>
      <c r="AB56" s="75" cm="1">
        <f t="array" ref="AB56">SUMPRODUCT((tlLevel=Assumptions!$A$15)*tlWeight*Timeline!AF$20:AF$378)</f>
        <v>0</v>
      </c>
      <c r="AC56" s="75" cm="1">
        <f t="array" ref="AC56">SUMPRODUCT((tlLevel=Assumptions!$A$15)*tlWeight*Timeline!AG$20:AG$378)</f>
        <v>0</v>
      </c>
      <c r="AD56" s="75" cm="1">
        <f t="array" ref="AD56">SUMPRODUCT((tlLevel=Assumptions!$A$15)*tlWeight*Timeline!AH$20:AH$378)</f>
        <v>2</v>
      </c>
      <c r="AE56" s="75" cm="1">
        <f t="array" ref="AE56">SUMPRODUCT((tlLevel=Assumptions!$A$15)*tlWeight*Timeline!AI$20:AI$378)</f>
        <v>2</v>
      </c>
      <c r="AF56" s="75" cm="1">
        <f t="array" ref="AF56">SUMPRODUCT((tlLevel=Assumptions!$A$15)*tlWeight*Timeline!AJ$20:AJ$378)</f>
        <v>2</v>
      </c>
      <c r="AG56" s="75" cm="1">
        <f t="array" ref="AG56">SUMPRODUCT((tlLevel=Assumptions!$A$15)*tlWeight*Timeline!AK$20:AK$378)</f>
        <v>2</v>
      </c>
      <c r="AH56" s="75" cm="1">
        <f t="array" ref="AH56">SUMPRODUCT((tlLevel=Assumptions!$A$15)*tlWeight*Timeline!AL$20:AL$378)</f>
        <v>2</v>
      </c>
      <c r="AI56" s="75" cm="1">
        <f t="array" ref="AI56">SUMPRODUCT((tlLevel=Assumptions!$A$15)*tlWeight*Timeline!AM$20:AM$378)</f>
        <v>2</v>
      </c>
      <c r="AJ56" s="75" cm="1">
        <f t="array" ref="AJ56">SUMPRODUCT((tlLevel=Assumptions!$A$15)*tlWeight*Timeline!AN$20:AN$378)</f>
        <v>2</v>
      </c>
      <c r="AK56" s="75" cm="1">
        <f t="array" ref="AK56">SUMPRODUCT((tlLevel=Assumptions!$A$15)*tlWeight*Timeline!AO$20:AO$378)</f>
        <v>2</v>
      </c>
      <c r="AL56" s="75" cm="1">
        <f t="array" ref="AL56">SUMPRODUCT((tlLevel=Assumptions!$A$15)*tlWeight*Timeline!AP$20:AP$378)</f>
        <v>2</v>
      </c>
      <c r="AM56" s="75" cm="1">
        <f t="array" ref="AM56">SUMPRODUCT((tlLevel=Assumptions!$A$15)*tlWeight*Timeline!AQ$20:AQ$378)</f>
        <v>2</v>
      </c>
      <c r="AN56" s="75" cm="1">
        <f t="array" ref="AN56">SUMPRODUCT((tlLevel=Assumptions!$A$15)*tlWeight*Timeline!AR$20:AR$378)</f>
        <v>2</v>
      </c>
      <c r="AO56" s="75" cm="1">
        <f t="array" ref="AO56">SUMPRODUCT((tlLevel=Assumptions!$A$15)*tlWeight*Timeline!AS$20:AS$378)</f>
        <v>2</v>
      </c>
      <c r="AP56" s="75" cm="1">
        <f t="array" ref="AP56">SUMPRODUCT((tlLevel=Assumptions!$A$15)*tlWeight*Timeline!AT$20:AT$378)</f>
        <v>2</v>
      </c>
      <c r="AQ56" s="75" cm="1">
        <f t="array" ref="AQ56">SUMPRODUCT((tlLevel=Assumptions!$A$15)*tlWeight*Timeline!AU$20:AU$378)</f>
        <v>0</v>
      </c>
      <c r="AR56" s="75" cm="1">
        <f t="array" ref="AR56">SUMPRODUCT((tlLevel=Assumptions!$A$15)*tlWeight*Timeline!AV$20:AV$378)</f>
        <v>0</v>
      </c>
      <c r="AS56" s="75" cm="1">
        <f t="array" ref="AS56">SUMPRODUCT((tlLevel=Assumptions!$A$15)*tlWeight*Timeline!AW$20:AW$378)</f>
        <v>0</v>
      </c>
      <c r="AT56" s="75" cm="1">
        <f t="array" ref="AT56">SUMPRODUCT((tlLevel=Assumptions!$A$15)*tlWeight*Timeline!AX$20:AX$378)</f>
        <v>0</v>
      </c>
      <c r="AU56" s="75" cm="1">
        <f t="array" ref="AU56">SUMPRODUCT((tlLevel=Assumptions!$A$15)*tlWeight*Timeline!AY$20:AY$378)</f>
        <v>0</v>
      </c>
      <c r="AV56" s="75" cm="1">
        <f t="array" ref="AV56">SUMPRODUCT((tlLevel=Assumptions!$A$15)*tlWeight*Timeline!AZ$20:AZ$378)</f>
        <v>0</v>
      </c>
      <c r="AW56" s="75" cm="1">
        <f t="array" ref="AW56">SUMPRODUCT((tlLevel=Assumptions!$A$15)*tlWeight*Timeline!BA$20:BA$378)</f>
        <v>0</v>
      </c>
      <c r="AX56" s="75" cm="1">
        <f t="array" ref="AX56">SUMPRODUCT((tlLevel=Assumptions!$A$15)*tlWeight*Timeline!BB$20:BB$378)</f>
        <v>0</v>
      </c>
      <c r="AY56" s="75" cm="1">
        <f t="array" ref="AY56">SUMPRODUCT((tlLevel=Assumptions!$A$15)*tlWeight*Timeline!BC$20:BC$378)</f>
        <v>0</v>
      </c>
      <c r="AZ56" s="75" cm="1">
        <f t="array" ref="AZ56">SUMPRODUCT((tlLevel=Assumptions!$A$15)*tlWeight*Timeline!BD$20:BD$378)</f>
        <v>0</v>
      </c>
      <c r="BA56" s="75" cm="1">
        <f t="array" ref="BA56">SUMPRODUCT((tlLevel=Assumptions!$A$15)*tlWeight*Timeline!BE$20:BE$378)</f>
        <v>0</v>
      </c>
      <c r="BB56" s="75" cm="1">
        <f t="array" ref="BB56">SUMPRODUCT((tlLevel=Assumptions!$A$15)*tlWeight*Timeline!BF$20:BF$378)</f>
        <v>0</v>
      </c>
      <c r="BC56" s="75" cm="1">
        <f t="array" ref="BC56">SUMPRODUCT((tlLevel=Assumptions!$A$15)*tlWeight*Timeline!BG$20:BG$378)</f>
        <v>0</v>
      </c>
    </row>
    <row r="57" spans="1:55" hidden="1" outlineLevel="1" x14ac:dyDescent="0.25">
      <c r="A57" s="78" t="s">
        <v>25</v>
      </c>
      <c r="B57" s="74">
        <f t="shared" si="40"/>
        <v>11.865384615384615</v>
      </c>
      <c r="C57" s="74">
        <f t="shared" si="41"/>
        <v>38</v>
      </c>
      <c r="D57" s="75" cm="1">
        <f t="array" ref="D57">SUMPRODUCT((tlLevel=Assumptions!$A$16)*tlWeight*Timeline!H$20:H$378)</f>
        <v>18</v>
      </c>
      <c r="E57" s="75" cm="1">
        <f t="array" ref="E57">SUMPRODUCT((tlLevel=Assumptions!$A$16)*tlWeight*Timeline!I$20:I$378)</f>
        <v>26</v>
      </c>
      <c r="F57" s="75" cm="1">
        <f t="array" ref="F57">SUMPRODUCT((tlLevel=Assumptions!$A$16)*tlWeight*Timeline!J$20:J$378)</f>
        <v>26</v>
      </c>
      <c r="G57" s="75" cm="1">
        <f t="array" ref="G57">SUMPRODUCT((tlLevel=Assumptions!$A$16)*tlWeight*Timeline!K$20:K$378)</f>
        <v>26</v>
      </c>
      <c r="H57" s="75" cm="1">
        <f t="array" ref="H57">SUMPRODUCT((tlLevel=Assumptions!$A$16)*tlWeight*Timeline!L$20:L$378)</f>
        <v>26</v>
      </c>
      <c r="I57" s="75" cm="1">
        <f t="array" ref="I57">SUMPRODUCT((tlLevel=Assumptions!$A$16)*tlWeight*Timeline!M$20:M$378)</f>
        <v>26</v>
      </c>
      <c r="J57" s="75" cm="1">
        <f t="array" ref="J57">SUMPRODUCT((tlLevel=Assumptions!$A$16)*tlWeight*Timeline!N$20:N$378)</f>
        <v>26</v>
      </c>
      <c r="K57" s="75" cm="1">
        <f t="array" ref="K57">SUMPRODUCT((tlLevel=Assumptions!$A$16)*tlWeight*Timeline!O$20:O$378)</f>
        <v>38</v>
      </c>
      <c r="L57" s="75" cm="1">
        <f t="array" ref="L57">SUMPRODUCT((tlLevel=Assumptions!$A$16)*tlWeight*Timeline!P$20:P$378)</f>
        <v>38</v>
      </c>
      <c r="M57" s="75" cm="1">
        <f t="array" ref="M57">SUMPRODUCT((tlLevel=Assumptions!$A$16)*tlWeight*Timeline!Q$20:Q$378)</f>
        <v>23</v>
      </c>
      <c r="N57" s="75" cm="1">
        <f t="array" ref="N57">SUMPRODUCT((tlLevel=Assumptions!$A$16)*tlWeight*Timeline!R$20:R$378)</f>
        <v>23</v>
      </c>
      <c r="O57" s="75" cm="1">
        <f t="array" ref="O57">SUMPRODUCT((tlLevel=Assumptions!$A$16)*tlWeight*Timeline!S$20:S$378)</f>
        <v>15</v>
      </c>
      <c r="P57" s="75" cm="1">
        <f t="array" ref="P57">SUMPRODUCT((tlLevel=Assumptions!$A$16)*tlWeight*Timeline!T$20:T$378)</f>
        <v>15</v>
      </c>
      <c r="Q57" s="75" cm="1">
        <f t="array" ref="Q57">SUMPRODUCT((tlLevel=Assumptions!$A$16)*tlWeight*Timeline!U$20:U$378)</f>
        <v>15</v>
      </c>
      <c r="R57" s="75" cm="1">
        <f t="array" ref="R57">SUMPRODUCT((tlLevel=Assumptions!$A$16)*tlWeight*Timeline!V$20:V$378)</f>
        <v>30</v>
      </c>
      <c r="S57" s="75" cm="1">
        <f t="array" ref="S57">SUMPRODUCT((tlLevel=Assumptions!$A$16)*tlWeight*Timeline!W$20:W$378)</f>
        <v>28</v>
      </c>
      <c r="T57" s="75" cm="1">
        <f t="array" ref="T57">SUMPRODUCT((tlLevel=Assumptions!$A$16)*tlWeight*Timeline!X$20:X$378)</f>
        <v>36</v>
      </c>
      <c r="U57" s="75" cm="1">
        <f t="array" ref="U57">SUMPRODUCT((tlLevel=Assumptions!$A$16)*tlWeight*Timeline!Y$20:Y$378)</f>
        <v>24</v>
      </c>
      <c r="V57" s="75" cm="1">
        <f t="array" ref="V57">SUMPRODUCT((tlLevel=Assumptions!$A$16)*tlWeight*Timeline!Z$20:Z$378)</f>
        <v>9</v>
      </c>
      <c r="W57" s="75" cm="1">
        <f t="array" ref="W57">SUMPRODUCT((tlLevel=Assumptions!$A$16)*tlWeight*Timeline!AA$20:AA$378)</f>
        <v>9</v>
      </c>
      <c r="X57" s="75" cm="1">
        <f t="array" ref="X57">SUMPRODUCT((tlLevel=Assumptions!$A$16)*tlWeight*Timeline!AB$20:AB$378)</f>
        <v>9</v>
      </c>
      <c r="Y57" s="75" cm="1">
        <f t="array" ref="Y57">SUMPRODUCT((tlLevel=Assumptions!$A$16)*tlWeight*Timeline!AC$20:AC$378)</f>
        <v>9</v>
      </c>
      <c r="Z57" s="75" cm="1">
        <f t="array" ref="Z57">SUMPRODUCT((tlLevel=Assumptions!$A$16)*tlWeight*Timeline!AD$20:AD$378)</f>
        <v>9</v>
      </c>
      <c r="AA57" s="75" cm="1">
        <f t="array" ref="AA57">SUMPRODUCT((tlLevel=Assumptions!$A$16)*tlWeight*Timeline!AE$20:AE$378)</f>
        <v>5</v>
      </c>
      <c r="AB57" s="75" cm="1">
        <f t="array" ref="AB57">SUMPRODUCT((tlLevel=Assumptions!$A$16)*tlWeight*Timeline!AF$20:AF$378)</f>
        <v>1</v>
      </c>
      <c r="AC57" s="75" cm="1">
        <f t="array" ref="AC57">SUMPRODUCT((tlLevel=Assumptions!$A$16)*tlWeight*Timeline!AG$20:AG$378)</f>
        <v>1</v>
      </c>
      <c r="AD57" s="75" cm="1">
        <f t="array" ref="AD57">SUMPRODUCT((tlLevel=Assumptions!$A$16)*tlWeight*Timeline!AH$20:AH$378)</f>
        <v>5</v>
      </c>
      <c r="AE57" s="75" cm="1">
        <f t="array" ref="AE57">SUMPRODUCT((tlLevel=Assumptions!$A$16)*tlWeight*Timeline!AI$20:AI$378)</f>
        <v>5</v>
      </c>
      <c r="AF57" s="75" cm="1">
        <f t="array" ref="AF57">SUMPRODUCT((tlLevel=Assumptions!$A$16)*tlWeight*Timeline!AJ$20:AJ$378)</f>
        <v>5</v>
      </c>
      <c r="AG57" s="75" cm="1">
        <f t="array" ref="AG57">SUMPRODUCT((tlLevel=Assumptions!$A$16)*tlWeight*Timeline!AK$20:AK$378)</f>
        <v>5</v>
      </c>
      <c r="AH57" s="75" cm="1">
        <f t="array" ref="AH57">SUMPRODUCT((tlLevel=Assumptions!$A$16)*tlWeight*Timeline!AL$20:AL$378)</f>
        <v>20</v>
      </c>
      <c r="AI57" s="75" cm="1">
        <f t="array" ref="AI57">SUMPRODUCT((tlLevel=Assumptions!$A$16)*tlWeight*Timeline!AM$20:AM$378)</f>
        <v>20</v>
      </c>
      <c r="AJ57" s="75" cm="1">
        <f t="array" ref="AJ57">SUMPRODUCT((tlLevel=Assumptions!$A$16)*tlWeight*Timeline!AN$20:AN$378)</f>
        <v>20</v>
      </c>
      <c r="AK57" s="75" cm="1">
        <f t="array" ref="AK57">SUMPRODUCT((tlLevel=Assumptions!$A$16)*tlWeight*Timeline!AO$20:AO$378)</f>
        <v>4</v>
      </c>
      <c r="AL57" s="75" cm="1">
        <f t="array" ref="AL57">SUMPRODUCT((tlLevel=Assumptions!$A$16)*tlWeight*Timeline!AP$20:AP$378)</f>
        <v>4</v>
      </c>
      <c r="AM57" s="75" cm="1">
        <f t="array" ref="AM57">SUMPRODUCT((tlLevel=Assumptions!$A$16)*tlWeight*Timeline!AQ$20:AQ$378)</f>
        <v>4</v>
      </c>
      <c r="AN57" s="75" cm="1">
        <f t="array" ref="AN57">SUMPRODUCT((tlLevel=Assumptions!$A$16)*tlWeight*Timeline!AR$20:AR$378)</f>
        <v>4</v>
      </c>
      <c r="AO57" s="75" cm="1">
        <f t="array" ref="AO57">SUMPRODUCT((tlLevel=Assumptions!$A$16)*tlWeight*Timeline!AS$20:AS$378)</f>
        <v>4</v>
      </c>
      <c r="AP57" s="75" cm="1">
        <f t="array" ref="AP57">SUMPRODUCT((tlLevel=Assumptions!$A$16)*tlWeight*Timeline!AT$20:AT$378)</f>
        <v>4</v>
      </c>
      <c r="AQ57" s="75" cm="1">
        <f t="array" ref="AQ57">SUMPRODUCT((tlLevel=Assumptions!$A$16)*tlWeight*Timeline!AU$20:AU$378)</f>
        <v>2</v>
      </c>
      <c r="AR57" s="75" cm="1">
        <f t="array" ref="AR57">SUMPRODUCT((tlLevel=Assumptions!$A$16)*tlWeight*Timeline!AV$20:AV$378)</f>
        <v>0</v>
      </c>
      <c r="AS57" s="75" cm="1">
        <f t="array" ref="AS57">SUMPRODUCT((tlLevel=Assumptions!$A$16)*tlWeight*Timeline!AW$20:AW$378)</f>
        <v>0</v>
      </c>
      <c r="AT57" s="75" cm="1">
        <f t="array" ref="AT57">SUMPRODUCT((tlLevel=Assumptions!$A$16)*tlWeight*Timeline!AX$20:AX$378)</f>
        <v>0</v>
      </c>
      <c r="AU57" s="75" cm="1">
        <f t="array" ref="AU57">SUMPRODUCT((tlLevel=Assumptions!$A$16)*tlWeight*Timeline!AY$20:AY$378)</f>
        <v>0</v>
      </c>
      <c r="AV57" s="75" cm="1">
        <f t="array" ref="AV57">SUMPRODUCT((tlLevel=Assumptions!$A$16)*tlWeight*Timeline!AZ$20:AZ$378)</f>
        <v>0</v>
      </c>
      <c r="AW57" s="75" cm="1">
        <f t="array" ref="AW57">SUMPRODUCT((tlLevel=Assumptions!$A$16)*tlWeight*Timeline!BA$20:BA$378)</f>
        <v>0</v>
      </c>
      <c r="AX57" s="75" cm="1">
        <f t="array" ref="AX57">SUMPRODUCT((tlLevel=Assumptions!$A$16)*tlWeight*Timeline!BB$20:BB$378)</f>
        <v>0</v>
      </c>
      <c r="AY57" s="75" cm="1">
        <f t="array" ref="AY57">SUMPRODUCT((tlLevel=Assumptions!$A$16)*tlWeight*Timeline!BC$20:BC$378)</f>
        <v>0</v>
      </c>
      <c r="AZ57" s="75" cm="1">
        <f t="array" ref="AZ57">SUMPRODUCT((tlLevel=Assumptions!$A$16)*tlWeight*Timeline!BD$20:BD$378)</f>
        <v>0</v>
      </c>
      <c r="BA57" s="75" cm="1">
        <f t="array" ref="BA57">SUMPRODUCT((tlLevel=Assumptions!$A$16)*tlWeight*Timeline!BE$20:BE$378)</f>
        <v>0</v>
      </c>
      <c r="BB57" s="75" cm="1">
        <f t="array" ref="BB57">SUMPRODUCT((tlLevel=Assumptions!$A$16)*tlWeight*Timeline!BF$20:BF$378)</f>
        <v>0</v>
      </c>
      <c r="BC57" s="75" cm="1">
        <f t="array" ref="BC57">SUMPRODUCT((tlLevel=Assumptions!$A$16)*tlWeight*Timeline!BG$20:BG$378)</f>
        <v>0</v>
      </c>
    </row>
    <row r="58" spans="1:55" hidden="1" outlineLevel="1" x14ac:dyDescent="0.25">
      <c r="A58" s="78" t="s">
        <v>26</v>
      </c>
      <c r="B58" s="74">
        <f t="shared" si="40"/>
        <v>9.0769230769230766</v>
      </c>
      <c r="C58" s="74">
        <f t="shared" si="41"/>
        <v>52</v>
      </c>
      <c r="D58" s="75" cm="1">
        <f t="array" ref="D58">SUMPRODUCT((tlLevel=Assumptions!$A$17)*tlWeight*Timeline!H$20:H$378)</f>
        <v>52</v>
      </c>
      <c r="E58" s="75" cm="1">
        <f t="array" ref="E58">SUMPRODUCT((tlLevel=Assumptions!$A$17)*tlWeight*Timeline!I$20:I$378)</f>
        <v>52</v>
      </c>
      <c r="F58" s="75" cm="1">
        <f t="array" ref="F58">SUMPRODUCT((tlLevel=Assumptions!$A$17)*tlWeight*Timeline!J$20:J$378)</f>
        <v>52</v>
      </c>
      <c r="G58" s="75" cm="1">
        <f t="array" ref="G58">SUMPRODUCT((tlLevel=Assumptions!$A$17)*tlWeight*Timeline!K$20:K$378)</f>
        <v>52</v>
      </c>
      <c r="H58" s="75" cm="1">
        <f t="array" ref="H58">SUMPRODUCT((tlLevel=Assumptions!$A$17)*tlWeight*Timeline!L$20:L$378)</f>
        <v>40</v>
      </c>
      <c r="I58" s="75" cm="1">
        <f t="array" ref="I58">SUMPRODUCT((tlLevel=Assumptions!$A$17)*tlWeight*Timeline!M$20:M$378)</f>
        <v>40</v>
      </c>
      <c r="J58" s="75" cm="1">
        <f t="array" ref="J58">SUMPRODUCT((tlLevel=Assumptions!$A$17)*tlWeight*Timeline!N$20:N$378)</f>
        <v>24</v>
      </c>
      <c r="K58" s="75" cm="1">
        <f t="array" ref="K58">SUMPRODUCT((tlLevel=Assumptions!$A$17)*tlWeight*Timeline!O$20:O$378)</f>
        <v>16</v>
      </c>
      <c r="L58" s="75" cm="1">
        <f t="array" ref="L58">SUMPRODUCT((tlLevel=Assumptions!$A$17)*tlWeight*Timeline!P$20:P$378)</f>
        <v>16</v>
      </c>
      <c r="M58" s="75" cm="1">
        <f t="array" ref="M58">SUMPRODUCT((tlLevel=Assumptions!$A$17)*tlWeight*Timeline!Q$20:Q$378)</f>
        <v>16</v>
      </c>
      <c r="N58" s="75" cm="1">
        <f t="array" ref="N58">SUMPRODUCT((tlLevel=Assumptions!$A$17)*tlWeight*Timeline!R$20:R$378)</f>
        <v>16</v>
      </c>
      <c r="O58" s="75" cm="1">
        <f t="array" ref="O58">SUMPRODUCT((tlLevel=Assumptions!$A$17)*tlWeight*Timeline!S$20:S$378)</f>
        <v>16</v>
      </c>
      <c r="P58" s="75" cm="1">
        <f t="array" ref="P58">SUMPRODUCT((tlLevel=Assumptions!$A$17)*tlWeight*Timeline!T$20:T$378)</f>
        <v>16</v>
      </c>
      <c r="Q58" s="75" cm="1">
        <f t="array" ref="Q58">SUMPRODUCT((tlLevel=Assumptions!$A$17)*tlWeight*Timeline!U$20:U$378)</f>
        <v>16</v>
      </c>
      <c r="R58" s="75" cm="1">
        <f t="array" ref="R58">SUMPRODUCT((tlLevel=Assumptions!$A$17)*tlWeight*Timeline!V$20:V$378)</f>
        <v>16</v>
      </c>
      <c r="S58" s="75" cm="1">
        <f t="array" ref="S58">SUMPRODUCT((tlLevel=Assumptions!$A$17)*tlWeight*Timeline!W$20:W$378)</f>
        <v>16</v>
      </c>
      <c r="T58" s="75" cm="1">
        <f t="array" ref="T58">SUMPRODUCT((tlLevel=Assumptions!$A$17)*tlWeight*Timeline!X$20:X$378)</f>
        <v>16</v>
      </c>
      <c r="U58" s="75" cm="1">
        <f t="array" ref="U58">SUMPRODUCT((tlLevel=Assumptions!$A$17)*tlWeight*Timeline!Y$20:Y$378)</f>
        <v>0</v>
      </c>
      <c r="V58" s="75" cm="1">
        <f t="array" ref="V58">SUMPRODUCT((tlLevel=Assumptions!$A$17)*tlWeight*Timeline!Z$20:Z$378)</f>
        <v>0</v>
      </c>
      <c r="W58" s="75" cm="1">
        <f t="array" ref="W58">SUMPRODUCT((tlLevel=Assumptions!$A$17)*tlWeight*Timeline!AA$20:AA$378)</f>
        <v>0</v>
      </c>
      <c r="X58" s="75" cm="1">
        <f t="array" ref="X58">SUMPRODUCT((tlLevel=Assumptions!$A$17)*tlWeight*Timeline!AB$20:AB$378)</f>
        <v>0</v>
      </c>
      <c r="Y58" s="75" cm="1">
        <f t="array" ref="Y58">SUMPRODUCT((tlLevel=Assumptions!$A$17)*tlWeight*Timeline!AC$20:AC$378)</f>
        <v>0</v>
      </c>
      <c r="Z58" s="75" cm="1">
        <f t="array" ref="Z58">SUMPRODUCT((tlLevel=Assumptions!$A$17)*tlWeight*Timeline!AD$20:AD$378)</f>
        <v>0</v>
      </c>
      <c r="AA58" s="75" cm="1">
        <f t="array" ref="AA58">SUMPRODUCT((tlLevel=Assumptions!$A$17)*tlWeight*Timeline!AE$20:AE$378)</f>
        <v>0</v>
      </c>
      <c r="AB58" s="75" cm="1">
        <f t="array" ref="AB58">SUMPRODUCT((tlLevel=Assumptions!$A$17)*tlWeight*Timeline!AF$20:AF$378)</f>
        <v>0</v>
      </c>
      <c r="AC58" s="75" cm="1">
        <f t="array" ref="AC58">SUMPRODUCT((tlLevel=Assumptions!$A$17)*tlWeight*Timeline!AG$20:AG$378)</f>
        <v>0</v>
      </c>
      <c r="AD58" s="75" cm="1">
        <f t="array" ref="AD58">SUMPRODUCT((tlLevel=Assumptions!$A$17)*tlWeight*Timeline!AH$20:AH$378)</f>
        <v>0</v>
      </c>
      <c r="AE58" s="75" cm="1">
        <f t="array" ref="AE58">SUMPRODUCT((tlLevel=Assumptions!$A$17)*tlWeight*Timeline!AI$20:AI$378)</f>
        <v>0</v>
      </c>
      <c r="AF58" s="75" cm="1">
        <f t="array" ref="AF58">SUMPRODUCT((tlLevel=Assumptions!$A$17)*tlWeight*Timeline!AJ$20:AJ$378)</f>
        <v>0</v>
      </c>
      <c r="AG58" s="75" cm="1">
        <f t="array" ref="AG58">SUMPRODUCT((tlLevel=Assumptions!$A$17)*tlWeight*Timeline!AK$20:AK$378)</f>
        <v>0</v>
      </c>
      <c r="AH58" s="75" cm="1">
        <f t="array" ref="AH58">SUMPRODUCT((tlLevel=Assumptions!$A$17)*tlWeight*Timeline!AL$20:AL$378)</f>
        <v>0</v>
      </c>
      <c r="AI58" s="75" cm="1">
        <f t="array" ref="AI58">SUMPRODUCT((tlLevel=Assumptions!$A$17)*tlWeight*Timeline!AM$20:AM$378)</f>
        <v>0</v>
      </c>
      <c r="AJ58" s="75" cm="1">
        <f t="array" ref="AJ58">SUMPRODUCT((tlLevel=Assumptions!$A$17)*tlWeight*Timeline!AN$20:AN$378)</f>
        <v>0</v>
      </c>
      <c r="AK58" s="75" cm="1">
        <f t="array" ref="AK58">SUMPRODUCT((tlLevel=Assumptions!$A$17)*tlWeight*Timeline!AO$20:AO$378)</f>
        <v>0</v>
      </c>
      <c r="AL58" s="75" cm="1">
        <f t="array" ref="AL58">SUMPRODUCT((tlLevel=Assumptions!$A$17)*tlWeight*Timeline!AP$20:AP$378)</f>
        <v>0</v>
      </c>
      <c r="AM58" s="75" cm="1">
        <f t="array" ref="AM58">SUMPRODUCT((tlLevel=Assumptions!$A$17)*tlWeight*Timeline!AQ$20:AQ$378)</f>
        <v>0</v>
      </c>
      <c r="AN58" s="75" cm="1">
        <f t="array" ref="AN58">SUMPRODUCT((tlLevel=Assumptions!$A$17)*tlWeight*Timeline!AR$20:AR$378)</f>
        <v>0</v>
      </c>
      <c r="AO58" s="75" cm="1">
        <f t="array" ref="AO58">SUMPRODUCT((tlLevel=Assumptions!$A$17)*tlWeight*Timeline!AS$20:AS$378)</f>
        <v>0</v>
      </c>
      <c r="AP58" s="75" cm="1">
        <f t="array" ref="AP58">SUMPRODUCT((tlLevel=Assumptions!$A$17)*tlWeight*Timeline!AT$20:AT$378)</f>
        <v>0</v>
      </c>
      <c r="AQ58" s="75" cm="1">
        <f t="array" ref="AQ58">SUMPRODUCT((tlLevel=Assumptions!$A$17)*tlWeight*Timeline!AU$20:AU$378)</f>
        <v>0</v>
      </c>
      <c r="AR58" s="75" cm="1">
        <f t="array" ref="AR58">SUMPRODUCT((tlLevel=Assumptions!$A$17)*tlWeight*Timeline!AV$20:AV$378)</f>
        <v>0</v>
      </c>
      <c r="AS58" s="75" cm="1">
        <f t="array" ref="AS58">SUMPRODUCT((tlLevel=Assumptions!$A$17)*tlWeight*Timeline!AW$20:AW$378)</f>
        <v>0</v>
      </c>
      <c r="AT58" s="75" cm="1">
        <f t="array" ref="AT58">SUMPRODUCT((tlLevel=Assumptions!$A$17)*tlWeight*Timeline!AX$20:AX$378)</f>
        <v>0</v>
      </c>
      <c r="AU58" s="75" cm="1">
        <f t="array" ref="AU58">SUMPRODUCT((tlLevel=Assumptions!$A$17)*tlWeight*Timeline!AY$20:AY$378)</f>
        <v>0</v>
      </c>
      <c r="AV58" s="75" cm="1">
        <f t="array" ref="AV58">SUMPRODUCT((tlLevel=Assumptions!$A$17)*tlWeight*Timeline!AZ$20:AZ$378)</f>
        <v>0</v>
      </c>
      <c r="AW58" s="75" cm="1">
        <f t="array" ref="AW58">SUMPRODUCT((tlLevel=Assumptions!$A$17)*tlWeight*Timeline!BA$20:BA$378)</f>
        <v>0</v>
      </c>
      <c r="AX58" s="75" cm="1">
        <f t="array" ref="AX58">SUMPRODUCT((tlLevel=Assumptions!$A$17)*tlWeight*Timeline!BB$20:BB$378)</f>
        <v>0</v>
      </c>
      <c r="AY58" s="75" cm="1">
        <f t="array" ref="AY58">SUMPRODUCT((tlLevel=Assumptions!$A$17)*tlWeight*Timeline!BC$20:BC$378)</f>
        <v>0</v>
      </c>
      <c r="AZ58" s="75" cm="1">
        <f t="array" ref="AZ58">SUMPRODUCT((tlLevel=Assumptions!$A$17)*tlWeight*Timeline!BD$20:BD$378)</f>
        <v>0</v>
      </c>
      <c r="BA58" s="75" cm="1">
        <f t="array" ref="BA58">SUMPRODUCT((tlLevel=Assumptions!$A$17)*tlWeight*Timeline!BE$20:BE$378)</f>
        <v>0</v>
      </c>
      <c r="BB58" s="75" cm="1">
        <f t="array" ref="BB58">SUMPRODUCT((tlLevel=Assumptions!$A$17)*tlWeight*Timeline!BF$20:BF$378)</f>
        <v>0</v>
      </c>
      <c r="BC58" s="75" cm="1">
        <f t="array" ref="BC58">SUMPRODUCT((tlLevel=Assumptions!$A$17)*tlWeight*Timeline!BG$20:BG$378)</f>
        <v>0</v>
      </c>
    </row>
    <row r="59" spans="1:55" hidden="1" outlineLevel="1" x14ac:dyDescent="0.25">
      <c r="A59" s="78" t="s">
        <v>172</v>
      </c>
      <c r="B59" s="74">
        <f t="shared" si="40"/>
        <v>14.384615384615385</v>
      </c>
      <c r="C59" s="74">
        <f t="shared" si="41"/>
        <v>65</v>
      </c>
      <c r="D59" s="75" cm="1">
        <f t="array" ref="D59">SUMPRODUCT((tlLevel=Assumptions!$A$18)*tlWeight*Timeline!H$20:H$378)</f>
        <v>41</v>
      </c>
      <c r="E59" s="75" cm="1">
        <f t="array" ref="E59">SUMPRODUCT((tlLevel=Assumptions!$A$18)*tlWeight*Timeline!I$20:I$378)</f>
        <v>57</v>
      </c>
      <c r="F59" s="75" cm="1">
        <f t="array" ref="F59">SUMPRODUCT((tlLevel=Assumptions!$A$18)*tlWeight*Timeline!J$20:J$378)</f>
        <v>57</v>
      </c>
      <c r="G59" s="75" cm="1">
        <f t="array" ref="G59">SUMPRODUCT((tlLevel=Assumptions!$A$18)*tlWeight*Timeline!K$20:K$378)</f>
        <v>65</v>
      </c>
      <c r="H59" s="75" cm="1">
        <f t="array" ref="H59">SUMPRODUCT((tlLevel=Assumptions!$A$18)*tlWeight*Timeline!L$20:L$378)</f>
        <v>48</v>
      </c>
      <c r="I59" s="75" cm="1">
        <f t="array" ref="I59">SUMPRODUCT((tlLevel=Assumptions!$A$18)*tlWeight*Timeline!M$20:M$378)</f>
        <v>44</v>
      </c>
      <c r="J59" s="75" cm="1">
        <f t="array" ref="J59">SUMPRODUCT((tlLevel=Assumptions!$A$18)*tlWeight*Timeline!N$20:N$378)</f>
        <v>48</v>
      </c>
      <c r="K59" s="75" cm="1">
        <f t="array" ref="K59">SUMPRODUCT((tlLevel=Assumptions!$A$18)*tlWeight*Timeline!O$20:O$378)</f>
        <v>48</v>
      </c>
      <c r="L59" s="75" cm="1">
        <f t="array" ref="L59">SUMPRODUCT((tlLevel=Assumptions!$A$18)*tlWeight*Timeline!P$20:P$378)</f>
        <v>48</v>
      </c>
      <c r="M59" s="75" cm="1">
        <f t="array" ref="M59">SUMPRODUCT((tlLevel=Assumptions!$A$18)*tlWeight*Timeline!Q$20:Q$378)</f>
        <v>36</v>
      </c>
      <c r="N59" s="75" cm="1">
        <f t="array" ref="N59">SUMPRODUCT((tlLevel=Assumptions!$A$18)*tlWeight*Timeline!R$20:R$378)</f>
        <v>36</v>
      </c>
      <c r="O59" s="75" cm="1">
        <f t="array" ref="O59">SUMPRODUCT((tlLevel=Assumptions!$A$18)*tlWeight*Timeline!S$20:S$378)</f>
        <v>16</v>
      </c>
      <c r="P59" s="75" cm="1">
        <f t="array" ref="P59">SUMPRODUCT((tlLevel=Assumptions!$A$18)*tlWeight*Timeline!T$20:T$378)</f>
        <v>16</v>
      </c>
      <c r="Q59" s="75" cm="1">
        <f t="array" ref="Q59">SUMPRODUCT((tlLevel=Assumptions!$A$18)*tlWeight*Timeline!U$20:U$378)</f>
        <v>16</v>
      </c>
      <c r="R59" s="75" cm="1">
        <f t="array" ref="R59">SUMPRODUCT((tlLevel=Assumptions!$A$18)*tlWeight*Timeline!V$20:V$378)</f>
        <v>32</v>
      </c>
      <c r="S59" s="75" cm="1">
        <f t="array" ref="S59">SUMPRODUCT((tlLevel=Assumptions!$A$18)*tlWeight*Timeline!W$20:W$378)</f>
        <v>32</v>
      </c>
      <c r="T59" s="75" cm="1">
        <f t="array" ref="T59">SUMPRODUCT((tlLevel=Assumptions!$A$18)*tlWeight*Timeline!X$20:X$378)</f>
        <v>32</v>
      </c>
      <c r="U59" s="75" cm="1">
        <f t="array" ref="U59">SUMPRODUCT((tlLevel=Assumptions!$A$18)*tlWeight*Timeline!Y$20:Y$378)</f>
        <v>16</v>
      </c>
      <c r="V59" s="75" cm="1">
        <f t="array" ref="V59">SUMPRODUCT((tlLevel=Assumptions!$A$18)*tlWeight*Timeline!Z$20:Z$378)</f>
        <v>0</v>
      </c>
      <c r="W59" s="75" cm="1">
        <f t="array" ref="W59">SUMPRODUCT((tlLevel=Assumptions!$A$18)*tlWeight*Timeline!AA$20:AA$378)</f>
        <v>0</v>
      </c>
      <c r="X59" s="75" cm="1">
        <f t="array" ref="X59">SUMPRODUCT((tlLevel=Assumptions!$A$18)*tlWeight*Timeline!AB$20:AB$378)</f>
        <v>0</v>
      </c>
      <c r="Y59" s="75" cm="1">
        <f t="array" ref="Y59">SUMPRODUCT((tlLevel=Assumptions!$A$18)*tlWeight*Timeline!AC$20:AC$378)</f>
        <v>0</v>
      </c>
      <c r="Z59" s="75" cm="1">
        <f t="array" ref="Z59">SUMPRODUCT((tlLevel=Assumptions!$A$18)*tlWeight*Timeline!AD$20:AD$378)</f>
        <v>0</v>
      </c>
      <c r="AA59" s="75" cm="1">
        <f t="array" ref="AA59">SUMPRODUCT((tlLevel=Assumptions!$A$18)*tlWeight*Timeline!AE$20:AE$378)</f>
        <v>0</v>
      </c>
      <c r="AB59" s="75" cm="1">
        <f t="array" ref="AB59">SUMPRODUCT((tlLevel=Assumptions!$A$18)*tlWeight*Timeline!AF$20:AF$378)</f>
        <v>0</v>
      </c>
      <c r="AC59" s="75" cm="1">
        <f t="array" ref="AC59">SUMPRODUCT((tlLevel=Assumptions!$A$18)*tlWeight*Timeline!AG$20:AG$378)</f>
        <v>0</v>
      </c>
      <c r="AD59" s="75" cm="1">
        <f t="array" ref="AD59">SUMPRODUCT((tlLevel=Assumptions!$A$18)*tlWeight*Timeline!AH$20:AH$378)</f>
        <v>0</v>
      </c>
      <c r="AE59" s="75" cm="1">
        <f t="array" ref="AE59">SUMPRODUCT((tlLevel=Assumptions!$A$18)*tlWeight*Timeline!AI$20:AI$378)</f>
        <v>0</v>
      </c>
      <c r="AF59" s="75" cm="1">
        <f t="array" ref="AF59">SUMPRODUCT((tlLevel=Assumptions!$A$18)*tlWeight*Timeline!AJ$20:AJ$378)</f>
        <v>0</v>
      </c>
      <c r="AG59" s="75" cm="1">
        <f t="array" ref="AG59">SUMPRODUCT((tlLevel=Assumptions!$A$18)*tlWeight*Timeline!AK$20:AK$378)</f>
        <v>0</v>
      </c>
      <c r="AH59" s="75" cm="1">
        <f t="array" ref="AH59">SUMPRODUCT((tlLevel=Assumptions!$A$18)*tlWeight*Timeline!AL$20:AL$378)</f>
        <v>20</v>
      </c>
      <c r="AI59" s="75" cm="1">
        <f t="array" ref="AI59">SUMPRODUCT((tlLevel=Assumptions!$A$18)*tlWeight*Timeline!AM$20:AM$378)</f>
        <v>20</v>
      </c>
      <c r="AJ59" s="75" cm="1">
        <f t="array" ref="AJ59">SUMPRODUCT((tlLevel=Assumptions!$A$18)*tlWeight*Timeline!AN$20:AN$378)</f>
        <v>20</v>
      </c>
      <c r="AK59" s="75" cm="1">
        <f t="array" ref="AK59">SUMPRODUCT((tlLevel=Assumptions!$A$18)*tlWeight*Timeline!AO$20:AO$378)</f>
        <v>0</v>
      </c>
      <c r="AL59" s="75" cm="1">
        <f t="array" ref="AL59">SUMPRODUCT((tlLevel=Assumptions!$A$18)*tlWeight*Timeline!AP$20:AP$378)</f>
        <v>0</v>
      </c>
      <c r="AM59" s="75" cm="1">
        <f t="array" ref="AM59">SUMPRODUCT((tlLevel=Assumptions!$A$18)*tlWeight*Timeline!AQ$20:AQ$378)</f>
        <v>0</v>
      </c>
      <c r="AN59" s="75" cm="1">
        <f t="array" ref="AN59">SUMPRODUCT((tlLevel=Assumptions!$A$18)*tlWeight*Timeline!AR$20:AR$378)</f>
        <v>0</v>
      </c>
      <c r="AO59" s="75" cm="1">
        <f t="array" ref="AO59">SUMPRODUCT((tlLevel=Assumptions!$A$18)*tlWeight*Timeline!AS$20:AS$378)</f>
        <v>0</v>
      </c>
      <c r="AP59" s="75" cm="1">
        <f t="array" ref="AP59">SUMPRODUCT((tlLevel=Assumptions!$A$18)*tlWeight*Timeline!AT$20:AT$378)</f>
        <v>0</v>
      </c>
      <c r="AQ59" s="75" cm="1">
        <f t="array" ref="AQ59">SUMPRODUCT((tlLevel=Assumptions!$A$18)*tlWeight*Timeline!AU$20:AU$378)</f>
        <v>0</v>
      </c>
      <c r="AR59" s="75" cm="1">
        <f t="array" ref="AR59">SUMPRODUCT((tlLevel=Assumptions!$A$18)*tlWeight*Timeline!AV$20:AV$378)</f>
        <v>0</v>
      </c>
      <c r="AS59" s="75" cm="1">
        <f t="array" ref="AS59">SUMPRODUCT((tlLevel=Assumptions!$A$18)*tlWeight*Timeline!AW$20:AW$378)</f>
        <v>0</v>
      </c>
      <c r="AT59" s="75" cm="1">
        <f t="array" ref="AT59">SUMPRODUCT((tlLevel=Assumptions!$A$18)*tlWeight*Timeline!AX$20:AX$378)</f>
        <v>0</v>
      </c>
      <c r="AU59" s="75" cm="1">
        <f t="array" ref="AU59">SUMPRODUCT((tlLevel=Assumptions!$A$18)*tlWeight*Timeline!AY$20:AY$378)</f>
        <v>0</v>
      </c>
      <c r="AV59" s="75" cm="1">
        <f t="array" ref="AV59">SUMPRODUCT((tlLevel=Assumptions!$A$18)*tlWeight*Timeline!AZ$20:AZ$378)</f>
        <v>0</v>
      </c>
      <c r="AW59" s="75" cm="1">
        <f t="array" ref="AW59">SUMPRODUCT((tlLevel=Assumptions!$A$18)*tlWeight*Timeline!BA$20:BA$378)</f>
        <v>0</v>
      </c>
      <c r="AX59" s="75" cm="1">
        <f t="array" ref="AX59">SUMPRODUCT((tlLevel=Assumptions!$A$18)*tlWeight*Timeline!BB$20:BB$378)</f>
        <v>0</v>
      </c>
      <c r="AY59" s="75" cm="1">
        <f t="array" ref="AY59">SUMPRODUCT((tlLevel=Assumptions!$A$18)*tlWeight*Timeline!BC$20:BC$378)</f>
        <v>0</v>
      </c>
      <c r="AZ59" s="75" cm="1">
        <f t="array" ref="AZ59">SUMPRODUCT((tlLevel=Assumptions!$A$18)*tlWeight*Timeline!BD$20:BD$378)</f>
        <v>0</v>
      </c>
      <c r="BA59" s="75" cm="1">
        <f t="array" ref="BA59">SUMPRODUCT((tlLevel=Assumptions!$A$18)*tlWeight*Timeline!BE$20:BE$378)</f>
        <v>0</v>
      </c>
      <c r="BB59" s="75" cm="1">
        <f t="array" ref="BB59">SUMPRODUCT((tlLevel=Assumptions!$A$18)*tlWeight*Timeline!BF$20:BF$378)</f>
        <v>0</v>
      </c>
      <c r="BC59" s="75" cm="1">
        <f t="array" ref="BC59">SUMPRODUCT((tlLevel=Assumptions!$A$18)*tlWeight*Timeline!BG$20:BG$378)</f>
        <v>0</v>
      </c>
    </row>
    <row r="60" spans="1:55" hidden="1" outlineLevel="1" x14ac:dyDescent="0.25">
      <c r="A60" s="78" t="s">
        <v>27</v>
      </c>
      <c r="B60" s="74">
        <f t="shared" si="40"/>
        <v>15.192307692307692</v>
      </c>
      <c r="C60" s="74">
        <f t="shared" si="41"/>
        <v>60</v>
      </c>
      <c r="D60" s="75" cm="1">
        <f t="array" ref="D60">SUMPRODUCT((tlLevel=Assumptions!$A$19)*tlWeight*Timeline!H$20:H$378)</f>
        <v>38</v>
      </c>
      <c r="E60" s="75" cm="1">
        <f t="array" ref="E60">SUMPRODUCT((tlLevel=Assumptions!$A$19)*tlWeight*Timeline!I$20:I$378)</f>
        <v>38</v>
      </c>
      <c r="F60" s="75" cm="1">
        <f t="array" ref="F60">SUMPRODUCT((tlLevel=Assumptions!$A$19)*tlWeight*Timeline!J$20:J$378)</f>
        <v>46</v>
      </c>
      <c r="G60" s="75" cm="1">
        <f t="array" ref="G60">SUMPRODUCT((tlLevel=Assumptions!$A$19)*tlWeight*Timeline!K$20:K$378)</f>
        <v>46</v>
      </c>
      <c r="H60" s="75" cm="1">
        <f t="array" ref="H60">SUMPRODUCT((tlLevel=Assumptions!$A$19)*tlWeight*Timeline!L$20:L$378)</f>
        <v>38</v>
      </c>
      <c r="I60" s="75" cm="1">
        <f t="array" ref="I60">SUMPRODUCT((tlLevel=Assumptions!$A$19)*tlWeight*Timeline!M$20:M$378)</f>
        <v>38</v>
      </c>
      <c r="J60" s="75" cm="1">
        <f t="array" ref="J60">SUMPRODUCT((tlLevel=Assumptions!$A$19)*tlWeight*Timeline!N$20:N$378)</f>
        <v>38</v>
      </c>
      <c r="K60" s="75" cm="1">
        <f t="array" ref="K60">SUMPRODUCT((tlLevel=Assumptions!$A$19)*tlWeight*Timeline!O$20:O$378)</f>
        <v>56</v>
      </c>
      <c r="L60" s="75" cm="1">
        <f t="array" ref="L60">SUMPRODUCT((tlLevel=Assumptions!$A$19)*tlWeight*Timeline!P$20:P$378)</f>
        <v>56</v>
      </c>
      <c r="M60" s="75" cm="1">
        <f t="array" ref="M60">SUMPRODUCT((tlLevel=Assumptions!$A$19)*tlWeight*Timeline!Q$20:Q$378)</f>
        <v>40</v>
      </c>
      <c r="N60" s="75" cm="1">
        <f t="array" ref="N60">SUMPRODUCT((tlLevel=Assumptions!$A$19)*tlWeight*Timeline!R$20:R$378)</f>
        <v>40</v>
      </c>
      <c r="O60" s="75" cm="1">
        <f t="array" ref="O60">SUMPRODUCT((tlLevel=Assumptions!$A$19)*tlWeight*Timeline!S$20:S$378)</f>
        <v>44</v>
      </c>
      <c r="P60" s="75" cm="1">
        <f t="array" ref="P60">SUMPRODUCT((tlLevel=Assumptions!$A$19)*tlWeight*Timeline!T$20:T$378)</f>
        <v>40</v>
      </c>
      <c r="Q60" s="75" cm="1">
        <f t="array" ref="Q60">SUMPRODUCT((tlLevel=Assumptions!$A$19)*tlWeight*Timeline!U$20:U$378)</f>
        <v>40</v>
      </c>
      <c r="R60" s="75" cm="1">
        <f t="array" ref="R60">SUMPRODUCT((tlLevel=Assumptions!$A$19)*tlWeight*Timeline!V$20:V$378)</f>
        <v>48</v>
      </c>
      <c r="S60" s="75" cm="1">
        <f t="array" ref="S60">SUMPRODUCT((tlLevel=Assumptions!$A$19)*tlWeight*Timeline!W$20:W$378)</f>
        <v>60</v>
      </c>
      <c r="T60" s="75" cm="1">
        <f t="array" ref="T60">SUMPRODUCT((tlLevel=Assumptions!$A$19)*tlWeight*Timeline!X$20:X$378)</f>
        <v>60</v>
      </c>
      <c r="U60" s="75" cm="1">
        <f t="array" ref="U60">SUMPRODUCT((tlLevel=Assumptions!$A$19)*tlWeight*Timeline!Y$20:Y$378)</f>
        <v>20</v>
      </c>
      <c r="V60" s="75" cm="1">
        <f t="array" ref="V60">SUMPRODUCT((tlLevel=Assumptions!$A$19)*tlWeight*Timeline!Z$20:Z$378)</f>
        <v>0</v>
      </c>
      <c r="W60" s="75" cm="1">
        <f t="array" ref="W60">SUMPRODUCT((tlLevel=Assumptions!$A$19)*tlWeight*Timeline!AA$20:AA$378)</f>
        <v>0</v>
      </c>
      <c r="X60" s="75" cm="1">
        <f t="array" ref="X60">SUMPRODUCT((tlLevel=Assumptions!$A$19)*tlWeight*Timeline!AB$20:AB$378)</f>
        <v>0</v>
      </c>
      <c r="Y60" s="75" cm="1">
        <f t="array" ref="Y60">SUMPRODUCT((tlLevel=Assumptions!$A$19)*tlWeight*Timeline!AC$20:AC$378)</f>
        <v>0</v>
      </c>
      <c r="Z60" s="75" cm="1">
        <f t="array" ref="Z60">SUMPRODUCT((tlLevel=Assumptions!$A$19)*tlWeight*Timeline!AD$20:AD$378)</f>
        <v>0</v>
      </c>
      <c r="AA60" s="75" cm="1">
        <f t="array" ref="AA60">SUMPRODUCT((tlLevel=Assumptions!$A$19)*tlWeight*Timeline!AE$20:AE$378)</f>
        <v>0</v>
      </c>
      <c r="AB60" s="75" cm="1">
        <f t="array" ref="AB60">SUMPRODUCT((tlLevel=Assumptions!$A$19)*tlWeight*Timeline!AF$20:AF$378)</f>
        <v>0</v>
      </c>
      <c r="AC60" s="75" cm="1">
        <f t="array" ref="AC60">SUMPRODUCT((tlLevel=Assumptions!$A$19)*tlWeight*Timeline!AG$20:AG$378)</f>
        <v>0</v>
      </c>
      <c r="AD60" s="75" cm="1">
        <f t="array" ref="AD60">SUMPRODUCT((tlLevel=Assumptions!$A$19)*tlWeight*Timeline!AH$20:AH$378)</f>
        <v>0</v>
      </c>
      <c r="AE60" s="75" cm="1">
        <f t="array" ref="AE60">SUMPRODUCT((tlLevel=Assumptions!$A$19)*tlWeight*Timeline!AI$20:AI$378)</f>
        <v>0</v>
      </c>
      <c r="AF60" s="75" cm="1">
        <f t="array" ref="AF60">SUMPRODUCT((tlLevel=Assumptions!$A$19)*tlWeight*Timeline!AJ$20:AJ$378)</f>
        <v>0</v>
      </c>
      <c r="AG60" s="75" cm="1">
        <f t="array" ref="AG60">SUMPRODUCT((tlLevel=Assumptions!$A$19)*tlWeight*Timeline!AK$20:AK$378)</f>
        <v>0</v>
      </c>
      <c r="AH60" s="75" cm="1">
        <f t="array" ref="AH60">SUMPRODUCT((tlLevel=Assumptions!$A$19)*tlWeight*Timeline!AL$20:AL$378)</f>
        <v>4</v>
      </c>
      <c r="AI60" s="75" cm="1">
        <f t="array" ref="AI60">SUMPRODUCT((tlLevel=Assumptions!$A$19)*tlWeight*Timeline!AM$20:AM$378)</f>
        <v>0</v>
      </c>
      <c r="AJ60" s="75" cm="1">
        <f t="array" ref="AJ60">SUMPRODUCT((tlLevel=Assumptions!$A$19)*tlWeight*Timeline!AN$20:AN$378)</f>
        <v>0</v>
      </c>
      <c r="AK60" s="75" cm="1">
        <f t="array" ref="AK60">SUMPRODUCT((tlLevel=Assumptions!$A$19)*tlWeight*Timeline!AO$20:AO$378)</f>
        <v>0</v>
      </c>
      <c r="AL60" s="75" cm="1">
        <f t="array" ref="AL60">SUMPRODUCT((tlLevel=Assumptions!$A$19)*tlWeight*Timeline!AP$20:AP$378)</f>
        <v>0</v>
      </c>
      <c r="AM60" s="75" cm="1">
        <f t="array" ref="AM60">SUMPRODUCT((tlLevel=Assumptions!$A$19)*tlWeight*Timeline!AQ$20:AQ$378)</f>
        <v>0</v>
      </c>
      <c r="AN60" s="75" cm="1">
        <f t="array" ref="AN60">SUMPRODUCT((tlLevel=Assumptions!$A$19)*tlWeight*Timeline!AR$20:AR$378)</f>
        <v>0</v>
      </c>
      <c r="AO60" s="75" cm="1">
        <f t="array" ref="AO60">SUMPRODUCT((tlLevel=Assumptions!$A$19)*tlWeight*Timeline!AS$20:AS$378)</f>
        <v>0</v>
      </c>
      <c r="AP60" s="75" cm="1">
        <f t="array" ref="AP60">SUMPRODUCT((tlLevel=Assumptions!$A$19)*tlWeight*Timeline!AT$20:AT$378)</f>
        <v>0</v>
      </c>
      <c r="AQ60" s="75" cm="1">
        <f t="array" ref="AQ60">SUMPRODUCT((tlLevel=Assumptions!$A$19)*tlWeight*Timeline!AU$20:AU$378)</f>
        <v>0</v>
      </c>
      <c r="AR60" s="75" cm="1">
        <f t="array" ref="AR60">SUMPRODUCT((tlLevel=Assumptions!$A$19)*tlWeight*Timeline!AV$20:AV$378)</f>
        <v>0</v>
      </c>
      <c r="AS60" s="75" cm="1">
        <f t="array" ref="AS60">SUMPRODUCT((tlLevel=Assumptions!$A$19)*tlWeight*Timeline!AW$20:AW$378)</f>
        <v>0</v>
      </c>
      <c r="AT60" s="75" cm="1">
        <f t="array" ref="AT60">SUMPRODUCT((tlLevel=Assumptions!$A$19)*tlWeight*Timeline!AX$20:AX$378)</f>
        <v>0</v>
      </c>
      <c r="AU60" s="75" cm="1">
        <f t="array" ref="AU60">SUMPRODUCT((tlLevel=Assumptions!$A$19)*tlWeight*Timeline!AY$20:AY$378)</f>
        <v>0</v>
      </c>
      <c r="AV60" s="75" cm="1">
        <f t="array" ref="AV60">SUMPRODUCT((tlLevel=Assumptions!$A$19)*tlWeight*Timeline!AZ$20:AZ$378)</f>
        <v>0</v>
      </c>
      <c r="AW60" s="75" cm="1">
        <f t="array" ref="AW60">SUMPRODUCT((tlLevel=Assumptions!$A$19)*tlWeight*Timeline!BA$20:BA$378)</f>
        <v>0</v>
      </c>
      <c r="AX60" s="75" cm="1">
        <f t="array" ref="AX60">SUMPRODUCT((tlLevel=Assumptions!$A$19)*tlWeight*Timeline!BB$20:BB$378)</f>
        <v>0</v>
      </c>
      <c r="AY60" s="75" cm="1">
        <f t="array" ref="AY60">SUMPRODUCT((tlLevel=Assumptions!$A$19)*tlWeight*Timeline!BC$20:BC$378)</f>
        <v>0</v>
      </c>
      <c r="AZ60" s="75" cm="1">
        <f t="array" ref="AZ60">SUMPRODUCT((tlLevel=Assumptions!$A$19)*tlWeight*Timeline!BD$20:BD$378)</f>
        <v>0</v>
      </c>
      <c r="BA60" s="75" cm="1">
        <f t="array" ref="BA60">SUMPRODUCT((tlLevel=Assumptions!$A$19)*tlWeight*Timeline!BE$20:BE$378)</f>
        <v>0</v>
      </c>
      <c r="BB60" s="75" cm="1">
        <f t="array" ref="BB60">SUMPRODUCT((tlLevel=Assumptions!$A$19)*tlWeight*Timeline!BF$20:BF$378)</f>
        <v>0</v>
      </c>
      <c r="BC60" s="75" cm="1">
        <f t="array" ref="BC60">SUMPRODUCT((tlLevel=Assumptions!$A$19)*tlWeight*Timeline!BG$20:BG$378)</f>
        <v>0</v>
      </c>
    </row>
    <row r="61" spans="1:55" hidden="1" outlineLevel="1" x14ac:dyDescent="0.25">
      <c r="A61" s="79" t="s">
        <v>56</v>
      </c>
      <c r="B61" s="76">
        <f t="shared" si="40"/>
        <v>71.634615384615387</v>
      </c>
      <c r="C61" s="76">
        <f t="shared" si="41"/>
        <v>284</v>
      </c>
      <c r="D61" s="77">
        <f t="shared" ref="D61:AI61" si="42">SUM(D56:D60)</f>
        <v>231</v>
      </c>
      <c r="E61" s="77">
        <f t="shared" si="42"/>
        <v>259</v>
      </c>
      <c r="F61" s="77">
        <f t="shared" si="42"/>
        <v>260</v>
      </c>
      <c r="G61" s="77">
        <f t="shared" si="42"/>
        <v>284</v>
      </c>
      <c r="H61" s="77">
        <f t="shared" si="42"/>
        <v>231</v>
      </c>
      <c r="I61" s="77">
        <f t="shared" si="42"/>
        <v>211</v>
      </c>
      <c r="J61" s="77">
        <f t="shared" si="42"/>
        <v>191</v>
      </c>
      <c r="K61" s="77">
        <f t="shared" si="42"/>
        <v>213</v>
      </c>
      <c r="L61" s="77">
        <f t="shared" si="42"/>
        <v>212</v>
      </c>
      <c r="M61" s="77">
        <f t="shared" si="42"/>
        <v>153</v>
      </c>
      <c r="N61" s="77">
        <f t="shared" si="42"/>
        <v>153</v>
      </c>
      <c r="O61" s="77">
        <f t="shared" si="42"/>
        <v>125</v>
      </c>
      <c r="P61" s="77">
        <f t="shared" si="42"/>
        <v>121</v>
      </c>
      <c r="Q61" s="77">
        <f t="shared" si="42"/>
        <v>121</v>
      </c>
      <c r="R61" s="77">
        <f t="shared" si="42"/>
        <v>160</v>
      </c>
      <c r="S61" s="77">
        <f t="shared" si="42"/>
        <v>160</v>
      </c>
      <c r="T61" s="77">
        <f t="shared" si="42"/>
        <v>172</v>
      </c>
      <c r="U61" s="77">
        <f t="shared" si="42"/>
        <v>76</v>
      </c>
      <c r="V61" s="77">
        <f t="shared" si="42"/>
        <v>33</v>
      </c>
      <c r="W61" s="77">
        <f t="shared" si="42"/>
        <v>37</v>
      </c>
      <c r="X61" s="77">
        <f t="shared" si="42"/>
        <v>41</v>
      </c>
      <c r="Y61" s="77">
        <f t="shared" si="42"/>
        <v>41</v>
      </c>
      <c r="Z61" s="77">
        <f t="shared" si="42"/>
        <v>37</v>
      </c>
      <c r="AA61" s="77">
        <f t="shared" si="42"/>
        <v>5</v>
      </c>
      <c r="AB61" s="77">
        <f t="shared" si="42"/>
        <v>1</v>
      </c>
      <c r="AC61" s="77">
        <f t="shared" si="42"/>
        <v>1</v>
      </c>
      <c r="AD61" s="77">
        <f t="shared" si="42"/>
        <v>7</v>
      </c>
      <c r="AE61" s="77">
        <f t="shared" si="42"/>
        <v>7</v>
      </c>
      <c r="AF61" s="77">
        <f t="shared" si="42"/>
        <v>7</v>
      </c>
      <c r="AG61" s="77">
        <f t="shared" si="42"/>
        <v>7</v>
      </c>
      <c r="AH61" s="77">
        <f t="shared" si="42"/>
        <v>46</v>
      </c>
      <c r="AI61" s="77">
        <f t="shared" si="42"/>
        <v>42</v>
      </c>
      <c r="AJ61" s="77">
        <f t="shared" ref="AJ61:BC61" si="43">SUM(AJ56:AJ60)</f>
        <v>42</v>
      </c>
      <c r="AK61" s="77">
        <f t="shared" si="43"/>
        <v>6</v>
      </c>
      <c r="AL61" s="77">
        <f t="shared" si="43"/>
        <v>6</v>
      </c>
      <c r="AM61" s="77">
        <f t="shared" si="43"/>
        <v>6</v>
      </c>
      <c r="AN61" s="77">
        <f t="shared" si="43"/>
        <v>6</v>
      </c>
      <c r="AO61" s="77">
        <f t="shared" si="43"/>
        <v>6</v>
      </c>
      <c r="AP61" s="77">
        <f t="shared" si="43"/>
        <v>6</v>
      </c>
      <c r="AQ61" s="77">
        <f t="shared" si="43"/>
        <v>2</v>
      </c>
      <c r="AR61" s="77">
        <f t="shared" si="43"/>
        <v>0</v>
      </c>
      <c r="AS61" s="77">
        <f t="shared" si="43"/>
        <v>0</v>
      </c>
      <c r="AT61" s="77">
        <f t="shared" si="43"/>
        <v>0</v>
      </c>
      <c r="AU61" s="77">
        <f t="shared" si="43"/>
        <v>0</v>
      </c>
      <c r="AV61" s="77">
        <f t="shared" si="43"/>
        <v>0</v>
      </c>
      <c r="AW61" s="77">
        <f t="shared" si="43"/>
        <v>0</v>
      </c>
      <c r="AX61" s="77">
        <f t="shared" si="43"/>
        <v>0</v>
      </c>
      <c r="AY61" s="77">
        <f t="shared" si="43"/>
        <v>0</v>
      </c>
      <c r="AZ61" s="77">
        <f t="shared" si="43"/>
        <v>0</v>
      </c>
      <c r="BA61" s="77">
        <f t="shared" si="43"/>
        <v>0</v>
      </c>
      <c r="BB61" s="77">
        <f t="shared" si="43"/>
        <v>0</v>
      </c>
      <c r="BC61" s="77">
        <f t="shared" si="43"/>
        <v>0</v>
      </c>
    </row>
    <row r="62" spans="1:55" hidden="1" outlineLevel="1" x14ac:dyDescent="0.25">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row>
    <row r="63" spans="1:55" hidden="1" outlineLevel="1" x14ac:dyDescent="0.25">
      <c r="A63" s="24" t="s">
        <v>52</v>
      </c>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row>
    <row r="64" spans="1:55" hidden="1" outlineLevel="1" x14ac:dyDescent="0.25">
      <c r="A64" s="78" t="s">
        <v>24</v>
      </c>
      <c r="B64" s="74">
        <f t="shared" ref="B64:B69" si="44">AVERAGE(D64:BC64)</f>
        <v>60</v>
      </c>
      <c r="C64" s="74">
        <f t="shared" ref="C64:C69" si="45">MAX(D64:BC64)</f>
        <v>60</v>
      </c>
      <c r="D64" s="80">
        <f>Assumptions!$F$15</f>
        <v>60</v>
      </c>
      <c r="E64" s="80">
        <f>Assumptions!$F$15</f>
        <v>60</v>
      </c>
      <c r="F64" s="80">
        <f>Assumptions!$F$15</f>
        <v>60</v>
      </c>
      <c r="G64" s="80">
        <f>Assumptions!$F$15</f>
        <v>60</v>
      </c>
      <c r="H64" s="80">
        <f>Assumptions!$F$15</f>
        <v>60</v>
      </c>
      <c r="I64" s="80">
        <f>Assumptions!$F$15</f>
        <v>60</v>
      </c>
      <c r="J64" s="80">
        <f>Assumptions!$F$15</f>
        <v>60</v>
      </c>
      <c r="K64" s="80">
        <f>Assumptions!$F$15</f>
        <v>60</v>
      </c>
      <c r="L64" s="80">
        <f>Assumptions!$F$15</f>
        <v>60</v>
      </c>
      <c r="M64" s="80">
        <f>Assumptions!$F$15</f>
        <v>60</v>
      </c>
      <c r="N64" s="80">
        <f>Assumptions!$F$15</f>
        <v>60</v>
      </c>
      <c r="O64" s="80">
        <f>Assumptions!$F$15</f>
        <v>60</v>
      </c>
      <c r="P64" s="80">
        <f>Assumptions!$F$15</f>
        <v>60</v>
      </c>
      <c r="Q64" s="80">
        <f>Assumptions!$F$15</f>
        <v>60</v>
      </c>
      <c r="R64" s="80">
        <f>Assumptions!$F$15</f>
        <v>60</v>
      </c>
      <c r="S64" s="80">
        <f>Assumptions!$F$15</f>
        <v>60</v>
      </c>
      <c r="T64" s="80">
        <f>Assumptions!$F$15</f>
        <v>60</v>
      </c>
      <c r="U64" s="80">
        <f>Assumptions!$F$15</f>
        <v>60</v>
      </c>
      <c r="V64" s="80">
        <f>Assumptions!$F$15</f>
        <v>60</v>
      </c>
      <c r="W64" s="80">
        <f>Assumptions!$F$15</f>
        <v>60</v>
      </c>
      <c r="X64" s="80">
        <f>Assumptions!$F$15</f>
        <v>60</v>
      </c>
      <c r="Y64" s="80">
        <f>Assumptions!$F$15</f>
        <v>60</v>
      </c>
      <c r="Z64" s="80">
        <f>Assumptions!$F$15</f>
        <v>60</v>
      </c>
      <c r="AA64" s="80">
        <f>Assumptions!$F$15</f>
        <v>60</v>
      </c>
      <c r="AB64" s="80">
        <f>Assumptions!$F$15</f>
        <v>60</v>
      </c>
      <c r="AC64" s="80">
        <f>Assumptions!$F$15</f>
        <v>60</v>
      </c>
      <c r="AD64" s="80">
        <f>Assumptions!$F$15</f>
        <v>60</v>
      </c>
      <c r="AE64" s="80">
        <f>Assumptions!$F$15</f>
        <v>60</v>
      </c>
      <c r="AF64" s="80">
        <f>Assumptions!$F$15</f>
        <v>60</v>
      </c>
      <c r="AG64" s="80">
        <f>Assumptions!$F$15</f>
        <v>60</v>
      </c>
      <c r="AH64" s="80">
        <f>Assumptions!$F$15</f>
        <v>60</v>
      </c>
      <c r="AI64" s="80">
        <f>Assumptions!$F$15</f>
        <v>60</v>
      </c>
      <c r="AJ64" s="80">
        <f>Assumptions!$F$15</f>
        <v>60</v>
      </c>
      <c r="AK64" s="80">
        <f>Assumptions!$F$15</f>
        <v>60</v>
      </c>
      <c r="AL64" s="80">
        <f>Assumptions!$F$15</f>
        <v>60</v>
      </c>
      <c r="AM64" s="80">
        <f>Assumptions!$F$15</f>
        <v>60</v>
      </c>
      <c r="AN64" s="80">
        <f>Assumptions!$F$15</f>
        <v>60</v>
      </c>
      <c r="AO64" s="80">
        <f>Assumptions!$F$15</f>
        <v>60</v>
      </c>
      <c r="AP64" s="80">
        <f>Assumptions!$F$15</f>
        <v>60</v>
      </c>
      <c r="AQ64" s="80">
        <f>Assumptions!$F$15</f>
        <v>60</v>
      </c>
      <c r="AR64" s="80">
        <f>Assumptions!$F$15</f>
        <v>60</v>
      </c>
      <c r="AS64" s="80">
        <f>Assumptions!$F$15</f>
        <v>60</v>
      </c>
      <c r="AT64" s="80">
        <f>Assumptions!$F$15</f>
        <v>60</v>
      </c>
      <c r="AU64" s="80">
        <f>Assumptions!$F$15</f>
        <v>60</v>
      </c>
      <c r="AV64" s="80">
        <f>Assumptions!$F$15</f>
        <v>60</v>
      </c>
      <c r="AW64" s="80">
        <f>Assumptions!$F$15</f>
        <v>60</v>
      </c>
      <c r="AX64" s="80">
        <f>Assumptions!$F$15</f>
        <v>60</v>
      </c>
      <c r="AY64" s="80">
        <f>Assumptions!$F$15</f>
        <v>60</v>
      </c>
      <c r="AZ64" s="80">
        <f>Assumptions!$F$15</f>
        <v>60</v>
      </c>
      <c r="BA64" s="80">
        <f>Assumptions!$F$15</f>
        <v>60</v>
      </c>
      <c r="BB64" s="80">
        <f>Assumptions!$F$15</f>
        <v>60</v>
      </c>
      <c r="BC64" s="80">
        <f>Assumptions!$F$15</f>
        <v>60</v>
      </c>
    </row>
    <row r="65" spans="1:55" hidden="1" outlineLevel="1" x14ac:dyDescent="0.25">
      <c r="A65" s="78" t="s">
        <v>25</v>
      </c>
      <c r="B65" s="74">
        <f t="shared" si="44"/>
        <v>32</v>
      </c>
      <c r="C65" s="74">
        <f t="shared" si="45"/>
        <v>32</v>
      </c>
      <c r="D65" s="80">
        <f>Assumptions!$F$16</f>
        <v>32</v>
      </c>
      <c r="E65" s="80">
        <f>Assumptions!$F$16</f>
        <v>32</v>
      </c>
      <c r="F65" s="80">
        <f>Assumptions!$F$16</f>
        <v>32</v>
      </c>
      <c r="G65" s="80">
        <f>Assumptions!$F$16</f>
        <v>32</v>
      </c>
      <c r="H65" s="80">
        <f>Assumptions!$F$16</f>
        <v>32</v>
      </c>
      <c r="I65" s="80">
        <f>Assumptions!$F$16</f>
        <v>32</v>
      </c>
      <c r="J65" s="80">
        <f>Assumptions!$F$16</f>
        <v>32</v>
      </c>
      <c r="K65" s="80">
        <f>Assumptions!$F$16</f>
        <v>32</v>
      </c>
      <c r="L65" s="80">
        <f>Assumptions!$F$16</f>
        <v>32</v>
      </c>
      <c r="M65" s="80">
        <f>Assumptions!$F$16</f>
        <v>32</v>
      </c>
      <c r="N65" s="80">
        <f>Assumptions!$F$16</f>
        <v>32</v>
      </c>
      <c r="O65" s="80">
        <f>Assumptions!$F$16</f>
        <v>32</v>
      </c>
      <c r="P65" s="80">
        <f>Assumptions!$F$16</f>
        <v>32</v>
      </c>
      <c r="Q65" s="80">
        <f>Assumptions!$F$16</f>
        <v>32</v>
      </c>
      <c r="R65" s="80">
        <f>Assumptions!$F$16</f>
        <v>32</v>
      </c>
      <c r="S65" s="80">
        <f>Assumptions!$F$16</f>
        <v>32</v>
      </c>
      <c r="T65" s="80">
        <f>Assumptions!$F$16</f>
        <v>32</v>
      </c>
      <c r="U65" s="80">
        <f>Assumptions!$F$16</f>
        <v>32</v>
      </c>
      <c r="V65" s="80">
        <f>Assumptions!$F$16</f>
        <v>32</v>
      </c>
      <c r="W65" s="80">
        <f>Assumptions!$F$16</f>
        <v>32</v>
      </c>
      <c r="X65" s="80">
        <f>Assumptions!$F$16</f>
        <v>32</v>
      </c>
      <c r="Y65" s="80">
        <f>Assumptions!$F$16</f>
        <v>32</v>
      </c>
      <c r="Z65" s="80">
        <f>Assumptions!$F$16</f>
        <v>32</v>
      </c>
      <c r="AA65" s="80">
        <f>Assumptions!$F$16</f>
        <v>32</v>
      </c>
      <c r="AB65" s="80">
        <f>Assumptions!$F$16</f>
        <v>32</v>
      </c>
      <c r="AC65" s="80">
        <f>Assumptions!$F$16</f>
        <v>32</v>
      </c>
      <c r="AD65" s="80">
        <f>Assumptions!$F$16</f>
        <v>32</v>
      </c>
      <c r="AE65" s="80">
        <f>Assumptions!$F$16</f>
        <v>32</v>
      </c>
      <c r="AF65" s="80">
        <f>Assumptions!$F$16</f>
        <v>32</v>
      </c>
      <c r="AG65" s="80">
        <f>Assumptions!$F$16</f>
        <v>32</v>
      </c>
      <c r="AH65" s="80">
        <f>Assumptions!$F$16</f>
        <v>32</v>
      </c>
      <c r="AI65" s="80">
        <f>Assumptions!$F$16</f>
        <v>32</v>
      </c>
      <c r="AJ65" s="80">
        <f>Assumptions!$F$16</f>
        <v>32</v>
      </c>
      <c r="AK65" s="80">
        <f>Assumptions!$F$16</f>
        <v>32</v>
      </c>
      <c r="AL65" s="80">
        <f>Assumptions!$F$16</f>
        <v>32</v>
      </c>
      <c r="AM65" s="80">
        <f>Assumptions!$F$16</f>
        <v>32</v>
      </c>
      <c r="AN65" s="80">
        <f>Assumptions!$F$16</f>
        <v>32</v>
      </c>
      <c r="AO65" s="80">
        <f>Assumptions!$F$16</f>
        <v>32</v>
      </c>
      <c r="AP65" s="80">
        <f>Assumptions!$F$16</f>
        <v>32</v>
      </c>
      <c r="AQ65" s="80">
        <f>Assumptions!$F$16</f>
        <v>32</v>
      </c>
      <c r="AR65" s="80">
        <f>Assumptions!$F$16</f>
        <v>32</v>
      </c>
      <c r="AS65" s="80">
        <f>Assumptions!$F$16</f>
        <v>32</v>
      </c>
      <c r="AT65" s="80">
        <f>Assumptions!$F$16</f>
        <v>32</v>
      </c>
      <c r="AU65" s="80">
        <f>Assumptions!$F$16</f>
        <v>32</v>
      </c>
      <c r="AV65" s="80">
        <f>Assumptions!$F$16</f>
        <v>32</v>
      </c>
      <c r="AW65" s="80">
        <f>Assumptions!$F$16</f>
        <v>32</v>
      </c>
      <c r="AX65" s="80">
        <f>Assumptions!$F$16</f>
        <v>32</v>
      </c>
      <c r="AY65" s="80">
        <f>Assumptions!$F$16</f>
        <v>32</v>
      </c>
      <c r="AZ65" s="80">
        <f>Assumptions!$F$16</f>
        <v>32</v>
      </c>
      <c r="BA65" s="80">
        <f>Assumptions!$F$16</f>
        <v>32</v>
      </c>
      <c r="BB65" s="80">
        <f>Assumptions!$F$16</f>
        <v>32</v>
      </c>
      <c r="BC65" s="80">
        <f>Assumptions!$F$16</f>
        <v>32</v>
      </c>
    </row>
    <row r="66" spans="1:55" hidden="1" outlineLevel="1" x14ac:dyDescent="0.25">
      <c r="A66" s="78" t="s">
        <v>26</v>
      </c>
      <c r="B66" s="74">
        <f t="shared" si="44"/>
        <v>36</v>
      </c>
      <c r="C66" s="74">
        <f t="shared" si="45"/>
        <v>36</v>
      </c>
      <c r="D66" s="80">
        <f>Assumptions!$F$17</f>
        <v>36</v>
      </c>
      <c r="E66" s="80">
        <f>Assumptions!$F$17</f>
        <v>36</v>
      </c>
      <c r="F66" s="80">
        <f>Assumptions!$F$17</f>
        <v>36</v>
      </c>
      <c r="G66" s="80">
        <f>Assumptions!$F$17</f>
        <v>36</v>
      </c>
      <c r="H66" s="80">
        <f>Assumptions!$F$17</f>
        <v>36</v>
      </c>
      <c r="I66" s="80">
        <f>Assumptions!$F$17</f>
        <v>36</v>
      </c>
      <c r="J66" s="80">
        <f>Assumptions!$F$17</f>
        <v>36</v>
      </c>
      <c r="K66" s="80">
        <f>Assumptions!$F$17</f>
        <v>36</v>
      </c>
      <c r="L66" s="80">
        <f>Assumptions!$F$17</f>
        <v>36</v>
      </c>
      <c r="M66" s="80">
        <f>Assumptions!$F$17</f>
        <v>36</v>
      </c>
      <c r="N66" s="80">
        <f>Assumptions!$F$17</f>
        <v>36</v>
      </c>
      <c r="O66" s="80">
        <f>Assumptions!$F$17</f>
        <v>36</v>
      </c>
      <c r="P66" s="80">
        <f>Assumptions!$F$17</f>
        <v>36</v>
      </c>
      <c r="Q66" s="80">
        <f>Assumptions!$F$17</f>
        <v>36</v>
      </c>
      <c r="R66" s="80">
        <f>Assumptions!$F$17</f>
        <v>36</v>
      </c>
      <c r="S66" s="80">
        <f>Assumptions!$F$17</f>
        <v>36</v>
      </c>
      <c r="T66" s="80">
        <f>Assumptions!$F$17</f>
        <v>36</v>
      </c>
      <c r="U66" s="80">
        <f>Assumptions!$F$17</f>
        <v>36</v>
      </c>
      <c r="V66" s="80">
        <f>Assumptions!$F$17</f>
        <v>36</v>
      </c>
      <c r="W66" s="80">
        <f>Assumptions!$F$17</f>
        <v>36</v>
      </c>
      <c r="X66" s="80">
        <f>Assumptions!$F$17</f>
        <v>36</v>
      </c>
      <c r="Y66" s="80">
        <f>Assumptions!$F$17</f>
        <v>36</v>
      </c>
      <c r="Z66" s="80">
        <f>Assumptions!$F$17</f>
        <v>36</v>
      </c>
      <c r="AA66" s="80">
        <f>Assumptions!$F$17</f>
        <v>36</v>
      </c>
      <c r="AB66" s="80">
        <f>Assumptions!$F$17</f>
        <v>36</v>
      </c>
      <c r="AC66" s="80">
        <f>Assumptions!$F$17</f>
        <v>36</v>
      </c>
      <c r="AD66" s="80">
        <f>Assumptions!$F$17</f>
        <v>36</v>
      </c>
      <c r="AE66" s="80">
        <f>Assumptions!$F$17</f>
        <v>36</v>
      </c>
      <c r="AF66" s="80">
        <f>Assumptions!$F$17</f>
        <v>36</v>
      </c>
      <c r="AG66" s="80">
        <f>Assumptions!$F$17</f>
        <v>36</v>
      </c>
      <c r="AH66" s="80">
        <f>Assumptions!$F$17</f>
        <v>36</v>
      </c>
      <c r="AI66" s="80">
        <f>Assumptions!$F$17</f>
        <v>36</v>
      </c>
      <c r="AJ66" s="80">
        <f>Assumptions!$F$17</f>
        <v>36</v>
      </c>
      <c r="AK66" s="80">
        <f>Assumptions!$F$17</f>
        <v>36</v>
      </c>
      <c r="AL66" s="80">
        <f>Assumptions!$F$17</f>
        <v>36</v>
      </c>
      <c r="AM66" s="80">
        <f>Assumptions!$F$17</f>
        <v>36</v>
      </c>
      <c r="AN66" s="80">
        <f>Assumptions!$F$17</f>
        <v>36</v>
      </c>
      <c r="AO66" s="80">
        <f>Assumptions!$F$17</f>
        <v>36</v>
      </c>
      <c r="AP66" s="80">
        <f>Assumptions!$F$17</f>
        <v>36</v>
      </c>
      <c r="AQ66" s="80">
        <f>Assumptions!$F$17</f>
        <v>36</v>
      </c>
      <c r="AR66" s="80">
        <f>Assumptions!$F$17</f>
        <v>36</v>
      </c>
      <c r="AS66" s="80">
        <f>Assumptions!$F$17</f>
        <v>36</v>
      </c>
      <c r="AT66" s="80">
        <f>Assumptions!$F$17</f>
        <v>36</v>
      </c>
      <c r="AU66" s="80">
        <f>Assumptions!$F$17</f>
        <v>36</v>
      </c>
      <c r="AV66" s="80">
        <f>Assumptions!$F$17</f>
        <v>36</v>
      </c>
      <c r="AW66" s="80">
        <f>Assumptions!$F$17</f>
        <v>36</v>
      </c>
      <c r="AX66" s="80">
        <f>Assumptions!$F$17</f>
        <v>36</v>
      </c>
      <c r="AY66" s="80">
        <f>Assumptions!$F$17</f>
        <v>36</v>
      </c>
      <c r="AZ66" s="80">
        <f>Assumptions!$F$17</f>
        <v>36</v>
      </c>
      <c r="BA66" s="80">
        <f>Assumptions!$F$17</f>
        <v>36</v>
      </c>
      <c r="BB66" s="80">
        <f>Assumptions!$F$17</f>
        <v>36</v>
      </c>
      <c r="BC66" s="80">
        <f>Assumptions!$F$17</f>
        <v>36</v>
      </c>
    </row>
    <row r="67" spans="1:55" hidden="1" outlineLevel="1" x14ac:dyDescent="0.25">
      <c r="A67" s="78" t="s">
        <v>172</v>
      </c>
      <c r="B67" s="74">
        <f t="shared" si="44"/>
        <v>72</v>
      </c>
      <c r="C67" s="74">
        <f t="shared" si="45"/>
        <v>72</v>
      </c>
      <c r="D67" s="80">
        <f>Assumptions!$F$18</f>
        <v>72</v>
      </c>
      <c r="E67" s="80">
        <f>Assumptions!$F$18</f>
        <v>72</v>
      </c>
      <c r="F67" s="80">
        <f>Assumptions!$F$18</f>
        <v>72</v>
      </c>
      <c r="G67" s="80">
        <f>Assumptions!$F$18</f>
        <v>72</v>
      </c>
      <c r="H67" s="80">
        <f>Assumptions!$F$18</f>
        <v>72</v>
      </c>
      <c r="I67" s="80">
        <f>Assumptions!$F$18</f>
        <v>72</v>
      </c>
      <c r="J67" s="80">
        <f>Assumptions!$F$18</f>
        <v>72</v>
      </c>
      <c r="K67" s="80">
        <f>Assumptions!$F$18</f>
        <v>72</v>
      </c>
      <c r="L67" s="80">
        <f>Assumptions!$F$18</f>
        <v>72</v>
      </c>
      <c r="M67" s="80">
        <f>Assumptions!$F$18</f>
        <v>72</v>
      </c>
      <c r="N67" s="80">
        <f>Assumptions!$F$18</f>
        <v>72</v>
      </c>
      <c r="O67" s="80">
        <f>Assumptions!$F$18</f>
        <v>72</v>
      </c>
      <c r="P67" s="80">
        <f>Assumptions!$F$18</f>
        <v>72</v>
      </c>
      <c r="Q67" s="80">
        <f>Assumptions!$F$18</f>
        <v>72</v>
      </c>
      <c r="R67" s="80">
        <f>Assumptions!$F$18</f>
        <v>72</v>
      </c>
      <c r="S67" s="80">
        <f>Assumptions!$F$18</f>
        <v>72</v>
      </c>
      <c r="T67" s="80">
        <f>Assumptions!$F$18</f>
        <v>72</v>
      </c>
      <c r="U67" s="80">
        <f>Assumptions!$F$18</f>
        <v>72</v>
      </c>
      <c r="V67" s="80">
        <f>Assumptions!$F$18</f>
        <v>72</v>
      </c>
      <c r="W67" s="80">
        <f>Assumptions!$F$18</f>
        <v>72</v>
      </c>
      <c r="X67" s="80">
        <f>Assumptions!$F$18</f>
        <v>72</v>
      </c>
      <c r="Y67" s="80">
        <f>Assumptions!$F$18</f>
        <v>72</v>
      </c>
      <c r="Z67" s="80">
        <f>Assumptions!$F$18</f>
        <v>72</v>
      </c>
      <c r="AA67" s="80">
        <f>Assumptions!$F$18</f>
        <v>72</v>
      </c>
      <c r="AB67" s="80">
        <f>Assumptions!$F$18</f>
        <v>72</v>
      </c>
      <c r="AC67" s="80">
        <f>Assumptions!$F$18</f>
        <v>72</v>
      </c>
      <c r="AD67" s="80">
        <f>Assumptions!$F$18</f>
        <v>72</v>
      </c>
      <c r="AE67" s="80">
        <f>Assumptions!$F$18</f>
        <v>72</v>
      </c>
      <c r="AF67" s="80">
        <f>Assumptions!$F$18</f>
        <v>72</v>
      </c>
      <c r="AG67" s="80">
        <f>Assumptions!$F$18</f>
        <v>72</v>
      </c>
      <c r="AH67" s="80">
        <f>Assumptions!$F$18</f>
        <v>72</v>
      </c>
      <c r="AI67" s="80">
        <f>Assumptions!$F$18</f>
        <v>72</v>
      </c>
      <c r="AJ67" s="80">
        <f>Assumptions!$F$18</f>
        <v>72</v>
      </c>
      <c r="AK67" s="80">
        <f>Assumptions!$F$18</f>
        <v>72</v>
      </c>
      <c r="AL67" s="80">
        <f>Assumptions!$F$18</f>
        <v>72</v>
      </c>
      <c r="AM67" s="80">
        <f>Assumptions!$F$18</f>
        <v>72</v>
      </c>
      <c r="AN67" s="80">
        <f>Assumptions!$F$18</f>
        <v>72</v>
      </c>
      <c r="AO67" s="80">
        <f>Assumptions!$F$18</f>
        <v>72</v>
      </c>
      <c r="AP67" s="80">
        <f>Assumptions!$F$18</f>
        <v>72</v>
      </c>
      <c r="AQ67" s="80">
        <f>Assumptions!$F$18</f>
        <v>72</v>
      </c>
      <c r="AR67" s="80">
        <f>Assumptions!$F$18</f>
        <v>72</v>
      </c>
      <c r="AS67" s="80">
        <f>Assumptions!$F$18</f>
        <v>72</v>
      </c>
      <c r="AT67" s="80">
        <f>Assumptions!$F$18</f>
        <v>72</v>
      </c>
      <c r="AU67" s="80">
        <f>Assumptions!$F$18</f>
        <v>72</v>
      </c>
      <c r="AV67" s="80">
        <f>Assumptions!$F$18</f>
        <v>72</v>
      </c>
      <c r="AW67" s="80">
        <f>Assumptions!$F$18</f>
        <v>72</v>
      </c>
      <c r="AX67" s="80">
        <f>Assumptions!$F$18</f>
        <v>72</v>
      </c>
      <c r="AY67" s="80">
        <f>Assumptions!$F$18</f>
        <v>72</v>
      </c>
      <c r="AZ67" s="80">
        <f>Assumptions!$F$18</f>
        <v>72</v>
      </c>
      <c r="BA67" s="80">
        <f>Assumptions!$F$18</f>
        <v>72</v>
      </c>
      <c r="BB67" s="80">
        <f>Assumptions!$F$18</f>
        <v>72</v>
      </c>
      <c r="BC67" s="80">
        <f>Assumptions!$F$18</f>
        <v>72</v>
      </c>
    </row>
    <row r="68" spans="1:55" hidden="1" outlineLevel="1" x14ac:dyDescent="0.25">
      <c r="A68" s="78" t="s">
        <v>27</v>
      </c>
      <c r="B68" s="74">
        <f t="shared" si="44"/>
        <v>36</v>
      </c>
      <c r="C68" s="74">
        <f t="shared" si="45"/>
        <v>36</v>
      </c>
      <c r="D68" s="80">
        <f>Assumptions!$F$19</f>
        <v>36</v>
      </c>
      <c r="E68" s="80">
        <f>Assumptions!$F$19</f>
        <v>36</v>
      </c>
      <c r="F68" s="80">
        <f>Assumptions!$F$19</f>
        <v>36</v>
      </c>
      <c r="G68" s="80">
        <f>Assumptions!$F$19</f>
        <v>36</v>
      </c>
      <c r="H68" s="80">
        <f>Assumptions!$F$19</f>
        <v>36</v>
      </c>
      <c r="I68" s="80">
        <f>Assumptions!$F$19</f>
        <v>36</v>
      </c>
      <c r="J68" s="80">
        <f>Assumptions!$F$19</f>
        <v>36</v>
      </c>
      <c r="K68" s="80">
        <f>Assumptions!$F$19</f>
        <v>36</v>
      </c>
      <c r="L68" s="80">
        <f>Assumptions!$F$19</f>
        <v>36</v>
      </c>
      <c r="M68" s="80">
        <f>Assumptions!$F$19</f>
        <v>36</v>
      </c>
      <c r="N68" s="80">
        <f>Assumptions!$F$19</f>
        <v>36</v>
      </c>
      <c r="O68" s="80">
        <f>Assumptions!$F$19</f>
        <v>36</v>
      </c>
      <c r="P68" s="80">
        <f>Assumptions!$F$19</f>
        <v>36</v>
      </c>
      <c r="Q68" s="80">
        <f>Assumptions!$F$19</f>
        <v>36</v>
      </c>
      <c r="R68" s="80">
        <f>Assumptions!$F$19</f>
        <v>36</v>
      </c>
      <c r="S68" s="80">
        <f>Assumptions!$F$19</f>
        <v>36</v>
      </c>
      <c r="T68" s="80">
        <f>Assumptions!$F$19</f>
        <v>36</v>
      </c>
      <c r="U68" s="80">
        <f>Assumptions!$F$19</f>
        <v>36</v>
      </c>
      <c r="V68" s="80">
        <f>Assumptions!$F$19</f>
        <v>36</v>
      </c>
      <c r="W68" s="80">
        <f>Assumptions!$F$19</f>
        <v>36</v>
      </c>
      <c r="X68" s="80">
        <f>Assumptions!$F$19</f>
        <v>36</v>
      </c>
      <c r="Y68" s="80">
        <f>Assumptions!$F$19</f>
        <v>36</v>
      </c>
      <c r="Z68" s="80">
        <f>Assumptions!$F$19</f>
        <v>36</v>
      </c>
      <c r="AA68" s="80">
        <f>Assumptions!$F$19</f>
        <v>36</v>
      </c>
      <c r="AB68" s="80">
        <f>Assumptions!$F$19</f>
        <v>36</v>
      </c>
      <c r="AC68" s="80">
        <f>Assumptions!$F$19</f>
        <v>36</v>
      </c>
      <c r="AD68" s="80">
        <f>Assumptions!$F$19</f>
        <v>36</v>
      </c>
      <c r="AE68" s="80">
        <f>Assumptions!$F$19</f>
        <v>36</v>
      </c>
      <c r="AF68" s="80">
        <f>Assumptions!$F$19</f>
        <v>36</v>
      </c>
      <c r="AG68" s="80">
        <f>Assumptions!$F$19</f>
        <v>36</v>
      </c>
      <c r="AH68" s="80">
        <f>Assumptions!$F$19</f>
        <v>36</v>
      </c>
      <c r="AI68" s="80">
        <f>Assumptions!$F$19</f>
        <v>36</v>
      </c>
      <c r="AJ68" s="80">
        <f>Assumptions!$F$19</f>
        <v>36</v>
      </c>
      <c r="AK68" s="80">
        <f>Assumptions!$F$19</f>
        <v>36</v>
      </c>
      <c r="AL68" s="80">
        <f>Assumptions!$F$19</f>
        <v>36</v>
      </c>
      <c r="AM68" s="80">
        <f>Assumptions!$F$19</f>
        <v>36</v>
      </c>
      <c r="AN68" s="80">
        <f>Assumptions!$F$19</f>
        <v>36</v>
      </c>
      <c r="AO68" s="80">
        <f>Assumptions!$F$19</f>
        <v>36</v>
      </c>
      <c r="AP68" s="80">
        <f>Assumptions!$F$19</f>
        <v>36</v>
      </c>
      <c r="AQ68" s="80">
        <f>Assumptions!$F$19</f>
        <v>36</v>
      </c>
      <c r="AR68" s="80">
        <f>Assumptions!$F$19</f>
        <v>36</v>
      </c>
      <c r="AS68" s="80">
        <f>Assumptions!$F$19</f>
        <v>36</v>
      </c>
      <c r="AT68" s="80">
        <f>Assumptions!$F$19</f>
        <v>36</v>
      </c>
      <c r="AU68" s="80">
        <f>Assumptions!$F$19</f>
        <v>36</v>
      </c>
      <c r="AV68" s="80">
        <f>Assumptions!$F$19</f>
        <v>36</v>
      </c>
      <c r="AW68" s="80">
        <f>Assumptions!$F$19</f>
        <v>36</v>
      </c>
      <c r="AX68" s="80">
        <f>Assumptions!$F$19</f>
        <v>36</v>
      </c>
      <c r="AY68" s="80">
        <f>Assumptions!$F$19</f>
        <v>36</v>
      </c>
      <c r="AZ68" s="80">
        <f>Assumptions!$F$19</f>
        <v>36</v>
      </c>
      <c r="BA68" s="80">
        <f>Assumptions!$F$19</f>
        <v>36</v>
      </c>
      <c r="BB68" s="80">
        <f>Assumptions!$F$19</f>
        <v>36</v>
      </c>
      <c r="BC68" s="80">
        <f>Assumptions!$F$19</f>
        <v>36</v>
      </c>
    </row>
    <row r="69" spans="1:55" hidden="1" outlineLevel="1" x14ac:dyDescent="0.25">
      <c r="A69" s="79" t="s">
        <v>57</v>
      </c>
      <c r="B69" s="76">
        <f t="shared" si="44"/>
        <v>236</v>
      </c>
      <c r="C69" s="76">
        <f t="shared" si="45"/>
        <v>236</v>
      </c>
      <c r="D69" s="77">
        <f t="shared" ref="D69:AI69" si="46">SUM(D64:D68)</f>
        <v>236</v>
      </c>
      <c r="E69" s="77">
        <f t="shared" si="46"/>
        <v>236</v>
      </c>
      <c r="F69" s="77">
        <f t="shared" si="46"/>
        <v>236</v>
      </c>
      <c r="G69" s="77">
        <f t="shared" si="46"/>
        <v>236</v>
      </c>
      <c r="H69" s="77">
        <f t="shared" si="46"/>
        <v>236</v>
      </c>
      <c r="I69" s="77">
        <f t="shared" si="46"/>
        <v>236</v>
      </c>
      <c r="J69" s="77">
        <f t="shared" si="46"/>
        <v>236</v>
      </c>
      <c r="K69" s="77">
        <f t="shared" si="46"/>
        <v>236</v>
      </c>
      <c r="L69" s="77">
        <f t="shared" si="46"/>
        <v>236</v>
      </c>
      <c r="M69" s="77">
        <f t="shared" si="46"/>
        <v>236</v>
      </c>
      <c r="N69" s="77">
        <f t="shared" si="46"/>
        <v>236</v>
      </c>
      <c r="O69" s="77">
        <f t="shared" si="46"/>
        <v>236</v>
      </c>
      <c r="P69" s="77">
        <f t="shared" si="46"/>
        <v>236</v>
      </c>
      <c r="Q69" s="77">
        <f t="shared" si="46"/>
        <v>236</v>
      </c>
      <c r="R69" s="77">
        <f t="shared" si="46"/>
        <v>236</v>
      </c>
      <c r="S69" s="77">
        <f t="shared" si="46"/>
        <v>236</v>
      </c>
      <c r="T69" s="77">
        <f t="shared" si="46"/>
        <v>236</v>
      </c>
      <c r="U69" s="77">
        <f t="shared" si="46"/>
        <v>236</v>
      </c>
      <c r="V69" s="77">
        <f t="shared" si="46"/>
        <v>236</v>
      </c>
      <c r="W69" s="77">
        <f t="shared" si="46"/>
        <v>236</v>
      </c>
      <c r="X69" s="77">
        <f t="shared" si="46"/>
        <v>236</v>
      </c>
      <c r="Y69" s="77">
        <f t="shared" si="46"/>
        <v>236</v>
      </c>
      <c r="Z69" s="77">
        <f t="shared" si="46"/>
        <v>236</v>
      </c>
      <c r="AA69" s="77">
        <f t="shared" si="46"/>
        <v>236</v>
      </c>
      <c r="AB69" s="77">
        <f t="shared" si="46"/>
        <v>236</v>
      </c>
      <c r="AC69" s="77">
        <f t="shared" si="46"/>
        <v>236</v>
      </c>
      <c r="AD69" s="77">
        <f t="shared" si="46"/>
        <v>236</v>
      </c>
      <c r="AE69" s="77">
        <f t="shared" si="46"/>
        <v>236</v>
      </c>
      <c r="AF69" s="77">
        <f t="shared" si="46"/>
        <v>236</v>
      </c>
      <c r="AG69" s="77">
        <f t="shared" si="46"/>
        <v>236</v>
      </c>
      <c r="AH69" s="77">
        <f t="shared" si="46"/>
        <v>236</v>
      </c>
      <c r="AI69" s="77">
        <f t="shared" si="46"/>
        <v>236</v>
      </c>
      <c r="AJ69" s="77">
        <f t="shared" ref="AJ69:BC69" si="47">SUM(AJ64:AJ68)</f>
        <v>236</v>
      </c>
      <c r="AK69" s="77">
        <f t="shared" si="47"/>
        <v>236</v>
      </c>
      <c r="AL69" s="77">
        <f t="shared" si="47"/>
        <v>236</v>
      </c>
      <c r="AM69" s="77">
        <f t="shared" si="47"/>
        <v>236</v>
      </c>
      <c r="AN69" s="77">
        <f t="shared" si="47"/>
        <v>236</v>
      </c>
      <c r="AO69" s="77">
        <f t="shared" si="47"/>
        <v>236</v>
      </c>
      <c r="AP69" s="77">
        <f t="shared" si="47"/>
        <v>236</v>
      </c>
      <c r="AQ69" s="77">
        <f t="shared" si="47"/>
        <v>236</v>
      </c>
      <c r="AR69" s="77">
        <f t="shared" si="47"/>
        <v>236</v>
      </c>
      <c r="AS69" s="77">
        <f t="shared" si="47"/>
        <v>236</v>
      </c>
      <c r="AT69" s="77">
        <f t="shared" si="47"/>
        <v>236</v>
      </c>
      <c r="AU69" s="77">
        <f t="shared" si="47"/>
        <v>236</v>
      </c>
      <c r="AV69" s="77">
        <f t="shared" si="47"/>
        <v>236</v>
      </c>
      <c r="AW69" s="77">
        <f t="shared" si="47"/>
        <v>236</v>
      </c>
      <c r="AX69" s="77">
        <f t="shared" si="47"/>
        <v>236</v>
      </c>
      <c r="AY69" s="77">
        <f t="shared" si="47"/>
        <v>236</v>
      </c>
      <c r="AZ69" s="77">
        <f t="shared" si="47"/>
        <v>236</v>
      </c>
      <c r="BA69" s="77">
        <f t="shared" si="47"/>
        <v>236</v>
      </c>
      <c r="BB69" s="77">
        <f t="shared" si="47"/>
        <v>236</v>
      </c>
      <c r="BC69" s="77">
        <f t="shared" si="47"/>
        <v>236</v>
      </c>
    </row>
    <row r="70" spans="1:55" hidden="1" outlineLevel="1" x14ac:dyDescent="0.25">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row>
    <row r="71" spans="1:55" hidden="1" outlineLevel="1" x14ac:dyDescent="0.25">
      <c r="A71" s="24" t="s">
        <v>53</v>
      </c>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row>
    <row r="72" spans="1:55" hidden="1" outlineLevel="1" x14ac:dyDescent="0.25">
      <c r="A72" s="78" t="s">
        <v>24</v>
      </c>
      <c r="B72" s="74">
        <f t="shared" ref="B72:B77" si="48">AVERAGE(D72:BC72)</f>
        <v>38.884615384615387</v>
      </c>
      <c r="C72" s="74">
        <f t="shared" ref="C72:C77" si="49">MIN(D72:BC72)</f>
        <v>-35</v>
      </c>
      <c r="D72" s="75">
        <f t="shared" ref="D72:AI72" si="50">D64-D56</f>
        <v>-22</v>
      </c>
      <c r="E72" s="75">
        <f t="shared" si="50"/>
        <v>-26</v>
      </c>
      <c r="F72" s="75">
        <f t="shared" si="50"/>
        <v>-19</v>
      </c>
      <c r="G72" s="75">
        <f t="shared" si="50"/>
        <v>-35</v>
      </c>
      <c r="H72" s="75">
        <f t="shared" si="50"/>
        <v>-19</v>
      </c>
      <c r="I72" s="75">
        <f t="shared" si="50"/>
        <v>-3</v>
      </c>
      <c r="J72" s="75">
        <f t="shared" si="50"/>
        <v>5</v>
      </c>
      <c r="K72" s="75">
        <f t="shared" si="50"/>
        <v>5</v>
      </c>
      <c r="L72" s="75">
        <f t="shared" si="50"/>
        <v>6</v>
      </c>
      <c r="M72" s="75">
        <f t="shared" si="50"/>
        <v>22</v>
      </c>
      <c r="N72" s="75">
        <f t="shared" si="50"/>
        <v>22</v>
      </c>
      <c r="O72" s="75">
        <f t="shared" si="50"/>
        <v>26</v>
      </c>
      <c r="P72" s="75">
        <f t="shared" si="50"/>
        <v>26</v>
      </c>
      <c r="Q72" s="75">
        <f t="shared" si="50"/>
        <v>26</v>
      </c>
      <c r="R72" s="75">
        <f t="shared" si="50"/>
        <v>26</v>
      </c>
      <c r="S72" s="75">
        <f t="shared" si="50"/>
        <v>36</v>
      </c>
      <c r="T72" s="75">
        <f t="shared" si="50"/>
        <v>32</v>
      </c>
      <c r="U72" s="75">
        <f t="shared" si="50"/>
        <v>44</v>
      </c>
      <c r="V72" s="75">
        <f t="shared" si="50"/>
        <v>36</v>
      </c>
      <c r="W72" s="75">
        <f t="shared" si="50"/>
        <v>32</v>
      </c>
      <c r="X72" s="75">
        <f t="shared" si="50"/>
        <v>28</v>
      </c>
      <c r="Y72" s="75">
        <f t="shared" si="50"/>
        <v>28</v>
      </c>
      <c r="Z72" s="75">
        <f t="shared" si="50"/>
        <v>32</v>
      </c>
      <c r="AA72" s="75">
        <f t="shared" si="50"/>
        <v>60</v>
      </c>
      <c r="AB72" s="75">
        <f t="shared" si="50"/>
        <v>60</v>
      </c>
      <c r="AC72" s="75">
        <f t="shared" si="50"/>
        <v>60</v>
      </c>
      <c r="AD72" s="75">
        <f t="shared" si="50"/>
        <v>58</v>
      </c>
      <c r="AE72" s="75">
        <f t="shared" si="50"/>
        <v>58</v>
      </c>
      <c r="AF72" s="75">
        <f t="shared" si="50"/>
        <v>58</v>
      </c>
      <c r="AG72" s="75">
        <f t="shared" si="50"/>
        <v>58</v>
      </c>
      <c r="AH72" s="75">
        <f t="shared" si="50"/>
        <v>58</v>
      </c>
      <c r="AI72" s="75">
        <f t="shared" si="50"/>
        <v>58</v>
      </c>
      <c r="AJ72" s="75">
        <f t="shared" ref="AJ72:BC72" si="51">AJ64-AJ56</f>
        <v>58</v>
      </c>
      <c r="AK72" s="75">
        <f t="shared" si="51"/>
        <v>58</v>
      </c>
      <c r="AL72" s="75">
        <f t="shared" si="51"/>
        <v>58</v>
      </c>
      <c r="AM72" s="75">
        <f t="shared" si="51"/>
        <v>58</v>
      </c>
      <c r="AN72" s="75">
        <f t="shared" si="51"/>
        <v>58</v>
      </c>
      <c r="AO72" s="75">
        <f t="shared" si="51"/>
        <v>58</v>
      </c>
      <c r="AP72" s="75">
        <f t="shared" si="51"/>
        <v>58</v>
      </c>
      <c r="AQ72" s="75">
        <f t="shared" si="51"/>
        <v>60</v>
      </c>
      <c r="AR72" s="75">
        <f t="shared" si="51"/>
        <v>60</v>
      </c>
      <c r="AS72" s="75">
        <f t="shared" si="51"/>
        <v>60</v>
      </c>
      <c r="AT72" s="75">
        <f t="shared" si="51"/>
        <v>60</v>
      </c>
      <c r="AU72" s="75">
        <f t="shared" si="51"/>
        <v>60</v>
      </c>
      <c r="AV72" s="75">
        <f t="shared" si="51"/>
        <v>60</v>
      </c>
      <c r="AW72" s="75">
        <f t="shared" si="51"/>
        <v>60</v>
      </c>
      <c r="AX72" s="75">
        <f t="shared" si="51"/>
        <v>60</v>
      </c>
      <c r="AY72" s="75">
        <f t="shared" si="51"/>
        <v>60</v>
      </c>
      <c r="AZ72" s="75">
        <f t="shared" si="51"/>
        <v>60</v>
      </c>
      <c r="BA72" s="75">
        <f t="shared" si="51"/>
        <v>60</v>
      </c>
      <c r="BB72" s="75">
        <f t="shared" si="51"/>
        <v>60</v>
      </c>
      <c r="BC72" s="75">
        <f t="shared" si="51"/>
        <v>60</v>
      </c>
    </row>
    <row r="73" spans="1:55" hidden="1" outlineLevel="1" x14ac:dyDescent="0.25">
      <c r="A73" s="78" t="s">
        <v>25</v>
      </c>
      <c r="B73" s="74">
        <f t="shared" si="48"/>
        <v>20.134615384615383</v>
      </c>
      <c r="C73" s="74">
        <f t="shared" si="49"/>
        <v>-6</v>
      </c>
      <c r="D73" s="75">
        <f t="shared" ref="D73:AI73" si="52">D65-D57</f>
        <v>14</v>
      </c>
      <c r="E73" s="75">
        <f t="shared" si="52"/>
        <v>6</v>
      </c>
      <c r="F73" s="75">
        <f t="shared" si="52"/>
        <v>6</v>
      </c>
      <c r="G73" s="75">
        <f t="shared" si="52"/>
        <v>6</v>
      </c>
      <c r="H73" s="75">
        <f t="shared" si="52"/>
        <v>6</v>
      </c>
      <c r="I73" s="75">
        <f t="shared" si="52"/>
        <v>6</v>
      </c>
      <c r="J73" s="75">
        <f t="shared" si="52"/>
        <v>6</v>
      </c>
      <c r="K73" s="75">
        <f t="shared" si="52"/>
        <v>-6</v>
      </c>
      <c r="L73" s="75">
        <f t="shared" si="52"/>
        <v>-6</v>
      </c>
      <c r="M73" s="75">
        <f t="shared" si="52"/>
        <v>9</v>
      </c>
      <c r="N73" s="75">
        <f t="shared" si="52"/>
        <v>9</v>
      </c>
      <c r="O73" s="75">
        <f t="shared" si="52"/>
        <v>17</v>
      </c>
      <c r="P73" s="75">
        <f t="shared" si="52"/>
        <v>17</v>
      </c>
      <c r="Q73" s="75">
        <f t="shared" si="52"/>
        <v>17</v>
      </c>
      <c r="R73" s="75">
        <f t="shared" si="52"/>
        <v>2</v>
      </c>
      <c r="S73" s="75">
        <f t="shared" si="52"/>
        <v>4</v>
      </c>
      <c r="T73" s="75">
        <f t="shared" si="52"/>
        <v>-4</v>
      </c>
      <c r="U73" s="75">
        <f t="shared" si="52"/>
        <v>8</v>
      </c>
      <c r="V73" s="75">
        <f t="shared" si="52"/>
        <v>23</v>
      </c>
      <c r="W73" s="75">
        <f t="shared" si="52"/>
        <v>23</v>
      </c>
      <c r="X73" s="75">
        <f t="shared" si="52"/>
        <v>23</v>
      </c>
      <c r="Y73" s="75">
        <f t="shared" si="52"/>
        <v>23</v>
      </c>
      <c r="Z73" s="75">
        <f t="shared" si="52"/>
        <v>23</v>
      </c>
      <c r="AA73" s="75">
        <f t="shared" si="52"/>
        <v>27</v>
      </c>
      <c r="AB73" s="75">
        <f t="shared" si="52"/>
        <v>31</v>
      </c>
      <c r="AC73" s="75">
        <f t="shared" si="52"/>
        <v>31</v>
      </c>
      <c r="AD73" s="75">
        <f t="shared" si="52"/>
        <v>27</v>
      </c>
      <c r="AE73" s="75">
        <f t="shared" si="52"/>
        <v>27</v>
      </c>
      <c r="AF73" s="75">
        <f t="shared" si="52"/>
        <v>27</v>
      </c>
      <c r="AG73" s="75">
        <f t="shared" si="52"/>
        <v>27</v>
      </c>
      <c r="AH73" s="75">
        <f t="shared" si="52"/>
        <v>12</v>
      </c>
      <c r="AI73" s="75">
        <f t="shared" si="52"/>
        <v>12</v>
      </c>
      <c r="AJ73" s="75">
        <f t="shared" ref="AJ73:BC73" si="53">AJ65-AJ57</f>
        <v>12</v>
      </c>
      <c r="AK73" s="75">
        <f t="shared" si="53"/>
        <v>28</v>
      </c>
      <c r="AL73" s="75">
        <f t="shared" si="53"/>
        <v>28</v>
      </c>
      <c r="AM73" s="75">
        <f t="shared" si="53"/>
        <v>28</v>
      </c>
      <c r="AN73" s="75">
        <f t="shared" si="53"/>
        <v>28</v>
      </c>
      <c r="AO73" s="75">
        <f t="shared" si="53"/>
        <v>28</v>
      </c>
      <c r="AP73" s="75">
        <f t="shared" si="53"/>
        <v>28</v>
      </c>
      <c r="AQ73" s="75">
        <f t="shared" si="53"/>
        <v>30</v>
      </c>
      <c r="AR73" s="75">
        <f t="shared" si="53"/>
        <v>32</v>
      </c>
      <c r="AS73" s="75">
        <f t="shared" si="53"/>
        <v>32</v>
      </c>
      <c r="AT73" s="75">
        <f t="shared" si="53"/>
        <v>32</v>
      </c>
      <c r="AU73" s="75">
        <f t="shared" si="53"/>
        <v>32</v>
      </c>
      <c r="AV73" s="75">
        <f t="shared" si="53"/>
        <v>32</v>
      </c>
      <c r="AW73" s="75">
        <f t="shared" si="53"/>
        <v>32</v>
      </c>
      <c r="AX73" s="75">
        <f t="shared" si="53"/>
        <v>32</v>
      </c>
      <c r="AY73" s="75">
        <f t="shared" si="53"/>
        <v>32</v>
      </c>
      <c r="AZ73" s="75">
        <f t="shared" si="53"/>
        <v>32</v>
      </c>
      <c r="BA73" s="75">
        <f t="shared" si="53"/>
        <v>32</v>
      </c>
      <c r="BB73" s="75">
        <f t="shared" si="53"/>
        <v>32</v>
      </c>
      <c r="BC73" s="75">
        <f t="shared" si="53"/>
        <v>32</v>
      </c>
    </row>
    <row r="74" spans="1:55" hidden="1" outlineLevel="1" x14ac:dyDescent="0.25">
      <c r="A74" s="78" t="s">
        <v>26</v>
      </c>
      <c r="B74" s="74">
        <f t="shared" si="48"/>
        <v>26.923076923076923</v>
      </c>
      <c r="C74" s="74">
        <f t="shared" si="49"/>
        <v>-16</v>
      </c>
      <c r="D74" s="75">
        <f t="shared" ref="D74:AI74" si="54">D66-D58</f>
        <v>-16</v>
      </c>
      <c r="E74" s="75">
        <f t="shared" si="54"/>
        <v>-16</v>
      </c>
      <c r="F74" s="75">
        <f t="shared" si="54"/>
        <v>-16</v>
      </c>
      <c r="G74" s="75">
        <f t="shared" si="54"/>
        <v>-16</v>
      </c>
      <c r="H74" s="75">
        <f t="shared" si="54"/>
        <v>-4</v>
      </c>
      <c r="I74" s="75">
        <f t="shared" si="54"/>
        <v>-4</v>
      </c>
      <c r="J74" s="75">
        <f t="shared" si="54"/>
        <v>12</v>
      </c>
      <c r="K74" s="75">
        <f t="shared" si="54"/>
        <v>20</v>
      </c>
      <c r="L74" s="75">
        <f t="shared" si="54"/>
        <v>20</v>
      </c>
      <c r="M74" s="75">
        <f t="shared" si="54"/>
        <v>20</v>
      </c>
      <c r="N74" s="75">
        <f t="shared" si="54"/>
        <v>20</v>
      </c>
      <c r="O74" s="75">
        <f t="shared" si="54"/>
        <v>20</v>
      </c>
      <c r="P74" s="75">
        <f t="shared" si="54"/>
        <v>20</v>
      </c>
      <c r="Q74" s="75">
        <f t="shared" si="54"/>
        <v>20</v>
      </c>
      <c r="R74" s="75">
        <f t="shared" si="54"/>
        <v>20</v>
      </c>
      <c r="S74" s="75">
        <f t="shared" si="54"/>
        <v>20</v>
      </c>
      <c r="T74" s="75">
        <f t="shared" si="54"/>
        <v>20</v>
      </c>
      <c r="U74" s="75">
        <f t="shared" si="54"/>
        <v>36</v>
      </c>
      <c r="V74" s="75">
        <f t="shared" si="54"/>
        <v>36</v>
      </c>
      <c r="W74" s="75">
        <f t="shared" si="54"/>
        <v>36</v>
      </c>
      <c r="X74" s="75">
        <f t="shared" si="54"/>
        <v>36</v>
      </c>
      <c r="Y74" s="75">
        <f t="shared" si="54"/>
        <v>36</v>
      </c>
      <c r="Z74" s="75">
        <f t="shared" si="54"/>
        <v>36</v>
      </c>
      <c r="AA74" s="75">
        <f t="shared" si="54"/>
        <v>36</v>
      </c>
      <c r="AB74" s="75">
        <f t="shared" si="54"/>
        <v>36</v>
      </c>
      <c r="AC74" s="75">
        <f t="shared" si="54"/>
        <v>36</v>
      </c>
      <c r="AD74" s="75">
        <f t="shared" si="54"/>
        <v>36</v>
      </c>
      <c r="AE74" s="75">
        <f t="shared" si="54"/>
        <v>36</v>
      </c>
      <c r="AF74" s="75">
        <f t="shared" si="54"/>
        <v>36</v>
      </c>
      <c r="AG74" s="75">
        <f t="shared" si="54"/>
        <v>36</v>
      </c>
      <c r="AH74" s="75">
        <f t="shared" si="54"/>
        <v>36</v>
      </c>
      <c r="AI74" s="75">
        <f t="shared" si="54"/>
        <v>36</v>
      </c>
      <c r="AJ74" s="75">
        <f t="shared" ref="AJ74:BC74" si="55">AJ66-AJ58</f>
        <v>36</v>
      </c>
      <c r="AK74" s="75">
        <f t="shared" si="55"/>
        <v>36</v>
      </c>
      <c r="AL74" s="75">
        <f t="shared" si="55"/>
        <v>36</v>
      </c>
      <c r="AM74" s="75">
        <f t="shared" si="55"/>
        <v>36</v>
      </c>
      <c r="AN74" s="75">
        <f t="shared" si="55"/>
        <v>36</v>
      </c>
      <c r="AO74" s="75">
        <f t="shared" si="55"/>
        <v>36</v>
      </c>
      <c r="AP74" s="75">
        <f t="shared" si="55"/>
        <v>36</v>
      </c>
      <c r="AQ74" s="75">
        <f t="shared" si="55"/>
        <v>36</v>
      </c>
      <c r="AR74" s="75">
        <f t="shared" si="55"/>
        <v>36</v>
      </c>
      <c r="AS74" s="75">
        <f t="shared" si="55"/>
        <v>36</v>
      </c>
      <c r="AT74" s="75">
        <f t="shared" si="55"/>
        <v>36</v>
      </c>
      <c r="AU74" s="75">
        <f t="shared" si="55"/>
        <v>36</v>
      </c>
      <c r="AV74" s="75">
        <f t="shared" si="55"/>
        <v>36</v>
      </c>
      <c r="AW74" s="75">
        <f t="shared" si="55"/>
        <v>36</v>
      </c>
      <c r="AX74" s="75">
        <f t="shared" si="55"/>
        <v>36</v>
      </c>
      <c r="AY74" s="75">
        <f t="shared" si="55"/>
        <v>36</v>
      </c>
      <c r="AZ74" s="75">
        <f t="shared" si="55"/>
        <v>36</v>
      </c>
      <c r="BA74" s="75">
        <f t="shared" si="55"/>
        <v>36</v>
      </c>
      <c r="BB74" s="75">
        <f t="shared" si="55"/>
        <v>36</v>
      </c>
      <c r="BC74" s="75">
        <f t="shared" si="55"/>
        <v>36</v>
      </c>
    </row>
    <row r="75" spans="1:55" hidden="1" outlineLevel="1" x14ac:dyDescent="0.25">
      <c r="A75" s="78" t="s">
        <v>172</v>
      </c>
      <c r="B75" s="74">
        <f t="shared" si="48"/>
        <v>57.615384615384613</v>
      </c>
      <c r="C75" s="74">
        <f t="shared" si="49"/>
        <v>7</v>
      </c>
      <c r="D75" s="75">
        <f t="shared" ref="D75:AI75" si="56">D67-D59</f>
        <v>31</v>
      </c>
      <c r="E75" s="75">
        <f t="shared" si="56"/>
        <v>15</v>
      </c>
      <c r="F75" s="75">
        <f t="shared" si="56"/>
        <v>15</v>
      </c>
      <c r="G75" s="75">
        <f t="shared" si="56"/>
        <v>7</v>
      </c>
      <c r="H75" s="75">
        <f t="shared" si="56"/>
        <v>24</v>
      </c>
      <c r="I75" s="75">
        <f t="shared" si="56"/>
        <v>28</v>
      </c>
      <c r="J75" s="75">
        <f t="shared" si="56"/>
        <v>24</v>
      </c>
      <c r="K75" s="75">
        <f t="shared" si="56"/>
        <v>24</v>
      </c>
      <c r="L75" s="75">
        <f t="shared" si="56"/>
        <v>24</v>
      </c>
      <c r="M75" s="75">
        <f t="shared" si="56"/>
        <v>36</v>
      </c>
      <c r="N75" s="75">
        <f t="shared" si="56"/>
        <v>36</v>
      </c>
      <c r="O75" s="75">
        <f t="shared" si="56"/>
        <v>56</v>
      </c>
      <c r="P75" s="75">
        <f t="shared" si="56"/>
        <v>56</v>
      </c>
      <c r="Q75" s="75">
        <f t="shared" si="56"/>
        <v>56</v>
      </c>
      <c r="R75" s="75">
        <f t="shared" si="56"/>
        <v>40</v>
      </c>
      <c r="S75" s="75">
        <f t="shared" si="56"/>
        <v>40</v>
      </c>
      <c r="T75" s="75">
        <f t="shared" si="56"/>
        <v>40</v>
      </c>
      <c r="U75" s="75">
        <f t="shared" si="56"/>
        <v>56</v>
      </c>
      <c r="V75" s="75">
        <f t="shared" si="56"/>
        <v>72</v>
      </c>
      <c r="W75" s="75">
        <f t="shared" si="56"/>
        <v>72</v>
      </c>
      <c r="X75" s="75">
        <f t="shared" si="56"/>
        <v>72</v>
      </c>
      <c r="Y75" s="75">
        <f t="shared" si="56"/>
        <v>72</v>
      </c>
      <c r="Z75" s="75">
        <f t="shared" si="56"/>
        <v>72</v>
      </c>
      <c r="AA75" s="75">
        <f t="shared" si="56"/>
        <v>72</v>
      </c>
      <c r="AB75" s="75">
        <f t="shared" si="56"/>
        <v>72</v>
      </c>
      <c r="AC75" s="75">
        <f t="shared" si="56"/>
        <v>72</v>
      </c>
      <c r="AD75" s="75">
        <f t="shared" si="56"/>
        <v>72</v>
      </c>
      <c r="AE75" s="75">
        <f t="shared" si="56"/>
        <v>72</v>
      </c>
      <c r="AF75" s="75">
        <f t="shared" si="56"/>
        <v>72</v>
      </c>
      <c r="AG75" s="75">
        <f t="shared" si="56"/>
        <v>72</v>
      </c>
      <c r="AH75" s="75">
        <f t="shared" si="56"/>
        <v>52</v>
      </c>
      <c r="AI75" s="75">
        <f t="shared" si="56"/>
        <v>52</v>
      </c>
      <c r="AJ75" s="75">
        <f t="shared" ref="AJ75:BC75" si="57">AJ67-AJ59</f>
        <v>52</v>
      </c>
      <c r="AK75" s="75">
        <f t="shared" si="57"/>
        <v>72</v>
      </c>
      <c r="AL75" s="75">
        <f t="shared" si="57"/>
        <v>72</v>
      </c>
      <c r="AM75" s="75">
        <f t="shared" si="57"/>
        <v>72</v>
      </c>
      <c r="AN75" s="75">
        <f t="shared" si="57"/>
        <v>72</v>
      </c>
      <c r="AO75" s="75">
        <f t="shared" si="57"/>
        <v>72</v>
      </c>
      <c r="AP75" s="75">
        <f t="shared" si="57"/>
        <v>72</v>
      </c>
      <c r="AQ75" s="75">
        <f t="shared" si="57"/>
        <v>72</v>
      </c>
      <c r="AR75" s="75">
        <f t="shared" si="57"/>
        <v>72</v>
      </c>
      <c r="AS75" s="75">
        <f t="shared" si="57"/>
        <v>72</v>
      </c>
      <c r="AT75" s="75">
        <f t="shared" si="57"/>
        <v>72</v>
      </c>
      <c r="AU75" s="75">
        <f t="shared" si="57"/>
        <v>72</v>
      </c>
      <c r="AV75" s="75">
        <f t="shared" si="57"/>
        <v>72</v>
      </c>
      <c r="AW75" s="75">
        <f t="shared" si="57"/>
        <v>72</v>
      </c>
      <c r="AX75" s="75">
        <f t="shared" si="57"/>
        <v>72</v>
      </c>
      <c r="AY75" s="75">
        <f t="shared" si="57"/>
        <v>72</v>
      </c>
      <c r="AZ75" s="75">
        <f t="shared" si="57"/>
        <v>72</v>
      </c>
      <c r="BA75" s="75">
        <f t="shared" si="57"/>
        <v>72</v>
      </c>
      <c r="BB75" s="75">
        <f t="shared" si="57"/>
        <v>72</v>
      </c>
      <c r="BC75" s="75">
        <f t="shared" si="57"/>
        <v>72</v>
      </c>
    </row>
    <row r="76" spans="1:55" hidden="1" outlineLevel="1" x14ac:dyDescent="0.25">
      <c r="A76" s="78" t="s">
        <v>27</v>
      </c>
      <c r="B76" s="74">
        <f t="shared" si="48"/>
        <v>20.807692307692307</v>
      </c>
      <c r="C76" s="74">
        <f t="shared" si="49"/>
        <v>-24</v>
      </c>
      <c r="D76" s="75">
        <f t="shared" ref="D76:AI76" si="58">D68-D60</f>
        <v>-2</v>
      </c>
      <c r="E76" s="75">
        <f t="shared" si="58"/>
        <v>-2</v>
      </c>
      <c r="F76" s="75">
        <f t="shared" si="58"/>
        <v>-10</v>
      </c>
      <c r="G76" s="75">
        <f t="shared" si="58"/>
        <v>-10</v>
      </c>
      <c r="H76" s="75">
        <f t="shared" si="58"/>
        <v>-2</v>
      </c>
      <c r="I76" s="75">
        <f t="shared" si="58"/>
        <v>-2</v>
      </c>
      <c r="J76" s="75">
        <f t="shared" si="58"/>
        <v>-2</v>
      </c>
      <c r="K76" s="75">
        <f t="shared" si="58"/>
        <v>-20</v>
      </c>
      <c r="L76" s="75">
        <f t="shared" si="58"/>
        <v>-20</v>
      </c>
      <c r="M76" s="75">
        <f t="shared" si="58"/>
        <v>-4</v>
      </c>
      <c r="N76" s="75">
        <f t="shared" si="58"/>
        <v>-4</v>
      </c>
      <c r="O76" s="75">
        <f t="shared" si="58"/>
        <v>-8</v>
      </c>
      <c r="P76" s="75">
        <f t="shared" si="58"/>
        <v>-4</v>
      </c>
      <c r="Q76" s="75">
        <f t="shared" si="58"/>
        <v>-4</v>
      </c>
      <c r="R76" s="75">
        <f t="shared" si="58"/>
        <v>-12</v>
      </c>
      <c r="S76" s="75">
        <f t="shared" si="58"/>
        <v>-24</v>
      </c>
      <c r="T76" s="75">
        <f t="shared" si="58"/>
        <v>-24</v>
      </c>
      <c r="U76" s="75">
        <f t="shared" si="58"/>
        <v>16</v>
      </c>
      <c r="V76" s="75">
        <f t="shared" si="58"/>
        <v>36</v>
      </c>
      <c r="W76" s="75">
        <f t="shared" si="58"/>
        <v>36</v>
      </c>
      <c r="X76" s="75">
        <f t="shared" si="58"/>
        <v>36</v>
      </c>
      <c r="Y76" s="75">
        <f t="shared" si="58"/>
        <v>36</v>
      </c>
      <c r="Z76" s="75">
        <f t="shared" si="58"/>
        <v>36</v>
      </c>
      <c r="AA76" s="75">
        <f t="shared" si="58"/>
        <v>36</v>
      </c>
      <c r="AB76" s="75">
        <f t="shared" si="58"/>
        <v>36</v>
      </c>
      <c r="AC76" s="75">
        <f t="shared" si="58"/>
        <v>36</v>
      </c>
      <c r="AD76" s="75">
        <f t="shared" si="58"/>
        <v>36</v>
      </c>
      <c r="AE76" s="75">
        <f t="shared" si="58"/>
        <v>36</v>
      </c>
      <c r="AF76" s="75">
        <f t="shared" si="58"/>
        <v>36</v>
      </c>
      <c r="AG76" s="75">
        <f t="shared" si="58"/>
        <v>36</v>
      </c>
      <c r="AH76" s="75">
        <f t="shared" si="58"/>
        <v>32</v>
      </c>
      <c r="AI76" s="75">
        <f t="shared" si="58"/>
        <v>36</v>
      </c>
      <c r="AJ76" s="75">
        <f t="shared" ref="AJ76:BC76" si="59">AJ68-AJ60</f>
        <v>36</v>
      </c>
      <c r="AK76" s="75">
        <f t="shared" si="59"/>
        <v>36</v>
      </c>
      <c r="AL76" s="75">
        <f t="shared" si="59"/>
        <v>36</v>
      </c>
      <c r="AM76" s="75">
        <f t="shared" si="59"/>
        <v>36</v>
      </c>
      <c r="AN76" s="75">
        <f t="shared" si="59"/>
        <v>36</v>
      </c>
      <c r="AO76" s="75">
        <f t="shared" si="59"/>
        <v>36</v>
      </c>
      <c r="AP76" s="75">
        <f t="shared" si="59"/>
        <v>36</v>
      </c>
      <c r="AQ76" s="75">
        <f t="shared" si="59"/>
        <v>36</v>
      </c>
      <c r="AR76" s="75">
        <f t="shared" si="59"/>
        <v>36</v>
      </c>
      <c r="AS76" s="75">
        <f t="shared" si="59"/>
        <v>36</v>
      </c>
      <c r="AT76" s="75">
        <f t="shared" si="59"/>
        <v>36</v>
      </c>
      <c r="AU76" s="75">
        <f t="shared" si="59"/>
        <v>36</v>
      </c>
      <c r="AV76" s="75">
        <f t="shared" si="59"/>
        <v>36</v>
      </c>
      <c r="AW76" s="75">
        <f t="shared" si="59"/>
        <v>36</v>
      </c>
      <c r="AX76" s="75">
        <f t="shared" si="59"/>
        <v>36</v>
      </c>
      <c r="AY76" s="75">
        <f t="shared" si="59"/>
        <v>36</v>
      </c>
      <c r="AZ76" s="75">
        <f t="shared" si="59"/>
        <v>36</v>
      </c>
      <c r="BA76" s="75">
        <f t="shared" si="59"/>
        <v>36</v>
      </c>
      <c r="BB76" s="75">
        <f t="shared" si="59"/>
        <v>36</v>
      </c>
      <c r="BC76" s="75">
        <f t="shared" si="59"/>
        <v>36</v>
      </c>
    </row>
    <row r="77" spans="1:55" hidden="1" outlineLevel="1" x14ac:dyDescent="0.25">
      <c r="A77" s="79" t="s">
        <v>58</v>
      </c>
      <c r="B77" s="76">
        <f t="shared" si="48"/>
        <v>164.36538461538461</v>
      </c>
      <c r="C77" s="76">
        <f t="shared" si="49"/>
        <v>-48</v>
      </c>
      <c r="D77" s="77">
        <f t="shared" ref="D77:AI77" si="60">D69-D61</f>
        <v>5</v>
      </c>
      <c r="E77" s="77">
        <f t="shared" si="60"/>
        <v>-23</v>
      </c>
      <c r="F77" s="77">
        <f t="shared" si="60"/>
        <v>-24</v>
      </c>
      <c r="G77" s="77">
        <f t="shared" si="60"/>
        <v>-48</v>
      </c>
      <c r="H77" s="77">
        <f t="shared" si="60"/>
        <v>5</v>
      </c>
      <c r="I77" s="77">
        <f t="shared" si="60"/>
        <v>25</v>
      </c>
      <c r="J77" s="77">
        <f t="shared" si="60"/>
        <v>45</v>
      </c>
      <c r="K77" s="77">
        <f t="shared" si="60"/>
        <v>23</v>
      </c>
      <c r="L77" s="77">
        <f t="shared" si="60"/>
        <v>24</v>
      </c>
      <c r="M77" s="77">
        <f t="shared" si="60"/>
        <v>83</v>
      </c>
      <c r="N77" s="77">
        <f t="shared" si="60"/>
        <v>83</v>
      </c>
      <c r="O77" s="77">
        <f t="shared" si="60"/>
        <v>111</v>
      </c>
      <c r="P77" s="77">
        <f t="shared" si="60"/>
        <v>115</v>
      </c>
      <c r="Q77" s="77">
        <f t="shared" si="60"/>
        <v>115</v>
      </c>
      <c r="R77" s="77">
        <f t="shared" si="60"/>
        <v>76</v>
      </c>
      <c r="S77" s="77">
        <f t="shared" si="60"/>
        <v>76</v>
      </c>
      <c r="T77" s="77">
        <f t="shared" si="60"/>
        <v>64</v>
      </c>
      <c r="U77" s="77">
        <f t="shared" si="60"/>
        <v>160</v>
      </c>
      <c r="V77" s="77">
        <f t="shared" si="60"/>
        <v>203</v>
      </c>
      <c r="W77" s="77">
        <f t="shared" si="60"/>
        <v>199</v>
      </c>
      <c r="X77" s="77">
        <f t="shared" si="60"/>
        <v>195</v>
      </c>
      <c r="Y77" s="77">
        <f t="shared" si="60"/>
        <v>195</v>
      </c>
      <c r="Z77" s="77">
        <f t="shared" si="60"/>
        <v>199</v>
      </c>
      <c r="AA77" s="77">
        <f t="shared" si="60"/>
        <v>231</v>
      </c>
      <c r="AB77" s="77">
        <f t="shared" si="60"/>
        <v>235</v>
      </c>
      <c r="AC77" s="77">
        <f t="shared" si="60"/>
        <v>235</v>
      </c>
      <c r="AD77" s="77">
        <f t="shared" si="60"/>
        <v>229</v>
      </c>
      <c r="AE77" s="77">
        <f t="shared" si="60"/>
        <v>229</v>
      </c>
      <c r="AF77" s="77">
        <f t="shared" si="60"/>
        <v>229</v>
      </c>
      <c r="AG77" s="77">
        <f t="shared" si="60"/>
        <v>229</v>
      </c>
      <c r="AH77" s="77">
        <f t="shared" si="60"/>
        <v>190</v>
      </c>
      <c r="AI77" s="77">
        <f t="shared" si="60"/>
        <v>194</v>
      </c>
      <c r="AJ77" s="77">
        <f t="shared" ref="AJ77:BC77" si="61">AJ69-AJ61</f>
        <v>194</v>
      </c>
      <c r="AK77" s="77">
        <f t="shared" si="61"/>
        <v>230</v>
      </c>
      <c r="AL77" s="77">
        <f t="shared" si="61"/>
        <v>230</v>
      </c>
      <c r="AM77" s="77">
        <f t="shared" si="61"/>
        <v>230</v>
      </c>
      <c r="AN77" s="77">
        <f t="shared" si="61"/>
        <v>230</v>
      </c>
      <c r="AO77" s="77">
        <f t="shared" si="61"/>
        <v>230</v>
      </c>
      <c r="AP77" s="77">
        <f t="shared" si="61"/>
        <v>230</v>
      </c>
      <c r="AQ77" s="77">
        <f t="shared" si="61"/>
        <v>234</v>
      </c>
      <c r="AR77" s="77">
        <f t="shared" si="61"/>
        <v>236</v>
      </c>
      <c r="AS77" s="77">
        <f t="shared" si="61"/>
        <v>236</v>
      </c>
      <c r="AT77" s="77">
        <f t="shared" si="61"/>
        <v>236</v>
      </c>
      <c r="AU77" s="77">
        <f t="shared" si="61"/>
        <v>236</v>
      </c>
      <c r="AV77" s="77">
        <f t="shared" si="61"/>
        <v>236</v>
      </c>
      <c r="AW77" s="77">
        <f t="shared" si="61"/>
        <v>236</v>
      </c>
      <c r="AX77" s="77">
        <f t="shared" si="61"/>
        <v>236</v>
      </c>
      <c r="AY77" s="77">
        <f t="shared" si="61"/>
        <v>236</v>
      </c>
      <c r="AZ77" s="77">
        <f t="shared" si="61"/>
        <v>236</v>
      </c>
      <c r="BA77" s="77">
        <f t="shared" si="61"/>
        <v>236</v>
      </c>
      <c r="BB77" s="77">
        <f t="shared" si="61"/>
        <v>236</v>
      </c>
      <c r="BC77" s="77">
        <f t="shared" si="61"/>
        <v>236</v>
      </c>
    </row>
    <row r="78" spans="1:55" hidden="1" outlineLevel="1" x14ac:dyDescent="0.25">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row>
    <row r="79" spans="1:55" hidden="1" outlineLevel="1" x14ac:dyDescent="0.25">
      <c r="A79" s="24" t="s">
        <v>54</v>
      </c>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row>
    <row r="80" spans="1:55" hidden="1" outlineLevel="1" x14ac:dyDescent="0.25">
      <c r="A80" s="78" t="s">
        <v>24</v>
      </c>
      <c r="B80" s="81">
        <f t="shared" ref="B80:B85" si="62">IF(SUM(D64:BC64)=0,0,SUM(D56:BC56)/SUM(D64:BC64))</f>
        <v>0.35192307692307695</v>
      </c>
      <c r="C80" s="81">
        <f t="shared" ref="C80:C85" si="63">MAX(D80:BC80)</f>
        <v>1.5833333333333333</v>
      </c>
      <c r="D80" s="82">
        <f t="shared" ref="D80:AI80" si="64">IF(D64=0,IF(D56&gt;0,9.99,0),D56/D64)</f>
        <v>1.3666666666666667</v>
      </c>
      <c r="E80" s="82">
        <f t="shared" si="64"/>
        <v>1.4333333333333333</v>
      </c>
      <c r="F80" s="82">
        <f t="shared" si="64"/>
        <v>1.3166666666666667</v>
      </c>
      <c r="G80" s="82">
        <f t="shared" si="64"/>
        <v>1.5833333333333333</v>
      </c>
      <c r="H80" s="82">
        <f t="shared" si="64"/>
        <v>1.3166666666666667</v>
      </c>
      <c r="I80" s="82">
        <f t="shared" si="64"/>
        <v>1.05</v>
      </c>
      <c r="J80" s="82">
        <f t="shared" si="64"/>
        <v>0.91666666666666663</v>
      </c>
      <c r="K80" s="82">
        <f t="shared" si="64"/>
        <v>0.91666666666666663</v>
      </c>
      <c r="L80" s="82">
        <f t="shared" si="64"/>
        <v>0.9</v>
      </c>
      <c r="M80" s="82">
        <f t="shared" si="64"/>
        <v>0.6333333333333333</v>
      </c>
      <c r="N80" s="82">
        <f t="shared" si="64"/>
        <v>0.6333333333333333</v>
      </c>
      <c r="O80" s="82">
        <f t="shared" si="64"/>
        <v>0.56666666666666665</v>
      </c>
      <c r="P80" s="82">
        <f t="shared" si="64"/>
        <v>0.56666666666666665</v>
      </c>
      <c r="Q80" s="82">
        <f t="shared" si="64"/>
        <v>0.56666666666666665</v>
      </c>
      <c r="R80" s="82">
        <f t="shared" si="64"/>
        <v>0.56666666666666665</v>
      </c>
      <c r="S80" s="82">
        <f t="shared" si="64"/>
        <v>0.4</v>
      </c>
      <c r="T80" s="82">
        <f t="shared" si="64"/>
        <v>0.46666666666666667</v>
      </c>
      <c r="U80" s="82">
        <f t="shared" si="64"/>
        <v>0.26666666666666666</v>
      </c>
      <c r="V80" s="82">
        <f t="shared" si="64"/>
        <v>0.4</v>
      </c>
      <c r="W80" s="82">
        <f t="shared" si="64"/>
        <v>0.46666666666666667</v>
      </c>
      <c r="X80" s="82">
        <f t="shared" si="64"/>
        <v>0.53333333333333333</v>
      </c>
      <c r="Y80" s="82">
        <f t="shared" si="64"/>
        <v>0.53333333333333333</v>
      </c>
      <c r="Z80" s="82">
        <f t="shared" si="64"/>
        <v>0.46666666666666667</v>
      </c>
      <c r="AA80" s="82">
        <f t="shared" si="64"/>
        <v>0</v>
      </c>
      <c r="AB80" s="82">
        <f t="shared" si="64"/>
        <v>0</v>
      </c>
      <c r="AC80" s="82">
        <f t="shared" si="64"/>
        <v>0</v>
      </c>
      <c r="AD80" s="82">
        <f t="shared" si="64"/>
        <v>3.3333333333333333E-2</v>
      </c>
      <c r="AE80" s="82">
        <f t="shared" si="64"/>
        <v>3.3333333333333333E-2</v>
      </c>
      <c r="AF80" s="82">
        <f t="shared" si="64"/>
        <v>3.3333333333333333E-2</v>
      </c>
      <c r="AG80" s="82">
        <f t="shared" si="64"/>
        <v>3.3333333333333333E-2</v>
      </c>
      <c r="AH80" s="82">
        <f t="shared" si="64"/>
        <v>3.3333333333333333E-2</v>
      </c>
      <c r="AI80" s="82">
        <f t="shared" si="64"/>
        <v>3.3333333333333333E-2</v>
      </c>
      <c r="AJ80" s="82">
        <f t="shared" ref="AJ80:BC80" si="65">IF(AJ64=0,IF(AJ56&gt;0,9.99,0),AJ56/AJ64)</f>
        <v>3.3333333333333333E-2</v>
      </c>
      <c r="AK80" s="82">
        <f t="shared" si="65"/>
        <v>3.3333333333333333E-2</v>
      </c>
      <c r="AL80" s="82">
        <f t="shared" si="65"/>
        <v>3.3333333333333333E-2</v>
      </c>
      <c r="AM80" s="82">
        <f t="shared" si="65"/>
        <v>3.3333333333333333E-2</v>
      </c>
      <c r="AN80" s="82">
        <f t="shared" si="65"/>
        <v>3.3333333333333333E-2</v>
      </c>
      <c r="AO80" s="82">
        <f t="shared" si="65"/>
        <v>3.3333333333333333E-2</v>
      </c>
      <c r="AP80" s="82">
        <f t="shared" si="65"/>
        <v>3.3333333333333333E-2</v>
      </c>
      <c r="AQ80" s="82">
        <f t="shared" si="65"/>
        <v>0</v>
      </c>
      <c r="AR80" s="82">
        <f t="shared" si="65"/>
        <v>0</v>
      </c>
      <c r="AS80" s="82">
        <f t="shared" si="65"/>
        <v>0</v>
      </c>
      <c r="AT80" s="82">
        <f t="shared" si="65"/>
        <v>0</v>
      </c>
      <c r="AU80" s="82">
        <f t="shared" si="65"/>
        <v>0</v>
      </c>
      <c r="AV80" s="82">
        <f t="shared" si="65"/>
        <v>0</v>
      </c>
      <c r="AW80" s="82">
        <f t="shared" si="65"/>
        <v>0</v>
      </c>
      <c r="AX80" s="82">
        <f t="shared" si="65"/>
        <v>0</v>
      </c>
      <c r="AY80" s="82">
        <f t="shared" si="65"/>
        <v>0</v>
      </c>
      <c r="AZ80" s="82">
        <f t="shared" si="65"/>
        <v>0</v>
      </c>
      <c r="BA80" s="82">
        <f t="shared" si="65"/>
        <v>0</v>
      </c>
      <c r="BB80" s="82">
        <f t="shared" si="65"/>
        <v>0</v>
      </c>
      <c r="BC80" s="82">
        <f t="shared" si="65"/>
        <v>0</v>
      </c>
    </row>
    <row r="81" spans="1:55" hidden="1" outlineLevel="1" x14ac:dyDescent="0.25">
      <c r="A81" s="78" t="s">
        <v>25</v>
      </c>
      <c r="B81" s="81">
        <f t="shared" si="62"/>
        <v>0.37079326923076922</v>
      </c>
      <c r="C81" s="81">
        <f t="shared" si="63"/>
        <v>1.1875</v>
      </c>
      <c r="D81" s="82">
        <f t="shared" ref="D81:AI81" si="66">IF(D65=0,IF(D57&gt;0,9.99,0),D57/D65)</f>
        <v>0.5625</v>
      </c>
      <c r="E81" s="82">
        <f t="shared" si="66"/>
        <v>0.8125</v>
      </c>
      <c r="F81" s="82">
        <f t="shared" si="66"/>
        <v>0.8125</v>
      </c>
      <c r="G81" s="82">
        <f t="shared" si="66"/>
        <v>0.8125</v>
      </c>
      <c r="H81" s="82">
        <f t="shared" si="66"/>
        <v>0.8125</v>
      </c>
      <c r="I81" s="82">
        <f t="shared" si="66"/>
        <v>0.8125</v>
      </c>
      <c r="J81" s="82">
        <f t="shared" si="66"/>
        <v>0.8125</v>
      </c>
      <c r="K81" s="82">
        <f t="shared" si="66"/>
        <v>1.1875</v>
      </c>
      <c r="L81" s="82">
        <f t="shared" si="66"/>
        <v>1.1875</v>
      </c>
      <c r="M81" s="82">
        <f t="shared" si="66"/>
        <v>0.71875</v>
      </c>
      <c r="N81" s="82">
        <f t="shared" si="66"/>
        <v>0.71875</v>
      </c>
      <c r="O81" s="82">
        <f t="shared" si="66"/>
        <v>0.46875</v>
      </c>
      <c r="P81" s="82">
        <f t="shared" si="66"/>
        <v>0.46875</v>
      </c>
      <c r="Q81" s="82">
        <f t="shared" si="66"/>
        <v>0.46875</v>
      </c>
      <c r="R81" s="82">
        <f t="shared" si="66"/>
        <v>0.9375</v>
      </c>
      <c r="S81" s="82">
        <f t="shared" si="66"/>
        <v>0.875</v>
      </c>
      <c r="T81" s="82">
        <f t="shared" si="66"/>
        <v>1.125</v>
      </c>
      <c r="U81" s="82">
        <f t="shared" si="66"/>
        <v>0.75</v>
      </c>
      <c r="V81" s="82">
        <f t="shared" si="66"/>
        <v>0.28125</v>
      </c>
      <c r="W81" s="82">
        <f t="shared" si="66"/>
        <v>0.28125</v>
      </c>
      <c r="X81" s="82">
        <f t="shared" si="66"/>
        <v>0.28125</v>
      </c>
      <c r="Y81" s="82">
        <f t="shared" si="66"/>
        <v>0.28125</v>
      </c>
      <c r="Z81" s="82">
        <f t="shared" si="66"/>
        <v>0.28125</v>
      </c>
      <c r="AA81" s="82">
        <f t="shared" si="66"/>
        <v>0.15625</v>
      </c>
      <c r="AB81" s="82">
        <f t="shared" si="66"/>
        <v>3.125E-2</v>
      </c>
      <c r="AC81" s="82">
        <f t="shared" si="66"/>
        <v>3.125E-2</v>
      </c>
      <c r="AD81" s="82">
        <f t="shared" si="66"/>
        <v>0.15625</v>
      </c>
      <c r="AE81" s="82">
        <f t="shared" si="66"/>
        <v>0.15625</v>
      </c>
      <c r="AF81" s="82">
        <f t="shared" si="66"/>
        <v>0.15625</v>
      </c>
      <c r="AG81" s="82">
        <f t="shared" si="66"/>
        <v>0.15625</v>
      </c>
      <c r="AH81" s="82">
        <f t="shared" si="66"/>
        <v>0.625</v>
      </c>
      <c r="AI81" s="82">
        <f t="shared" si="66"/>
        <v>0.625</v>
      </c>
      <c r="AJ81" s="82">
        <f t="shared" ref="AJ81:BC81" si="67">IF(AJ65=0,IF(AJ57&gt;0,9.99,0),AJ57/AJ65)</f>
        <v>0.625</v>
      </c>
      <c r="AK81" s="82">
        <f t="shared" si="67"/>
        <v>0.125</v>
      </c>
      <c r="AL81" s="82">
        <f t="shared" si="67"/>
        <v>0.125</v>
      </c>
      <c r="AM81" s="82">
        <f t="shared" si="67"/>
        <v>0.125</v>
      </c>
      <c r="AN81" s="82">
        <f t="shared" si="67"/>
        <v>0.125</v>
      </c>
      <c r="AO81" s="82">
        <f t="shared" si="67"/>
        <v>0.125</v>
      </c>
      <c r="AP81" s="82">
        <f t="shared" si="67"/>
        <v>0.125</v>
      </c>
      <c r="AQ81" s="82">
        <f t="shared" si="67"/>
        <v>6.25E-2</v>
      </c>
      <c r="AR81" s="82">
        <f t="shared" si="67"/>
        <v>0</v>
      </c>
      <c r="AS81" s="82">
        <f t="shared" si="67"/>
        <v>0</v>
      </c>
      <c r="AT81" s="82">
        <f t="shared" si="67"/>
        <v>0</v>
      </c>
      <c r="AU81" s="82">
        <f t="shared" si="67"/>
        <v>0</v>
      </c>
      <c r="AV81" s="82">
        <f t="shared" si="67"/>
        <v>0</v>
      </c>
      <c r="AW81" s="82">
        <f t="shared" si="67"/>
        <v>0</v>
      </c>
      <c r="AX81" s="82">
        <f t="shared" si="67"/>
        <v>0</v>
      </c>
      <c r="AY81" s="82">
        <f t="shared" si="67"/>
        <v>0</v>
      </c>
      <c r="AZ81" s="82">
        <f t="shared" si="67"/>
        <v>0</v>
      </c>
      <c r="BA81" s="82">
        <f t="shared" si="67"/>
        <v>0</v>
      </c>
      <c r="BB81" s="82">
        <f t="shared" si="67"/>
        <v>0</v>
      </c>
      <c r="BC81" s="82">
        <f t="shared" si="67"/>
        <v>0</v>
      </c>
    </row>
    <row r="82" spans="1:55" hidden="1" outlineLevel="1" x14ac:dyDescent="0.25">
      <c r="A82" s="78" t="s">
        <v>26</v>
      </c>
      <c r="B82" s="81">
        <f t="shared" si="62"/>
        <v>0.25213675213675213</v>
      </c>
      <c r="C82" s="81">
        <f t="shared" si="63"/>
        <v>1.4444444444444444</v>
      </c>
      <c r="D82" s="82">
        <f t="shared" ref="D82:AI82" si="68">IF(D66=0,IF(D58&gt;0,9.99,0),D58/D66)</f>
        <v>1.4444444444444444</v>
      </c>
      <c r="E82" s="82">
        <f t="shared" si="68"/>
        <v>1.4444444444444444</v>
      </c>
      <c r="F82" s="82">
        <f t="shared" si="68"/>
        <v>1.4444444444444444</v>
      </c>
      <c r="G82" s="82">
        <f t="shared" si="68"/>
        <v>1.4444444444444444</v>
      </c>
      <c r="H82" s="82">
        <f t="shared" si="68"/>
        <v>1.1111111111111112</v>
      </c>
      <c r="I82" s="82">
        <f t="shared" si="68"/>
        <v>1.1111111111111112</v>
      </c>
      <c r="J82" s="82">
        <f t="shared" si="68"/>
        <v>0.66666666666666663</v>
      </c>
      <c r="K82" s="82">
        <f t="shared" si="68"/>
        <v>0.44444444444444442</v>
      </c>
      <c r="L82" s="82">
        <f t="shared" si="68"/>
        <v>0.44444444444444442</v>
      </c>
      <c r="M82" s="82">
        <f t="shared" si="68"/>
        <v>0.44444444444444442</v>
      </c>
      <c r="N82" s="82">
        <f t="shared" si="68"/>
        <v>0.44444444444444442</v>
      </c>
      <c r="O82" s="82">
        <f t="shared" si="68"/>
        <v>0.44444444444444442</v>
      </c>
      <c r="P82" s="82">
        <f t="shared" si="68"/>
        <v>0.44444444444444442</v>
      </c>
      <c r="Q82" s="82">
        <f t="shared" si="68"/>
        <v>0.44444444444444442</v>
      </c>
      <c r="R82" s="82">
        <f t="shared" si="68"/>
        <v>0.44444444444444442</v>
      </c>
      <c r="S82" s="82">
        <f t="shared" si="68"/>
        <v>0.44444444444444442</v>
      </c>
      <c r="T82" s="82">
        <f t="shared" si="68"/>
        <v>0.44444444444444442</v>
      </c>
      <c r="U82" s="82">
        <f t="shared" si="68"/>
        <v>0</v>
      </c>
      <c r="V82" s="82">
        <f t="shared" si="68"/>
        <v>0</v>
      </c>
      <c r="W82" s="82">
        <f t="shared" si="68"/>
        <v>0</v>
      </c>
      <c r="X82" s="82">
        <f t="shared" si="68"/>
        <v>0</v>
      </c>
      <c r="Y82" s="82">
        <f t="shared" si="68"/>
        <v>0</v>
      </c>
      <c r="Z82" s="82">
        <f t="shared" si="68"/>
        <v>0</v>
      </c>
      <c r="AA82" s="82">
        <f t="shared" si="68"/>
        <v>0</v>
      </c>
      <c r="AB82" s="82">
        <f t="shared" si="68"/>
        <v>0</v>
      </c>
      <c r="AC82" s="82">
        <f t="shared" si="68"/>
        <v>0</v>
      </c>
      <c r="AD82" s="82">
        <f t="shared" si="68"/>
        <v>0</v>
      </c>
      <c r="AE82" s="82">
        <f t="shared" si="68"/>
        <v>0</v>
      </c>
      <c r="AF82" s="82">
        <f t="shared" si="68"/>
        <v>0</v>
      </c>
      <c r="AG82" s="82">
        <f t="shared" si="68"/>
        <v>0</v>
      </c>
      <c r="AH82" s="82">
        <f t="shared" si="68"/>
        <v>0</v>
      </c>
      <c r="AI82" s="82">
        <f t="shared" si="68"/>
        <v>0</v>
      </c>
      <c r="AJ82" s="82">
        <f t="shared" ref="AJ82:BC82" si="69">IF(AJ66=0,IF(AJ58&gt;0,9.99,0),AJ58/AJ66)</f>
        <v>0</v>
      </c>
      <c r="AK82" s="82">
        <f t="shared" si="69"/>
        <v>0</v>
      </c>
      <c r="AL82" s="82">
        <f t="shared" si="69"/>
        <v>0</v>
      </c>
      <c r="AM82" s="82">
        <f t="shared" si="69"/>
        <v>0</v>
      </c>
      <c r="AN82" s="82">
        <f t="shared" si="69"/>
        <v>0</v>
      </c>
      <c r="AO82" s="82">
        <f t="shared" si="69"/>
        <v>0</v>
      </c>
      <c r="AP82" s="82">
        <f t="shared" si="69"/>
        <v>0</v>
      </c>
      <c r="AQ82" s="82">
        <f t="shared" si="69"/>
        <v>0</v>
      </c>
      <c r="AR82" s="82">
        <f t="shared" si="69"/>
        <v>0</v>
      </c>
      <c r="AS82" s="82">
        <f t="shared" si="69"/>
        <v>0</v>
      </c>
      <c r="AT82" s="82">
        <f t="shared" si="69"/>
        <v>0</v>
      </c>
      <c r="AU82" s="82">
        <f t="shared" si="69"/>
        <v>0</v>
      </c>
      <c r="AV82" s="82">
        <f t="shared" si="69"/>
        <v>0</v>
      </c>
      <c r="AW82" s="82">
        <f t="shared" si="69"/>
        <v>0</v>
      </c>
      <c r="AX82" s="82">
        <f t="shared" si="69"/>
        <v>0</v>
      </c>
      <c r="AY82" s="82">
        <f t="shared" si="69"/>
        <v>0</v>
      </c>
      <c r="AZ82" s="82">
        <f t="shared" si="69"/>
        <v>0</v>
      </c>
      <c r="BA82" s="82">
        <f t="shared" si="69"/>
        <v>0</v>
      </c>
      <c r="BB82" s="82">
        <f t="shared" si="69"/>
        <v>0</v>
      </c>
      <c r="BC82" s="82">
        <f t="shared" si="69"/>
        <v>0</v>
      </c>
    </row>
    <row r="83" spans="1:55" hidden="1" outlineLevel="1" x14ac:dyDescent="0.25">
      <c r="A83" s="78" t="s">
        <v>172</v>
      </c>
      <c r="B83" s="81">
        <f t="shared" si="62"/>
        <v>0.1997863247863248</v>
      </c>
      <c r="C83" s="81">
        <f t="shared" si="63"/>
        <v>0.90277777777777779</v>
      </c>
      <c r="D83" s="82">
        <f t="shared" ref="D83:AI83" si="70">IF(D67=0,IF(D59&gt;0,9.99,0),D59/D67)</f>
        <v>0.56944444444444442</v>
      </c>
      <c r="E83" s="82">
        <f t="shared" si="70"/>
        <v>0.79166666666666663</v>
      </c>
      <c r="F83" s="82">
        <f t="shared" si="70"/>
        <v>0.79166666666666663</v>
      </c>
      <c r="G83" s="82">
        <f t="shared" si="70"/>
        <v>0.90277777777777779</v>
      </c>
      <c r="H83" s="82">
        <f t="shared" si="70"/>
        <v>0.66666666666666663</v>
      </c>
      <c r="I83" s="82">
        <f t="shared" si="70"/>
        <v>0.61111111111111116</v>
      </c>
      <c r="J83" s="82">
        <f t="shared" si="70"/>
        <v>0.66666666666666663</v>
      </c>
      <c r="K83" s="82">
        <f t="shared" si="70"/>
        <v>0.66666666666666663</v>
      </c>
      <c r="L83" s="82">
        <f t="shared" si="70"/>
        <v>0.66666666666666663</v>
      </c>
      <c r="M83" s="82">
        <f t="shared" si="70"/>
        <v>0.5</v>
      </c>
      <c r="N83" s="82">
        <f t="shared" si="70"/>
        <v>0.5</v>
      </c>
      <c r="O83" s="82">
        <f t="shared" si="70"/>
        <v>0.22222222222222221</v>
      </c>
      <c r="P83" s="82">
        <f t="shared" si="70"/>
        <v>0.22222222222222221</v>
      </c>
      <c r="Q83" s="82">
        <f t="shared" si="70"/>
        <v>0.22222222222222221</v>
      </c>
      <c r="R83" s="82">
        <f t="shared" si="70"/>
        <v>0.44444444444444442</v>
      </c>
      <c r="S83" s="82">
        <f t="shared" si="70"/>
        <v>0.44444444444444442</v>
      </c>
      <c r="T83" s="82">
        <f t="shared" si="70"/>
        <v>0.44444444444444442</v>
      </c>
      <c r="U83" s="82">
        <f t="shared" si="70"/>
        <v>0.22222222222222221</v>
      </c>
      <c r="V83" s="82">
        <f t="shared" si="70"/>
        <v>0</v>
      </c>
      <c r="W83" s="82">
        <f t="shared" si="70"/>
        <v>0</v>
      </c>
      <c r="X83" s="82">
        <f t="shared" si="70"/>
        <v>0</v>
      </c>
      <c r="Y83" s="82">
        <f t="shared" si="70"/>
        <v>0</v>
      </c>
      <c r="Z83" s="82">
        <f t="shared" si="70"/>
        <v>0</v>
      </c>
      <c r="AA83" s="82">
        <f t="shared" si="70"/>
        <v>0</v>
      </c>
      <c r="AB83" s="82">
        <f t="shared" si="70"/>
        <v>0</v>
      </c>
      <c r="AC83" s="82">
        <f t="shared" si="70"/>
        <v>0</v>
      </c>
      <c r="AD83" s="82">
        <f t="shared" si="70"/>
        <v>0</v>
      </c>
      <c r="AE83" s="82">
        <f t="shared" si="70"/>
        <v>0</v>
      </c>
      <c r="AF83" s="82">
        <f t="shared" si="70"/>
        <v>0</v>
      </c>
      <c r="AG83" s="82">
        <f t="shared" si="70"/>
        <v>0</v>
      </c>
      <c r="AH83" s="82">
        <f t="shared" si="70"/>
        <v>0.27777777777777779</v>
      </c>
      <c r="AI83" s="82">
        <f t="shared" si="70"/>
        <v>0.27777777777777779</v>
      </c>
      <c r="AJ83" s="82">
        <f t="shared" ref="AJ83:BC83" si="71">IF(AJ67=0,IF(AJ59&gt;0,9.99,0),AJ59/AJ67)</f>
        <v>0.27777777777777779</v>
      </c>
      <c r="AK83" s="82">
        <f t="shared" si="71"/>
        <v>0</v>
      </c>
      <c r="AL83" s="82">
        <f t="shared" si="71"/>
        <v>0</v>
      </c>
      <c r="AM83" s="82">
        <f t="shared" si="71"/>
        <v>0</v>
      </c>
      <c r="AN83" s="82">
        <f t="shared" si="71"/>
        <v>0</v>
      </c>
      <c r="AO83" s="82">
        <f t="shared" si="71"/>
        <v>0</v>
      </c>
      <c r="AP83" s="82">
        <f t="shared" si="71"/>
        <v>0</v>
      </c>
      <c r="AQ83" s="82">
        <f t="shared" si="71"/>
        <v>0</v>
      </c>
      <c r="AR83" s="82">
        <f t="shared" si="71"/>
        <v>0</v>
      </c>
      <c r="AS83" s="82">
        <f t="shared" si="71"/>
        <v>0</v>
      </c>
      <c r="AT83" s="82">
        <f t="shared" si="71"/>
        <v>0</v>
      </c>
      <c r="AU83" s="82">
        <f t="shared" si="71"/>
        <v>0</v>
      </c>
      <c r="AV83" s="82">
        <f t="shared" si="71"/>
        <v>0</v>
      </c>
      <c r="AW83" s="82">
        <f t="shared" si="71"/>
        <v>0</v>
      </c>
      <c r="AX83" s="82">
        <f t="shared" si="71"/>
        <v>0</v>
      </c>
      <c r="AY83" s="82">
        <f t="shared" si="71"/>
        <v>0</v>
      </c>
      <c r="AZ83" s="82">
        <f t="shared" si="71"/>
        <v>0</v>
      </c>
      <c r="BA83" s="82">
        <f t="shared" si="71"/>
        <v>0</v>
      </c>
      <c r="BB83" s="82">
        <f t="shared" si="71"/>
        <v>0</v>
      </c>
      <c r="BC83" s="82">
        <f t="shared" si="71"/>
        <v>0</v>
      </c>
    </row>
    <row r="84" spans="1:55" hidden="1" outlineLevel="1" x14ac:dyDescent="0.25">
      <c r="A84" s="78" t="s">
        <v>27</v>
      </c>
      <c r="B84" s="81">
        <f t="shared" si="62"/>
        <v>0.42200854700854701</v>
      </c>
      <c r="C84" s="81">
        <f t="shared" si="63"/>
        <v>1.6666666666666667</v>
      </c>
      <c r="D84" s="82">
        <f t="shared" ref="D84:AI84" si="72">IF(D68=0,IF(D60&gt;0,9.99,0),D60/D68)</f>
        <v>1.0555555555555556</v>
      </c>
      <c r="E84" s="82">
        <f t="shared" si="72"/>
        <v>1.0555555555555556</v>
      </c>
      <c r="F84" s="82">
        <f t="shared" si="72"/>
        <v>1.2777777777777777</v>
      </c>
      <c r="G84" s="82">
        <f t="shared" si="72"/>
        <v>1.2777777777777777</v>
      </c>
      <c r="H84" s="82">
        <f t="shared" si="72"/>
        <v>1.0555555555555556</v>
      </c>
      <c r="I84" s="82">
        <f t="shared" si="72"/>
        <v>1.0555555555555556</v>
      </c>
      <c r="J84" s="82">
        <f t="shared" si="72"/>
        <v>1.0555555555555556</v>
      </c>
      <c r="K84" s="82">
        <f t="shared" si="72"/>
        <v>1.5555555555555556</v>
      </c>
      <c r="L84" s="82">
        <f t="shared" si="72"/>
        <v>1.5555555555555556</v>
      </c>
      <c r="M84" s="82">
        <f t="shared" si="72"/>
        <v>1.1111111111111112</v>
      </c>
      <c r="N84" s="82">
        <f t="shared" si="72"/>
        <v>1.1111111111111112</v>
      </c>
      <c r="O84" s="82">
        <f t="shared" si="72"/>
        <v>1.2222222222222223</v>
      </c>
      <c r="P84" s="82">
        <f t="shared" si="72"/>
        <v>1.1111111111111112</v>
      </c>
      <c r="Q84" s="82">
        <f t="shared" si="72"/>
        <v>1.1111111111111112</v>
      </c>
      <c r="R84" s="82">
        <f t="shared" si="72"/>
        <v>1.3333333333333333</v>
      </c>
      <c r="S84" s="82">
        <f t="shared" si="72"/>
        <v>1.6666666666666667</v>
      </c>
      <c r="T84" s="82">
        <f t="shared" si="72"/>
        <v>1.6666666666666667</v>
      </c>
      <c r="U84" s="82">
        <f t="shared" si="72"/>
        <v>0.55555555555555558</v>
      </c>
      <c r="V84" s="82">
        <f t="shared" si="72"/>
        <v>0</v>
      </c>
      <c r="W84" s="82">
        <f t="shared" si="72"/>
        <v>0</v>
      </c>
      <c r="X84" s="82">
        <f t="shared" si="72"/>
        <v>0</v>
      </c>
      <c r="Y84" s="82">
        <f t="shared" si="72"/>
        <v>0</v>
      </c>
      <c r="Z84" s="82">
        <f t="shared" si="72"/>
        <v>0</v>
      </c>
      <c r="AA84" s="82">
        <f t="shared" si="72"/>
        <v>0</v>
      </c>
      <c r="AB84" s="82">
        <f t="shared" si="72"/>
        <v>0</v>
      </c>
      <c r="AC84" s="82">
        <f t="shared" si="72"/>
        <v>0</v>
      </c>
      <c r="AD84" s="82">
        <f t="shared" si="72"/>
        <v>0</v>
      </c>
      <c r="AE84" s="82">
        <f t="shared" si="72"/>
        <v>0</v>
      </c>
      <c r="AF84" s="82">
        <f t="shared" si="72"/>
        <v>0</v>
      </c>
      <c r="AG84" s="82">
        <f t="shared" si="72"/>
        <v>0</v>
      </c>
      <c r="AH84" s="82">
        <f t="shared" si="72"/>
        <v>0.1111111111111111</v>
      </c>
      <c r="AI84" s="82">
        <f t="shared" si="72"/>
        <v>0</v>
      </c>
      <c r="AJ84" s="82">
        <f t="shared" ref="AJ84:BC84" si="73">IF(AJ68=0,IF(AJ60&gt;0,9.99,0),AJ60/AJ68)</f>
        <v>0</v>
      </c>
      <c r="AK84" s="82">
        <f t="shared" si="73"/>
        <v>0</v>
      </c>
      <c r="AL84" s="82">
        <f t="shared" si="73"/>
        <v>0</v>
      </c>
      <c r="AM84" s="82">
        <f t="shared" si="73"/>
        <v>0</v>
      </c>
      <c r="AN84" s="82">
        <f t="shared" si="73"/>
        <v>0</v>
      </c>
      <c r="AO84" s="82">
        <f t="shared" si="73"/>
        <v>0</v>
      </c>
      <c r="AP84" s="82">
        <f t="shared" si="73"/>
        <v>0</v>
      </c>
      <c r="AQ84" s="82">
        <f t="shared" si="73"/>
        <v>0</v>
      </c>
      <c r="AR84" s="82">
        <f t="shared" si="73"/>
        <v>0</v>
      </c>
      <c r="AS84" s="82">
        <f t="shared" si="73"/>
        <v>0</v>
      </c>
      <c r="AT84" s="82">
        <f t="shared" si="73"/>
        <v>0</v>
      </c>
      <c r="AU84" s="82">
        <f t="shared" si="73"/>
        <v>0</v>
      </c>
      <c r="AV84" s="82">
        <f t="shared" si="73"/>
        <v>0</v>
      </c>
      <c r="AW84" s="82">
        <f t="shared" si="73"/>
        <v>0</v>
      </c>
      <c r="AX84" s="82">
        <f t="shared" si="73"/>
        <v>0</v>
      </c>
      <c r="AY84" s="82">
        <f t="shared" si="73"/>
        <v>0</v>
      </c>
      <c r="AZ84" s="82">
        <f t="shared" si="73"/>
        <v>0</v>
      </c>
      <c r="BA84" s="82">
        <f t="shared" si="73"/>
        <v>0</v>
      </c>
      <c r="BB84" s="82">
        <f t="shared" si="73"/>
        <v>0</v>
      </c>
      <c r="BC84" s="82">
        <f t="shared" si="73"/>
        <v>0</v>
      </c>
    </row>
    <row r="85" spans="1:55" hidden="1" outlineLevel="1" x14ac:dyDescent="0.25">
      <c r="A85" s="79" t="s">
        <v>59</v>
      </c>
      <c r="B85" s="83">
        <f t="shared" si="62"/>
        <v>0.30353650586701436</v>
      </c>
      <c r="C85" s="83">
        <f t="shared" si="63"/>
        <v>1.2033898305084745</v>
      </c>
      <c r="D85" s="84">
        <f t="shared" ref="D85:AI85" si="74">IF(D69=0,IF(D61&gt;0,9.99,0),D61/D69)</f>
        <v>0.97881355932203384</v>
      </c>
      <c r="E85" s="84">
        <f t="shared" si="74"/>
        <v>1.097457627118644</v>
      </c>
      <c r="F85" s="84">
        <f t="shared" si="74"/>
        <v>1.1016949152542372</v>
      </c>
      <c r="G85" s="84">
        <f t="shared" si="74"/>
        <v>1.2033898305084745</v>
      </c>
      <c r="H85" s="84">
        <f t="shared" si="74"/>
        <v>0.97881355932203384</v>
      </c>
      <c r="I85" s="84">
        <f t="shared" si="74"/>
        <v>0.89406779661016944</v>
      </c>
      <c r="J85" s="84">
        <f t="shared" si="74"/>
        <v>0.80932203389830504</v>
      </c>
      <c r="K85" s="84">
        <f t="shared" si="74"/>
        <v>0.90254237288135597</v>
      </c>
      <c r="L85" s="84">
        <f t="shared" si="74"/>
        <v>0.89830508474576276</v>
      </c>
      <c r="M85" s="84">
        <f t="shared" si="74"/>
        <v>0.64830508474576276</v>
      </c>
      <c r="N85" s="84">
        <f t="shared" si="74"/>
        <v>0.64830508474576276</v>
      </c>
      <c r="O85" s="84">
        <f t="shared" si="74"/>
        <v>0.52966101694915257</v>
      </c>
      <c r="P85" s="84">
        <f t="shared" si="74"/>
        <v>0.51271186440677963</v>
      </c>
      <c r="Q85" s="84">
        <f t="shared" si="74"/>
        <v>0.51271186440677963</v>
      </c>
      <c r="R85" s="84">
        <f t="shared" si="74"/>
        <v>0.67796610169491522</v>
      </c>
      <c r="S85" s="84">
        <f t="shared" si="74"/>
        <v>0.67796610169491522</v>
      </c>
      <c r="T85" s="84">
        <f t="shared" si="74"/>
        <v>0.72881355932203384</v>
      </c>
      <c r="U85" s="84">
        <f t="shared" si="74"/>
        <v>0.32203389830508472</v>
      </c>
      <c r="V85" s="84">
        <f t="shared" si="74"/>
        <v>0.13983050847457626</v>
      </c>
      <c r="W85" s="84">
        <f t="shared" si="74"/>
        <v>0.15677966101694915</v>
      </c>
      <c r="X85" s="84">
        <f t="shared" si="74"/>
        <v>0.17372881355932204</v>
      </c>
      <c r="Y85" s="84">
        <f t="shared" si="74"/>
        <v>0.17372881355932204</v>
      </c>
      <c r="Z85" s="84">
        <f t="shared" si="74"/>
        <v>0.15677966101694915</v>
      </c>
      <c r="AA85" s="84">
        <f t="shared" si="74"/>
        <v>2.1186440677966101E-2</v>
      </c>
      <c r="AB85" s="84">
        <f t="shared" si="74"/>
        <v>4.2372881355932203E-3</v>
      </c>
      <c r="AC85" s="84">
        <f t="shared" si="74"/>
        <v>4.2372881355932203E-3</v>
      </c>
      <c r="AD85" s="84">
        <f t="shared" si="74"/>
        <v>2.9661016949152543E-2</v>
      </c>
      <c r="AE85" s="84">
        <f t="shared" si="74"/>
        <v>2.9661016949152543E-2</v>
      </c>
      <c r="AF85" s="84">
        <f t="shared" si="74"/>
        <v>2.9661016949152543E-2</v>
      </c>
      <c r="AG85" s="84">
        <f t="shared" si="74"/>
        <v>2.9661016949152543E-2</v>
      </c>
      <c r="AH85" s="84">
        <f t="shared" si="74"/>
        <v>0.19491525423728814</v>
      </c>
      <c r="AI85" s="84">
        <f t="shared" si="74"/>
        <v>0.17796610169491525</v>
      </c>
      <c r="AJ85" s="84">
        <f t="shared" ref="AJ85:BC85" si="75">IF(AJ69=0,IF(AJ61&gt;0,9.99,0),AJ61/AJ69)</f>
        <v>0.17796610169491525</v>
      </c>
      <c r="AK85" s="84">
        <f t="shared" si="75"/>
        <v>2.5423728813559324E-2</v>
      </c>
      <c r="AL85" s="84">
        <f t="shared" si="75"/>
        <v>2.5423728813559324E-2</v>
      </c>
      <c r="AM85" s="84">
        <f t="shared" si="75"/>
        <v>2.5423728813559324E-2</v>
      </c>
      <c r="AN85" s="84">
        <f t="shared" si="75"/>
        <v>2.5423728813559324E-2</v>
      </c>
      <c r="AO85" s="84">
        <f t="shared" si="75"/>
        <v>2.5423728813559324E-2</v>
      </c>
      <c r="AP85" s="84">
        <f t="shared" si="75"/>
        <v>2.5423728813559324E-2</v>
      </c>
      <c r="AQ85" s="84">
        <f t="shared" si="75"/>
        <v>8.4745762711864406E-3</v>
      </c>
      <c r="AR85" s="84">
        <f t="shared" si="75"/>
        <v>0</v>
      </c>
      <c r="AS85" s="84">
        <f t="shared" si="75"/>
        <v>0</v>
      </c>
      <c r="AT85" s="84">
        <f t="shared" si="75"/>
        <v>0</v>
      </c>
      <c r="AU85" s="84">
        <f t="shared" si="75"/>
        <v>0</v>
      </c>
      <c r="AV85" s="84">
        <f t="shared" si="75"/>
        <v>0</v>
      </c>
      <c r="AW85" s="84">
        <f t="shared" si="75"/>
        <v>0</v>
      </c>
      <c r="AX85" s="84">
        <f t="shared" si="75"/>
        <v>0</v>
      </c>
      <c r="AY85" s="84">
        <f t="shared" si="75"/>
        <v>0</v>
      </c>
      <c r="AZ85" s="84">
        <f t="shared" si="75"/>
        <v>0</v>
      </c>
      <c r="BA85" s="84">
        <f t="shared" si="75"/>
        <v>0</v>
      </c>
      <c r="BB85" s="84">
        <f t="shared" si="75"/>
        <v>0</v>
      </c>
      <c r="BC85" s="84">
        <f t="shared" si="75"/>
        <v>0</v>
      </c>
    </row>
    <row r="86" spans="1:55" hidden="1" outlineLevel="1" x14ac:dyDescent="0.25">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row>
    <row r="87" spans="1:55" hidden="1" outlineLevel="1" x14ac:dyDescent="0.25">
      <c r="A87" s="24" t="s">
        <v>55</v>
      </c>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row>
    <row r="88" spans="1:55" hidden="1" outlineLevel="1" x14ac:dyDescent="0.25">
      <c r="A88" s="78" t="s">
        <v>24</v>
      </c>
      <c r="B88" s="85">
        <f t="shared" ref="B88:B93" si="76">AVERAGE(D88:BC88)</f>
        <v>-1.2961538461538458</v>
      </c>
      <c r="C88" s="85">
        <f t="shared" ref="C88:C93" si="77">MAX(D88:BC88)</f>
        <v>1.1666666666666667</v>
      </c>
      <c r="D88" s="86">
        <f>IF(Assumptions!$D$15*Assumptions!$E$15=0,0,(D56-D64)/(Assumptions!$D$15*Assumptions!$E$15))</f>
        <v>0.73333333333333328</v>
      </c>
      <c r="E88" s="86">
        <f>IF(Assumptions!$D$15*Assumptions!$E$15=0,0,(E56-E64)/(Assumptions!$D$15*Assumptions!$E$15))</f>
        <v>0.8666666666666667</v>
      </c>
      <c r="F88" s="86">
        <f>IF(Assumptions!$D$15*Assumptions!$E$15=0,0,(F56-F64)/(Assumptions!$D$15*Assumptions!$E$15))</f>
        <v>0.6333333333333333</v>
      </c>
      <c r="G88" s="86">
        <f>IF(Assumptions!$D$15*Assumptions!$E$15=0,0,(G56-G64)/(Assumptions!$D$15*Assumptions!$E$15))</f>
        <v>1.1666666666666667</v>
      </c>
      <c r="H88" s="86">
        <f>IF(Assumptions!$D$15*Assumptions!$E$15=0,0,(H56-H64)/(Assumptions!$D$15*Assumptions!$E$15))</f>
        <v>0.6333333333333333</v>
      </c>
      <c r="I88" s="86">
        <f>IF(Assumptions!$D$15*Assumptions!$E$15=0,0,(I56-I64)/(Assumptions!$D$15*Assumptions!$E$15))</f>
        <v>0.1</v>
      </c>
      <c r="J88" s="86">
        <f>IF(Assumptions!$D$15*Assumptions!$E$15=0,0,(J56-J64)/(Assumptions!$D$15*Assumptions!$E$15))</f>
        <v>-0.16666666666666666</v>
      </c>
      <c r="K88" s="86">
        <f>IF(Assumptions!$D$15*Assumptions!$E$15=0,0,(K56-K64)/(Assumptions!$D$15*Assumptions!$E$15))</f>
        <v>-0.16666666666666666</v>
      </c>
      <c r="L88" s="86">
        <f>IF(Assumptions!$D$15*Assumptions!$E$15=0,0,(L56-L64)/(Assumptions!$D$15*Assumptions!$E$15))</f>
        <v>-0.2</v>
      </c>
      <c r="M88" s="86">
        <f>IF(Assumptions!$D$15*Assumptions!$E$15=0,0,(M56-M64)/(Assumptions!$D$15*Assumptions!$E$15))</f>
        <v>-0.73333333333333328</v>
      </c>
      <c r="N88" s="86">
        <f>IF(Assumptions!$D$15*Assumptions!$E$15=0,0,(N56-N64)/(Assumptions!$D$15*Assumptions!$E$15))</f>
        <v>-0.73333333333333328</v>
      </c>
      <c r="O88" s="86">
        <f>IF(Assumptions!$D$15*Assumptions!$E$15=0,0,(O56-O64)/(Assumptions!$D$15*Assumptions!$E$15))</f>
        <v>-0.8666666666666667</v>
      </c>
      <c r="P88" s="86">
        <f>IF(Assumptions!$D$15*Assumptions!$E$15=0,0,(P56-P64)/(Assumptions!$D$15*Assumptions!$E$15))</f>
        <v>-0.8666666666666667</v>
      </c>
      <c r="Q88" s="86">
        <f>IF(Assumptions!$D$15*Assumptions!$E$15=0,0,(Q56-Q64)/(Assumptions!$D$15*Assumptions!$E$15))</f>
        <v>-0.8666666666666667</v>
      </c>
      <c r="R88" s="86">
        <f>IF(Assumptions!$D$15*Assumptions!$E$15=0,0,(R56-R64)/(Assumptions!$D$15*Assumptions!$E$15))</f>
        <v>-0.8666666666666667</v>
      </c>
      <c r="S88" s="86">
        <f>IF(Assumptions!$D$15*Assumptions!$E$15=0,0,(S56-S64)/(Assumptions!$D$15*Assumptions!$E$15))</f>
        <v>-1.2</v>
      </c>
      <c r="T88" s="86">
        <f>IF(Assumptions!$D$15*Assumptions!$E$15=0,0,(T56-T64)/(Assumptions!$D$15*Assumptions!$E$15))</f>
        <v>-1.0666666666666667</v>
      </c>
      <c r="U88" s="86">
        <f>IF(Assumptions!$D$15*Assumptions!$E$15=0,0,(U56-U64)/(Assumptions!$D$15*Assumptions!$E$15))</f>
        <v>-1.4666666666666666</v>
      </c>
      <c r="V88" s="86">
        <f>IF(Assumptions!$D$15*Assumptions!$E$15=0,0,(V56-V64)/(Assumptions!$D$15*Assumptions!$E$15))</f>
        <v>-1.2</v>
      </c>
      <c r="W88" s="86">
        <f>IF(Assumptions!$D$15*Assumptions!$E$15=0,0,(W56-W64)/(Assumptions!$D$15*Assumptions!$E$15))</f>
        <v>-1.0666666666666667</v>
      </c>
      <c r="X88" s="86">
        <f>IF(Assumptions!$D$15*Assumptions!$E$15=0,0,(X56-X64)/(Assumptions!$D$15*Assumptions!$E$15))</f>
        <v>-0.93333333333333335</v>
      </c>
      <c r="Y88" s="86">
        <f>IF(Assumptions!$D$15*Assumptions!$E$15=0,0,(Y56-Y64)/(Assumptions!$D$15*Assumptions!$E$15))</f>
        <v>-0.93333333333333335</v>
      </c>
      <c r="Z88" s="86">
        <f>IF(Assumptions!$D$15*Assumptions!$E$15=0,0,(Z56-Z64)/(Assumptions!$D$15*Assumptions!$E$15))</f>
        <v>-1.0666666666666667</v>
      </c>
      <c r="AA88" s="86">
        <f>IF(Assumptions!$D$15*Assumptions!$E$15=0,0,(AA56-AA64)/(Assumptions!$D$15*Assumptions!$E$15))</f>
        <v>-2</v>
      </c>
      <c r="AB88" s="86">
        <f>IF(Assumptions!$D$15*Assumptions!$E$15=0,0,(AB56-AB64)/(Assumptions!$D$15*Assumptions!$E$15))</f>
        <v>-2</v>
      </c>
      <c r="AC88" s="86">
        <f>IF(Assumptions!$D$15*Assumptions!$E$15=0,0,(AC56-AC64)/(Assumptions!$D$15*Assumptions!$E$15))</f>
        <v>-2</v>
      </c>
      <c r="AD88" s="86">
        <f>IF(Assumptions!$D$15*Assumptions!$E$15=0,0,(AD56-AD64)/(Assumptions!$D$15*Assumptions!$E$15))</f>
        <v>-1.9333333333333333</v>
      </c>
      <c r="AE88" s="86">
        <f>IF(Assumptions!$D$15*Assumptions!$E$15=0,0,(AE56-AE64)/(Assumptions!$D$15*Assumptions!$E$15))</f>
        <v>-1.9333333333333333</v>
      </c>
      <c r="AF88" s="86">
        <f>IF(Assumptions!$D$15*Assumptions!$E$15=0,0,(AF56-AF64)/(Assumptions!$D$15*Assumptions!$E$15))</f>
        <v>-1.9333333333333333</v>
      </c>
      <c r="AG88" s="86">
        <f>IF(Assumptions!$D$15*Assumptions!$E$15=0,0,(AG56-AG64)/(Assumptions!$D$15*Assumptions!$E$15))</f>
        <v>-1.9333333333333333</v>
      </c>
      <c r="AH88" s="86">
        <f>IF(Assumptions!$D$15*Assumptions!$E$15=0,0,(AH56-AH64)/(Assumptions!$D$15*Assumptions!$E$15))</f>
        <v>-1.9333333333333333</v>
      </c>
      <c r="AI88" s="86">
        <f>IF(Assumptions!$D$15*Assumptions!$E$15=0,0,(AI56-AI64)/(Assumptions!$D$15*Assumptions!$E$15))</f>
        <v>-1.9333333333333333</v>
      </c>
      <c r="AJ88" s="86">
        <f>IF(Assumptions!$D$15*Assumptions!$E$15=0,0,(AJ56-AJ64)/(Assumptions!$D$15*Assumptions!$E$15))</f>
        <v>-1.9333333333333333</v>
      </c>
      <c r="AK88" s="86">
        <f>IF(Assumptions!$D$15*Assumptions!$E$15=0,0,(AK56-AK64)/(Assumptions!$D$15*Assumptions!$E$15))</f>
        <v>-1.9333333333333333</v>
      </c>
      <c r="AL88" s="86">
        <f>IF(Assumptions!$D$15*Assumptions!$E$15=0,0,(AL56-AL64)/(Assumptions!$D$15*Assumptions!$E$15))</f>
        <v>-1.9333333333333333</v>
      </c>
      <c r="AM88" s="86">
        <f>IF(Assumptions!$D$15*Assumptions!$E$15=0,0,(AM56-AM64)/(Assumptions!$D$15*Assumptions!$E$15))</f>
        <v>-1.9333333333333333</v>
      </c>
      <c r="AN88" s="86">
        <f>IF(Assumptions!$D$15*Assumptions!$E$15=0,0,(AN56-AN64)/(Assumptions!$D$15*Assumptions!$E$15))</f>
        <v>-1.9333333333333333</v>
      </c>
      <c r="AO88" s="86">
        <f>IF(Assumptions!$D$15*Assumptions!$E$15=0,0,(AO56-AO64)/(Assumptions!$D$15*Assumptions!$E$15))</f>
        <v>-1.9333333333333333</v>
      </c>
      <c r="AP88" s="86">
        <f>IF(Assumptions!$D$15*Assumptions!$E$15=0,0,(AP56-AP64)/(Assumptions!$D$15*Assumptions!$E$15))</f>
        <v>-1.9333333333333333</v>
      </c>
      <c r="AQ88" s="86">
        <f>IF(Assumptions!$D$15*Assumptions!$E$15=0,0,(AQ56-AQ64)/(Assumptions!$D$15*Assumptions!$E$15))</f>
        <v>-2</v>
      </c>
      <c r="AR88" s="86">
        <f>IF(Assumptions!$D$15*Assumptions!$E$15=0,0,(AR56-AR64)/(Assumptions!$D$15*Assumptions!$E$15))</f>
        <v>-2</v>
      </c>
      <c r="AS88" s="86">
        <f>IF(Assumptions!$D$15*Assumptions!$E$15=0,0,(AS56-AS64)/(Assumptions!$D$15*Assumptions!$E$15))</f>
        <v>-2</v>
      </c>
      <c r="AT88" s="86">
        <f>IF(Assumptions!$D$15*Assumptions!$E$15=0,0,(AT56-AT64)/(Assumptions!$D$15*Assumptions!$E$15))</f>
        <v>-2</v>
      </c>
      <c r="AU88" s="86">
        <f>IF(Assumptions!$D$15*Assumptions!$E$15=0,0,(AU56-AU64)/(Assumptions!$D$15*Assumptions!$E$15))</f>
        <v>-2</v>
      </c>
      <c r="AV88" s="86">
        <f>IF(Assumptions!$D$15*Assumptions!$E$15=0,0,(AV56-AV64)/(Assumptions!$D$15*Assumptions!$E$15))</f>
        <v>-2</v>
      </c>
      <c r="AW88" s="86">
        <f>IF(Assumptions!$D$15*Assumptions!$E$15=0,0,(AW56-AW64)/(Assumptions!$D$15*Assumptions!$E$15))</f>
        <v>-2</v>
      </c>
      <c r="AX88" s="86">
        <f>IF(Assumptions!$D$15*Assumptions!$E$15=0,0,(AX56-AX64)/(Assumptions!$D$15*Assumptions!$E$15))</f>
        <v>-2</v>
      </c>
      <c r="AY88" s="86">
        <f>IF(Assumptions!$D$15*Assumptions!$E$15=0,0,(AY56-AY64)/(Assumptions!$D$15*Assumptions!$E$15))</f>
        <v>-2</v>
      </c>
      <c r="AZ88" s="86">
        <f>IF(Assumptions!$D$15*Assumptions!$E$15=0,0,(AZ56-AZ64)/(Assumptions!$D$15*Assumptions!$E$15))</f>
        <v>-2</v>
      </c>
      <c r="BA88" s="86">
        <f>IF(Assumptions!$D$15*Assumptions!$E$15=0,0,(BA56-BA64)/(Assumptions!$D$15*Assumptions!$E$15))</f>
        <v>-2</v>
      </c>
      <c r="BB88" s="86">
        <f>IF(Assumptions!$D$15*Assumptions!$E$15=0,0,(BB56-BB64)/(Assumptions!$D$15*Assumptions!$E$15))</f>
        <v>-2</v>
      </c>
      <c r="BC88" s="86">
        <f>IF(Assumptions!$D$15*Assumptions!$E$15=0,0,(BC56-BC64)/(Assumptions!$D$15*Assumptions!$E$15))</f>
        <v>-2</v>
      </c>
    </row>
    <row r="89" spans="1:55" hidden="1" outlineLevel="1" x14ac:dyDescent="0.25">
      <c r="A89" s="78" t="s">
        <v>25</v>
      </c>
      <c r="B89" s="85">
        <f t="shared" si="76"/>
        <v>-0.62920673076923073</v>
      </c>
      <c r="C89" s="85">
        <f t="shared" si="77"/>
        <v>0.1875</v>
      </c>
      <c r="D89" s="86">
        <f>IF(Assumptions!$D$16*Assumptions!$E$16=0,0,(D57-D65)/(Assumptions!$D$16*Assumptions!$E$16))</f>
        <v>-0.4375</v>
      </c>
      <c r="E89" s="86">
        <f>IF(Assumptions!$D$16*Assumptions!$E$16=0,0,(E57-E65)/(Assumptions!$D$16*Assumptions!$E$16))</f>
        <v>-0.1875</v>
      </c>
      <c r="F89" s="86">
        <f>IF(Assumptions!$D$16*Assumptions!$E$16=0,0,(F57-F65)/(Assumptions!$D$16*Assumptions!$E$16))</f>
        <v>-0.1875</v>
      </c>
      <c r="G89" s="86">
        <f>IF(Assumptions!$D$16*Assumptions!$E$16=0,0,(G57-G65)/(Assumptions!$D$16*Assumptions!$E$16))</f>
        <v>-0.1875</v>
      </c>
      <c r="H89" s="86">
        <f>IF(Assumptions!$D$16*Assumptions!$E$16=0,0,(H57-H65)/(Assumptions!$D$16*Assumptions!$E$16))</f>
        <v>-0.1875</v>
      </c>
      <c r="I89" s="86">
        <f>IF(Assumptions!$D$16*Assumptions!$E$16=0,0,(I57-I65)/(Assumptions!$D$16*Assumptions!$E$16))</f>
        <v>-0.1875</v>
      </c>
      <c r="J89" s="86">
        <f>IF(Assumptions!$D$16*Assumptions!$E$16=0,0,(J57-J65)/(Assumptions!$D$16*Assumptions!$E$16))</f>
        <v>-0.1875</v>
      </c>
      <c r="K89" s="86">
        <f>IF(Assumptions!$D$16*Assumptions!$E$16=0,0,(K57-K65)/(Assumptions!$D$16*Assumptions!$E$16))</f>
        <v>0.1875</v>
      </c>
      <c r="L89" s="86">
        <f>IF(Assumptions!$D$16*Assumptions!$E$16=0,0,(L57-L65)/(Assumptions!$D$16*Assumptions!$E$16))</f>
        <v>0.1875</v>
      </c>
      <c r="M89" s="86">
        <f>IF(Assumptions!$D$16*Assumptions!$E$16=0,0,(M57-M65)/(Assumptions!$D$16*Assumptions!$E$16))</f>
        <v>-0.28125</v>
      </c>
      <c r="N89" s="86">
        <f>IF(Assumptions!$D$16*Assumptions!$E$16=0,0,(N57-N65)/(Assumptions!$D$16*Assumptions!$E$16))</f>
        <v>-0.28125</v>
      </c>
      <c r="O89" s="86">
        <f>IF(Assumptions!$D$16*Assumptions!$E$16=0,0,(O57-O65)/(Assumptions!$D$16*Assumptions!$E$16))</f>
        <v>-0.53125</v>
      </c>
      <c r="P89" s="86">
        <f>IF(Assumptions!$D$16*Assumptions!$E$16=0,0,(P57-P65)/(Assumptions!$D$16*Assumptions!$E$16))</f>
        <v>-0.53125</v>
      </c>
      <c r="Q89" s="86">
        <f>IF(Assumptions!$D$16*Assumptions!$E$16=0,0,(Q57-Q65)/(Assumptions!$D$16*Assumptions!$E$16))</f>
        <v>-0.53125</v>
      </c>
      <c r="R89" s="86">
        <f>IF(Assumptions!$D$16*Assumptions!$E$16=0,0,(R57-R65)/(Assumptions!$D$16*Assumptions!$E$16))</f>
        <v>-6.25E-2</v>
      </c>
      <c r="S89" s="86">
        <f>IF(Assumptions!$D$16*Assumptions!$E$16=0,0,(S57-S65)/(Assumptions!$D$16*Assumptions!$E$16))</f>
        <v>-0.125</v>
      </c>
      <c r="T89" s="86">
        <f>IF(Assumptions!$D$16*Assumptions!$E$16=0,0,(T57-T65)/(Assumptions!$D$16*Assumptions!$E$16))</f>
        <v>0.125</v>
      </c>
      <c r="U89" s="86">
        <f>IF(Assumptions!$D$16*Assumptions!$E$16=0,0,(U57-U65)/(Assumptions!$D$16*Assumptions!$E$16))</f>
        <v>-0.25</v>
      </c>
      <c r="V89" s="86">
        <f>IF(Assumptions!$D$16*Assumptions!$E$16=0,0,(V57-V65)/(Assumptions!$D$16*Assumptions!$E$16))</f>
        <v>-0.71875</v>
      </c>
      <c r="W89" s="86">
        <f>IF(Assumptions!$D$16*Assumptions!$E$16=0,0,(W57-W65)/(Assumptions!$D$16*Assumptions!$E$16))</f>
        <v>-0.71875</v>
      </c>
      <c r="X89" s="86">
        <f>IF(Assumptions!$D$16*Assumptions!$E$16=0,0,(X57-X65)/(Assumptions!$D$16*Assumptions!$E$16))</f>
        <v>-0.71875</v>
      </c>
      <c r="Y89" s="86">
        <f>IF(Assumptions!$D$16*Assumptions!$E$16=0,0,(Y57-Y65)/(Assumptions!$D$16*Assumptions!$E$16))</f>
        <v>-0.71875</v>
      </c>
      <c r="Z89" s="86">
        <f>IF(Assumptions!$D$16*Assumptions!$E$16=0,0,(Z57-Z65)/(Assumptions!$D$16*Assumptions!$E$16))</f>
        <v>-0.71875</v>
      </c>
      <c r="AA89" s="86">
        <f>IF(Assumptions!$D$16*Assumptions!$E$16=0,0,(AA57-AA65)/(Assumptions!$D$16*Assumptions!$E$16))</f>
        <v>-0.84375</v>
      </c>
      <c r="AB89" s="86">
        <f>IF(Assumptions!$D$16*Assumptions!$E$16=0,0,(AB57-AB65)/(Assumptions!$D$16*Assumptions!$E$16))</f>
        <v>-0.96875</v>
      </c>
      <c r="AC89" s="86">
        <f>IF(Assumptions!$D$16*Assumptions!$E$16=0,0,(AC57-AC65)/(Assumptions!$D$16*Assumptions!$E$16))</f>
        <v>-0.96875</v>
      </c>
      <c r="AD89" s="86">
        <f>IF(Assumptions!$D$16*Assumptions!$E$16=0,0,(AD57-AD65)/(Assumptions!$D$16*Assumptions!$E$16))</f>
        <v>-0.84375</v>
      </c>
      <c r="AE89" s="86">
        <f>IF(Assumptions!$D$16*Assumptions!$E$16=0,0,(AE57-AE65)/(Assumptions!$D$16*Assumptions!$E$16))</f>
        <v>-0.84375</v>
      </c>
      <c r="AF89" s="86">
        <f>IF(Assumptions!$D$16*Assumptions!$E$16=0,0,(AF57-AF65)/(Assumptions!$D$16*Assumptions!$E$16))</f>
        <v>-0.84375</v>
      </c>
      <c r="AG89" s="86">
        <f>IF(Assumptions!$D$16*Assumptions!$E$16=0,0,(AG57-AG65)/(Assumptions!$D$16*Assumptions!$E$16))</f>
        <v>-0.84375</v>
      </c>
      <c r="AH89" s="86">
        <f>IF(Assumptions!$D$16*Assumptions!$E$16=0,0,(AH57-AH65)/(Assumptions!$D$16*Assumptions!$E$16))</f>
        <v>-0.375</v>
      </c>
      <c r="AI89" s="86">
        <f>IF(Assumptions!$D$16*Assumptions!$E$16=0,0,(AI57-AI65)/(Assumptions!$D$16*Assumptions!$E$16))</f>
        <v>-0.375</v>
      </c>
      <c r="AJ89" s="86">
        <f>IF(Assumptions!$D$16*Assumptions!$E$16=0,0,(AJ57-AJ65)/(Assumptions!$D$16*Assumptions!$E$16))</f>
        <v>-0.375</v>
      </c>
      <c r="AK89" s="86">
        <f>IF(Assumptions!$D$16*Assumptions!$E$16=0,0,(AK57-AK65)/(Assumptions!$D$16*Assumptions!$E$16))</f>
        <v>-0.875</v>
      </c>
      <c r="AL89" s="86">
        <f>IF(Assumptions!$D$16*Assumptions!$E$16=0,0,(AL57-AL65)/(Assumptions!$D$16*Assumptions!$E$16))</f>
        <v>-0.875</v>
      </c>
      <c r="AM89" s="86">
        <f>IF(Assumptions!$D$16*Assumptions!$E$16=0,0,(AM57-AM65)/(Assumptions!$D$16*Assumptions!$E$16))</f>
        <v>-0.875</v>
      </c>
      <c r="AN89" s="86">
        <f>IF(Assumptions!$D$16*Assumptions!$E$16=0,0,(AN57-AN65)/(Assumptions!$D$16*Assumptions!$E$16))</f>
        <v>-0.875</v>
      </c>
      <c r="AO89" s="86">
        <f>IF(Assumptions!$D$16*Assumptions!$E$16=0,0,(AO57-AO65)/(Assumptions!$D$16*Assumptions!$E$16))</f>
        <v>-0.875</v>
      </c>
      <c r="AP89" s="86">
        <f>IF(Assumptions!$D$16*Assumptions!$E$16=0,0,(AP57-AP65)/(Assumptions!$D$16*Assumptions!$E$16))</f>
        <v>-0.875</v>
      </c>
      <c r="AQ89" s="86">
        <f>IF(Assumptions!$D$16*Assumptions!$E$16=0,0,(AQ57-AQ65)/(Assumptions!$D$16*Assumptions!$E$16))</f>
        <v>-0.9375</v>
      </c>
      <c r="AR89" s="86">
        <f>IF(Assumptions!$D$16*Assumptions!$E$16=0,0,(AR57-AR65)/(Assumptions!$D$16*Assumptions!$E$16))</f>
        <v>-1</v>
      </c>
      <c r="AS89" s="86">
        <f>IF(Assumptions!$D$16*Assumptions!$E$16=0,0,(AS57-AS65)/(Assumptions!$D$16*Assumptions!$E$16))</f>
        <v>-1</v>
      </c>
      <c r="AT89" s="86">
        <f>IF(Assumptions!$D$16*Assumptions!$E$16=0,0,(AT57-AT65)/(Assumptions!$D$16*Assumptions!$E$16))</f>
        <v>-1</v>
      </c>
      <c r="AU89" s="86">
        <f>IF(Assumptions!$D$16*Assumptions!$E$16=0,0,(AU57-AU65)/(Assumptions!$D$16*Assumptions!$E$16))</f>
        <v>-1</v>
      </c>
      <c r="AV89" s="86">
        <f>IF(Assumptions!$D$16*Assumptions!$E$16=0,0,(AV57-AV65)/(Assumptions!$D$16*Assumptions!$E$16))</f>
        <v>-1</v>
      </c>
      <c r="AW89" s="86">
        <f>IF(Assumptions!$D$16*Assumptions!$E$16=0,0,(AW57-AW65)/(Assumptions!$D$16*Assumptions!$E$16))</f>
        <v>-1</v>
      </c>
      <c r="AX89" s="86">
        <f>IF(Assumptions!$D$16*Assumptions!$E$16=0,0,(AX57-AX65)/(Assumptions!$D$16*Assumptions!$E$16))</f>
        <v>-1</v>
      </c>
      <c r="AY89" s="86">
        <f>IF(Assumptions!$D$16*Assumptions!$E$16=0,0,(AY57-AY65)/(Assumptions!$D$16*Assumptions!$E$16))</f>
        <v>-1</v>
      </c>
      <c r="AZ89" s="86">
        <f>IF(Assumptions!$D$16*Assumptions!$E$16=0,0,(AZ57-AZ65)/(Assumptions!$D$16*Assumptions!$E$16))</f>
        <v>-1</v>
      </c>
      <c r="BA89" s="86">
        <f>IF(Assumptions!$D$16*Assumptions!$E$16=0,0,(BA57-BA65)/(Assumptions!$D$16*Assumptions!$E$16))</f>
        <v>-1</v>
      </c>
      <c r="BB89" s="86">
        <f>IF(Assumptions!$D$16*Assumptions!$E$16=0,0,(BB57-BB65)/(Assumptions!$D$16*Assumptions!$E$16))</f>
        <v>-1</v>
      </c>
      <c r="BC89" s="86">
        <f>IF(Assumptions!$D$16*Assumptions!$E$16=0,0,(BC57-BC65)/(Assumptions!$D$16*Assumptions!$E$16))</f>
        <v>-1</v>
      </c>
    </row>
    <row r="90" spans="1:55" hidden="1" outlineLevel="1" x14ac:dyDescent="0.25">
      <c r="A90" s="78" t="s">
        <v>26</v>
      </c>
      <c r="B90" s="85">
        <f t="shared" si="76"/>
        <v>-0.74786324786324776</v>
      </c>
      <c r="C90" s="85">
        <f t="shared" si="77"/>
        <v>0.44444444444444442</v>
      </c>
      <c r="D90" s="86">
        <f>IF(Assumptions!$D$17*Assumptions!$E$17=0,0,(D58-D66)/(Assumptions!$D$17*Assumptions!$E$17))</f>
        <v>0.44444444444444442</v>
      </c>
      <c r="E90" s="86">
        <f>IF(Assumptions!$D$17*Assumptions!$E$17=0,0,(E58-E66)/(Assumptions!$D$17*Assumptions!$E$17))</f>
        <v>0.44444444444444442</v>
      </c>
      <c r="F90" s="86">
        <f>IF(Assumptions!$D$17*Assumptions!$E$17=0,0,(F58-F66)/(Assumptions!$D$17*Assumptions!$E$17))</f>
        <v>0.44444444444444442</v>
      </c>
      <c r="G90" s="86">
        <f>IF(Assumptions!$D$17*Assumptions!$E$17=0,0,(G58-G66)/(Assumptions!$D$17*Assumptions!$E$17))</f>
        <v>0.44444444444444442</v>
      </c>
      <c r="H90" s="86">
        <f>IF(Assumptions!$D$17*Assumptions!$E$17=0,0,(H58-H66)/(Assumptions!$D$17*Assumptions!$E$17))</f>
        <v>0.1111111111111111</v>
      </c>
      <c r="I90" s="86">
        <f>IF(Assumptions!$D$17*Assumptions!$E$17=0,0,(I58-I66)/(Assumptions!$D$17*Assumptions!$E$17))</f>
        <v>0.1111111111111111</v>
      </c>
      <c r="J90" s="86">
        <f>IF(Assumptions!$D$17*Assumptions!$E$17=0,0,(J58-J66)/(Assumptions!$D$17*Assumptions!$E$17))</f>
        <v>-0.33333333333333331</v>
      </c>
      <c r="K90" s="86">
        <f>IF(Assumptions!$D$17*Assumptions!$E$17=0,0,(K58-K66)/(Assumptions!$D$17*Assumptions!$E$17))</f>
        <v>-0.55555555555555558</v>
      </c>
      <c r="L90" s="86">
        <f>IF(Assumptions!$D$17*Assumptions!$E$17=0,0,(L58-L66)/(Assumptions!$D$17*Assumptions!$E$17))</f>
        <v>-0.55555555555555558</v>
      </c>
      <c r="M90" s="86">
        <f>IF(Assumptions!$D$17*Assumptions!$E$17=0,0,(M58-M66)/(Assumptions!$D$17*Assumptions!$E$17))</f>
        <v>-0.55555555555555558</v>
      </c>
      <c r="N90" s="86">
        <f>IF(Assumptions!$D$17*Assumptions!$E$17=0,0,(N58-N66)/(Assumptions!$D$17*Assumptions!$E$17))</f>
        <v>-0.55555555555555558</v>
      </c>
      <c r="O90" s="86">
        <f>IF(Assumptions!$D$17*Assumptions!$E$17=0,0,(O58-O66)/(Assumptions!$D$17*Assumptions!$E$17))</f>
        <v>-0.55555555555555558</v>
      </c>
      <c r="P90" s="86">
        <f>IF(Assumptions!$D$17*Assumptions!$E$17=0,0,(P58-P66)/(Assumptions!$D$17*Assumptions!$E$17))</f>
        <v>-0.55555555555555558</v>
      </c>
      <c r="Q90" s="86">
        <f>IF(Assumptions!$D$17*Assumptions!$E$17=0,0,(Q58-Q66)/(Assumptions!$D$17*Assumptions!$E$17))</f>
        <v>-0.55555555555555558</v>
      </c>
      <c r="R90" s="86">
        <f>IF(Assumptions!$D$17*Assumptions!$E$17=0,0,(R58-R66)/(Assumptions!$D$17*Assumptions!$E$17))</f>
        <v>-0.55555555555555558</v>
      </c>
      <c r="S90" s="86">
        <f>IF(Assumptions!$D$17*Assumptions!$E$17=0,0,(S58-S66)/(Assumptions!$D$17*Assumptions!$E$17))</f>
        <v>-0.55555555555555558</v>
      </c>
      <c r="T90" s="86">
        <f>IF(Assumptions!$D$17*Assumptions!$E$17=0,0,(T58-T66)/(Assumptions!$D$17*Assumptions!$E$17))</f>
        <v>-0.55555555555555558</v>
      </c>
      <c r="U90" s="86">
        <f>IF(Assumptions!$D$17*Assumptions!$E$17=0,0,(U58-U66)/(Assumptions!$D$17*Assumptions!$E$17))</f>
        <v>-1</v>
      </c>
      <c r="V90" s="86">
        <f>IF(Assumptions!$D$17*Assumptions!$E$17=0,0,(V58-V66)/(Assumptions!$D$17*Assumptions!$E$17))</f>
        <v>-1</v>
      </c>
      <c r="W90" s="86">
        <f>IF(Assumptions!$D$17*Assumptions!$E$17=0,0,(W58-W66)/(Assumptions!$D$17*Assumptions!$E$17))</f>
        <v>-1</v>
      </c>
      <c r="X90" s="86">
        <f>IF(Assumptions!$D$17*Assumptions!$E$17=0,0,(X58-X66)/(Assumptions!$D$17*Assumptions!$E$17))</f>
        <v>-1</v>
      </c>
      <c r="Y90" s="86">
        <f>IF(Assumptions!$D$17*Assumptions!$E$17=0,0,(Y58-Y66)/(Assumptions!$D$17*Assumptions!$E$17))</f>
        <v>-1</v>
      </c>
      <c r="Z90" s="86">
        <f>IF(Assumptions!$D$17*Assumptions!$E$17=0,0,(Z58-Z66)/(Assumptions!$D$17*Assumptions!$E$17))</f>
        <v>-1</v>
      </c>
      <c r="AA90" s="86">
        <f>IF(Assumptions!$D$17*Assumptions!$E$17=0,0,(AA58-AA66)/(Assumptions!$D$17*Assumptions!$E$17))</f>
        <v>-1</v>
      </c>
      <c r="AB90" s="86">
        <f>IF(Assumptions!$D$17*Assumptions!$E$17=0,0,(AB58-AB66)/(Assumptions!$D$17*Assumptions!$E$17))</f>
        <v>-1</v>
      </c>
      <c r="AC90" s="86">
        <f>IF(Assumptions!$D$17*Assumptions!$E$17=0,0,(AC58-AC66)/(Assumptions!$D$17*Assumptions!$E$17))</f>
        <v>-1</v>
      </c>
      <c r="AD90" s="86">
        <f>IF(Assumptions!$D$17*Assumptions!$E$17=0,0,(AD58-AD66)/(Assumptions!$D$17*Assumptions!$E$17))</f>
        <v>-1</v>
      </c>
      <c r="AE90" s="86">
        <f>IF(Assumptions!$D$17*Assumptions!$E$17=0,0,(AE58-AE66)/(Assumptions!$D$17*Assumptions!$E$17))</f>
        <v>-1</v>
      </c>
      <c r="AF90" s="86">
        <f>IF(Assumptions!$D$17*Assumptions!$E$17=0,0,(AF58-AF66)/(Assumptions!$D$17*Assumptions!$E$17))</f>
        <v>-1</v>
      </c>
      <c r="AG90" s="86">
        <f>IF(Assumptions!$D$17*Assumptions!$E$17=0,0,(AG58-AG66)/(Assumptions!$D$17*Assumptions!$E$17))</f>
        <v>-1</v>
      </c>
      <c r="AH90" s="86">
        <f>IF(Assumptions!$D$17*Assumptions!$E$17=0,0,(AH58-AH66)/(Assumptions!$D$17*Assumptions!$E$17))</f>
        <v>-1</v>
      </c>
      <c r="AI90" s="86">
        <f>IF(Assumptions!$D$17*Assumptions!$E$17=0,0,(AI58-AI66)/(Assumptions!$D$17*Assumptions!$E$17))</f>
        <v>-1</v>
      </c>
      <c r="AJ90" s="86">
        <f>IF(Assumptions!$D$17*Assumptions!$E$17=0,0,(AJ58-AJ66)/(Assumptions!$D$17*Assumptions!$E$17))</f>
        <v>-1</v>
      </c>
      <c r="AK90" s="86">
        <f>IF(Assumptions!$D$17*Assumptions!$E$17=0,0,(AK58-AK66)/(Assumptions!$D$17*Assumptions!$E$17))</f>
        <v>-1</v>
      </c>
      <c r="AL90" s="86">
        <f>IF(Assumptions!$D$17*Assumptions!$E$17=0,0,(AL58-AL66)/(Assumptions!$D$17*Assumptions!$E$17))</f>
        <v>-1</v>
      </c>
      <c r="AM90" s="86">
        <f>IF(Assumptions!$D$17*Assumptions!$E$17=0,0,(AM58-AM66)/(Assumptions!$D$17*Assumptions!$E$17))</f>
        <v>-1</v>
      </c>
      <c r="AN90" s="86">
        <f>IF(Assumptions!$D$17*Assumptions!$E$17=0,0,(AN58-AN66)/(Assumptions!$D$17*Assumptions!$E$17))</f>
        <v>-1</v>
      </c>
      <c r="AO90" s="86">
        <f>IF(Assumptions!$D$17*Assumptions!$E$17=0,0,(AO58-AO66)/(Assumptions!$D$17*Assumptions!$E$17))</f>
        <v>-1</v>
      </c>
      <c r="AP90" s="86">
        <f>IF(Assumptions!$D$17*Assumptions!$E$17=0,0,(AP58-AP66)/(Assumptions!$D$17*Assumptions!$E$17))</f>
        <v>-1</v>
      </c>
      <c r="AQ90" s="86">
        <f>IF(Assumptions!$D$17*Assumptions!$E$17=0,0,(AQ58-AQ66)/(Assumptions!$D$17*Assumptions!$E$17))</f>
        <v>-1</v>
      </c>
      <c r="AR90" s="86">
        <f>IF(Assumptions!$D$17*Assumptions!$E$17=0,0,(AR58-AR66)/(Assumptions!$D$17*Assumptions!$E$17))</f>
        <v>-1</v>
      </c>
      <c r="AS90" s="86">
        <f>IF(Assumptions!$D$17*Assumptions!$E$17=0,0,(AS58-AS66)/(Assumptions!$D$17*Assumptions!$E$17))</f>
        <v>-1</v>
      </c>
      <c r="AT90" s="86">
        <f>IF(Assumptions!$D$17*Assumptions!$E$17=0,0,(AT58-AT66)/(Assumptions!$D$17*Assumptions!$E$17))</f>
        <v>-1</v>
      </c>
      <c r="AU90" s="86">
        <f>IF(Assumptions!$D$17*Assumptions!$E$17=0,0,(AU58-AU66)/(Assumptions!$D$17*Assumptions!$E$17))</f>
        <v>-1</v>
      </c>
      <c r="AV90" s="86">
        <f>IF(Assumptions!$D$17*Assumptions!$E$17=0,0,(AV58-AV66)/(Assumptions!$D$17*Assumptions!$E$17))</f>
        <v>-1</v>
      </c>
      <c r="AW90" s="86">
        <f>IF(Assumptions!$D$17*Assumptions!$E$17=0,0,(AW58-AW66)/(Assumptions!$D$17*Assumptions!$E$17))</f>
        <v>-1</v>
      </c>
      <c r="AX90" s="86">
        <f>IF(Assumptions!$D$17*Assumptions!$E$17=0,0,(AX58-AX66)/(Assumptions!$D$17*Assumptions!$E$17))</f>
        <v>-1</v>
      </c>
      <c r="AY90" s="86">
        <f>IF(Assumptions!$D$17*Assumptions!$E$17=0,0,(AY58-AY66)/(Assumptions!$D$17*Assumptions!$E$17))</f>
        <v>-1</v>
      </c>
      <c r="AZ90" s="86">
        <f>IF(Assumptions!$D$17*Assumptions!$E$17=0,0,(AZ58-AZ66)/(Assumptions!$D$17*Assumptions!$E$17))</f>
        <v>-1</v>
      </c>
      <c r="BA90" s="86">
        <f>IF(Assumptions!$D$17*Assumptions!$E$17=0,0,(BA58-BA66)/(Assumptions!$D$17*Assumptions!$E$17))</f>
        <v>-1</v>
      </c>
      <c r="BB90" s="86">
        <f>IF(Assumptions!$D$17*Assumptions!$E$17=0,0,(BB58-BB66)/(Assumptions!$D$17*Assumptions!$E$17))</f>
        <v>-1</v>
      </c>
      <c r="BC90" s="86">
        <f>IF(Assumptions!$D$17*Assumptions!$E$17=0,0,(BC58-BC66)/(Assumptions!$D$17*Assumptions!$E$17))</f>
        <v>-1</v>
      </c>
    </row>
    <row r="91" spans="1:55" hidden="1" outlineLevel="1" x14ac:dyDescent="0.25">
      <c r="A91" s="78" t="s">
        <v>172</v>
      </c>
      <c r="B91" s="85">
        <f t="shared" si="76"/>
        <v>-1.6004273504273503</v>
      </c>
      <c r="C91" s="85">
        <f t="shared" si="77"/>
        <v>-0.19444444444444445</v>
      </c>
      <c r="D91" s="86">
        <f>IF(Assumptions!$D$18*Assumptions!$E$18=0,0,(D59-D67)/(Assumptions!$D$18*Assumptions!$E$18))</f>
        <v>-0.86111111111111116</v>
      </c>
      <c r="E91" s="86">
        <f>IF(Assumptions!$D$18*Assumptions!$E$18=0,0,(E59-E67)/(Assumptions!$D$18*Assumptions!$E$18))</f>
        <v>-0.41666666666666669</v>
      </c>
      <c r="F91" s="86">
        <f>IF(Assumptions!$D$18*Assumptions!$E$18=0,0,(F59-F67)/(Assumptions!$D$18*Assumptions!$E$18))</f>
        <v>-0.41666666666666669</v>
      </c>
      <c r="G91" s="86">
        <f>IF(Assumptions!$D$18*Assumptions!$E$18=0,0,(G59-G67)/(Assumptions!$D$18*Assumptions!$E$18))</f>
        <v>-0.19444444444444445</v>
      </c>
      <c r="H91" s="86">
        <f>IF(Assumptions!$D$18*Assumptions!$E$18=0,0,(H59-H67)/(Assumptions!$D$18*Assumptions!$E$18))</f>
        <v>-0.66666666666666663</v>
      </c>
      <c r="I91" s="86">
        <f>IF(Assumptions!$D$18*Assumptions!$E$18=0,0,(I59-I67)/(Assumptions!$D$18*Assumptions!$E$18))</f>
        <v>-0.77777777777777779</v>
      </c>
      <c r="J91" s="86">
        <f>IF(Assumptions!$D$18*Assumptions!$E$18=0,0,(J59-J67)/(Assumptions!$D$18*Assumptions!$E$18))</f>
        <v>-0.66666666666666663</v>
      </c>
      <c r="K91" s="86">
        <f>IF(Assumptions!$D$18*Assumptions!$E$18=0,0,(K59-K67)/(Assumptions!$D$18*Assumptions!$E$18))</f>
        <v>-0.66666666666666663</v>
      </c>
      <c r="L91" s="86">
        <f>IF(Assumptions!$D$18*Assumptions!$E$18=0,0,(L59-L67)/(Assumptions!$D$18*Assumptions!$E$18))</f>
        <v>-0.66666666666666663</v>
      </c>
      <c r="M91" s="86">
        <f>IF(Assumptions!$D$18*Assumptions!$E$18=0,0,(M59-M67)/(Assumptions!$D$18*Assumptions!$E$18))</f>
        <v>-1</v>
      </c>
      <c r="N91" s="86">
        <f>IF(Assumptions!$D$18*Assumptions!$E$18=0,0,(N59-N67)/(Assumptions!$D$18*Assumptions!$E$18))</f>
        <v>-1</v>
      </c>
      <c r="O91" s="86">
        <f>IF(Assumptions!$D$18*Assumptions!$E$18=0,0,(O59-O67)/(Assumptions!$D$18*Assumptions!$E$18))</f>
        <v>-1.5555555555555556</v>
      </c>
      <c r="P91" s="86">
        <f>IF(Assumptions!$D$18*Assumptions!$E$18=0,0,(P59-P67)/(Assumptions!$D$18*Assumptions!$E$18))</f>
        <v>-1.5555555555555556</v>
      </c>
      <c r="Q91" s="86">
        <f>IF(Assumptions!$D$18*Assumptions!$E$18=0,0,(Q59-Q67)/(Assumptions!$D$18*Assumptions!$E$18))</f>
        <v>-1.5555555555555556</v>
      </c>
      <c r="R91" s="86">
        <f>IF(Assumptions!$D$18*Assumptions!$E$18=0,0,(R59-R67)/(Assumptions!$D$18*Assumptions!$E$18))</f>
        <v>-1.1111111111111112</v>
      </c>
      <c r="S91" s="86">
        <f>IF(Assumptions!$D$18*Assumptions!$E$18=0,0,(S59-S67)/(Assumptions!$D$18*Assumptions!$E$18))</f>
        <v>-1.1111111111111112</v>
      </c>
      <c r="T91" s="86">
        <f>IF(Assumptions!$D$18*Assumptions!$E$18=0,0,(T59-T67)/(Assumptions!$D$18*Assumptions!$E$18))</f>
        <v>-1.1111111111111112</v>
      </c>
      <c r="U91" s="86">
        <f>IF(Assumptions!$D$18*Assumptions!$E$18=0,0,(U59-U67)/(Assumptions!$D$18*Assumptions!$E$18))</f>
        <v>-1.5555555555555556</v>
      </c>
      <c r="V91" s="86">
        <f>IF(Assumptions!$D$18*Assumptions!$E$18=0,0,(V59-V67)/(Assumptions!$D$18*Assumptions!$E$18))</f>
        <v>-2</v>
      </c>
      <c r="W91" s="86">
        <f>IF(Assumptions!$D$18*Assumptions!$E$18=0,0,(W59-W67)/(Assumptions!$D$18*Assumptions!$E$18))</f>
        <v>-2</v>
      </c>
      <c r="X91" s="86">
        <f>IF(Assumptions!$D$18*Assumptions!$E$18=0,0,(X59-X67)/(Assumptions!$D$18*Assumptions!$E$18))</f>
        <v>-2</v>
      </c>
      <c r="Y91" s="86">
        <f>IF(Assumptions!$D$18*Assumptions!$E$18=0,0,(Y59-Y67)/(Assumptions!$D$18*Assumptions!$E$18))</f>
        <v>-2</v>
      </c>
      <c r="Z91" s="86">
        <f>IF(Assumptions!$D$18*Assumptions!$E$18=0,0,(Z59-Z67)/(Assumptions!$D$18*Assumptions!$E$18))</f>
        <v>-2</v>
      </c>
      <c r="AA91" s="86">
        <f>IF(Assumptions!$D$18*Assumptions!$E$18=0,0,(AA59-AA67)/(Assumptions!$D$18*Assumptions!$E$18))</f>
        <v>-2</v>
      </c>
      <c r="AB91" s="86">
        <f>IF(Assumptions!$D$18*Assumptions!$E$18=0,0,(AB59-AB67)/(Assumptions!$D$18*Assumptions!$E$18))</f>
        <v>-2</v>
      </c>
      <c r="AC91" s="86">
        <f>IF(Assumptions!$D$18*Assumptions!$E$18=0,0,(AC59-AC67)/(Assumptions!$D$18*Assumptions!$E$18))</f>
        <v>-2</v>
      </c>
      <c r="AD91" s="86">
        <f>IF(Assumptions!$D$18*Assumptions!$E$18=0,0,(AD59-AD67)/(Assumptions!$D$18*Assumptions!$E$18))</f>
        <v>-2</v>
      </c>
      <c r="AE91" s="86">
        <f>IF(Assumptions!$D$18*Assumptions!$E$18=0,0,(AE59-AE67)/(Assumptions!$D$18*Assumptions!$E$18))</f>
        <v>-2</v>
      </c>
      <c r="AF91" s="86">
        <f>IF(Assumptions!$D$18*Assumptions!$E$18=0,0,(AF59-AF67)/(Assumptions!$D$18*Assumptions!$E$18))</f>
        <v>-2</v>
      </c>
      <c r="AG91" s="86">
        <f>IF(Assumptions!$D$18*Assumptions!$E$18=0,0,(AG59-AG67)/(Assumptions!$D$18*Assumptions!$E$18))</f>
        <v>-2</v>
      </c>
      <c r="AH91" s="86">
        <f>IF(Assumptions!$D$18*Assumptions!$E$18=0,0,(AH59-AH67)/(Assumptions!$D$18*Assumptions!$E$18))</f>
        <v>-1.4444444444444444</v>
      </c>
      <c r="AI91" s="86">
        <f>IF(Assumptions!$D$18*Assumptions!$E$18=0,0,(AI59-AI67)/(Assumptions!$D$18*Assumptions!$E$18))</f>
        <v>-1.4444444444444444</v>
      </c>
      <c r="AJ91" s="86">
        <f>IF(Assumptions!$D$18*Assumptions!$E$18=0,0,(AJ59-AJ67)/(Assumptions!$D$18*Assumptions!$E$18))</f>
        <v>-1.4444444444444444</v>
      </c>
      <c r="AK91" s="86">
        <f>IF(Assumptions!$D$18*Assumptions!$E$18=0,0,(AK59-AK67)/(Assumptions!$D$18*Assumptions!$E$18))</f>
        <v>-2</v>
      </c>
      <c r="AL91" s="86">
        <f>IF(Assumptions!$D$18*Assumptions!$E$18=0,0,(AL59-AL67)/(Assumptions!$D$18*Assumptions!$E$18))</f>
        <v>-2</v>
      </c>
      <c r="AM91" s="86">
        <f>IF(Assumptions!$D$18*Assumptions!$E$18=0,0,(AM59-AM67)/(Assumptions!$D$18*Assumptions!$E$18))</f>
        <v>-2</v>
      </c>
      <c r="AN91" s="86">
        <f>IF(Assumptions!$D$18*Assumptions!$E$18=0,0,(AN59-AN67)/(Assumptions!$D$18*Assumptions!$E$18))</f>
        <v>-2</v>
      </c>
      <c r="AO91" s="86">
        <f>IF(Assumptions!$D$18*Assumptions!$E$18=0,0,(AO59-AO67)/(Assumptions!$D$18*Assumptions!$E$18))</f>
        <v>-2</v>
      </c>
      <c r="AP91" s="86">
        <f>IF(Assumptions!$D$18*Assumptions!$E$18=0,0,(AP59-AP67)/(Assumptions!$D$18*Assumptions!$E$18))</f>
        <v>-2</v>
      </c>
      <c r="AQ91" s="86">
        <f>IF(Assumptions!$D$18*Assumptions!$E$18=0,0,(AQ59-AQ67)/(Assumptions!$D$18*Assumptions!$E$18))</f>
        <v>-2</v>
      </c>
      <c r="AR91" s="86">
        <f>IF(Assumptions!$D$18*Assumptions!$E$18=0,0,(AR59-AR67)/(Assumptions!$D$18*Assumptions!$E$18))</f>
        <v>-2</v>
      </c>
      <c r="AS91" s="86">
        <f>IF(Assumptions!$D$18*Assumptions!$E$18=0,0,(AS59-AS67)/(Assumptions!$D$18*Assumptions!$E$18))</f>
        <v>-2</v>
      </c>
      <c r="AT91" s="86">
        <f>IF(Assumptions!$D$18*Assumptions!$E$18=0,0,(AT59-AT67)/(Assumptions!$D$18*Assumptions!$E$18))</f>
        <v>-2</v>
      </c>
      <c r="AU91" s="86">
        <f>IF(Assumptions!$D$18*Assumptions!$E$18=0,0,(AU59-AU67)/(Assumptions!$D$18*Assumptions!$E$18))</f>
        <v>-2</v>
      </c>
      <c r="AV91" s="86">
        <f>IF(Assumptions!$D$18*Assumptions!$E$18=0,0,(AV59-AV67)/(Assumptions!$D$18*Assumptions!$E$18))</f>
        <v>-2</v>
      </c>
      <c r="AW91" s="86">
        <f>IF(Assumptions!$D$18*Assumptions!$E$18=0,0,(AW59-AW67)/(Assumptions!$D$18*Assumptions!$E$18))</f>
        <v>-2</v>
      </c>
      <c r="AX91" s="86">
        <f>IF(Assumptions!$D$18*Assumptions!$E$18=0,0,(AX59-AX67)/(Assumptions!$D$18*Assumptions!$E$18))</f>
        <v>-2</v>
      </c>
      <c r="AY91" s="86">
        <f>IF(Assumptions!$D$18*Assumptions!$E$18=0,0,(AY59-AY67)/(Assumptions!$D$18*Assumptions!$E$18))</f>
        <v>-2</v>
      </c>
      <c r="AZ91" s="86">
        <f>IF(Assumptions!$D$18*Assumptions!$E$18=0,0,(AZ59-AZ67)/(Assumptions!$D$18*Assumptions!$E$18))</f>
        <v>-2</v>
      </c>
      <c r="BA91" s="86">
        <f>IF(Assumptions!$D$18*Assumptions!$E$18=0,0,(BA59-BA67)/(Assumptions!$D$18*Assumptions!$E$18))</f>
        <v>-2</v>
      </c>
      <c r="BB91" s="86">
        <f>IF(Assumptions!$D$18*Assumptions!$E$18=0,0,(BB59-BB67)/(Assumptions!$D$18*Assumptions!$E$18))</f>
        <v>-2</v>
      </c>
      <c r="BC91" s="86">
        <f>IF(Assumptions!$D$18*Assumptions!$E$18=0,0,(BC59-BC67)/(Assumptions!$D$18*Assumptions!$E$18))</f>
        <v>-2</v>
      </c>
    </row>
    <row r="92" spans="1:55" hidden="1" outlineLevel="1" x14ac:dyDescent="0.25">
      <c r="A92" s="78" t="s">
        <v>27</v>
      </c>
      <c r="B92" s="85">
        <f t="shared" si="76"/>
        <v>-0.57799145299145305</v>
      </c>
      <c r="C92" s="85">
        <f t="shared" si="77"/>
        <v>0.66666666666666663</v>
      </c>
      <c r="D92" s="86">
        <f>IF(Assumptions!$D$19*Assumptions!$E$19=0,0,(D60-D68)/(Assumptions!$D$19*Assumptions!$E$19))</f>
        <v>5.5555555555555552E-2</v>
      </c>
      <c r="E92" s="86">
        <f>IF(Assumptions!$D$19*Assumptions!$E$19=0,0,(E60-E68)/(Assumptions!$D$19*Assumptions!$E$19))</f>
        <v>5.5555555555555552E-2</v>
      </c>
      <c r="F92" s="86">
        <f>IF(Assumptions!$D$19*Assumptions!$E$19=0,0,(F60-F68)/(Assumptions!$D$19*Assumptions!$E$19))</f>
        <v>0.27777777777777779</v>
      </c>
      <c r="G92" s="86">
        <f>IF(Assumptions!$D$19*Assumptions!$E$19=0,0,(G60-G68)/(Assumptions!$D$19*Assumptions!$E$19))</f>
        <v>0.27777777777777779</v>
      </c>
      <c r="H92" s="86">
        <f>IF(Assumptions!$D$19*Assumptions!$E$19=0,0,(H60-H68)/(Assumptions!$D$19*Assumptions!$E$19))</f>
        <v>5.5555555555555552E-2</v>
      </c>
      <c r="I92" s="86">
        <f>IF(Assumptions!$D$19*Assumptions!$E$19=0,0,(I60-I68)/(Assumptions!$D$19*Assumptions!$E$19))</f>
        <v>5.5555555555555552E-2</v>
      </c>
      <c r="J92" s="86">
        <f>IF(Assumptions!$D$19*Assumptions!$E$19=0,0,(J60-J68)/(Assumptions!$D$19*Assumptions!$E$19))</f>
        <v>5.5555555555555552E-2</v>
      </c>
      <c r="K92" s="86">
        <f>IF(Assumptions!$D$19*Assumptions!$E$19=0,0,(K60-K68)/(Assumptions!$D$19*Assumptions!$E$19))</f>
        <v>0.55555555555555558</v>
      </c>
      <c r="L92" s="86">
        <f>IF(Assumptions!$D$19*Assumptions!$E$19=0,0,(L60-L68)/(Assumptions!$D$19*Assumptions!$E$19))</f>
        <v>0.55555555555555558</v>
      </c>
      <c r="M92" s="86">
        <f>IF(Assumptions!$D$19*Assumptions!$E$19=0,0,(M60-M68)/(Assumptions!$D$19*Assumptions!$E$19))</f>
        <v>0.1111111111111111</v>
      </c>
      <c r="N92" s="86">
        <f>IF(Assumptions!$D$19*Assumptions!$E$19=0,0,(N60-N68)/(Assumptions!$D$19*Assumptions!$E$19))</f>
        <v>0.1111111111111111</v>
      </c>
      <c r="O92" s="86">
        <f>IF(Assumptions!$D$19*Assumptions!$E$19=0,0,(O60-O68)/(Assumptions!$D$19*Assumptions!$E$19))</f>
        <v>0.22222222222222221</v>
      </c>
      <c r="P92" s="86">
        <f>IF(Assumptions!$D$19*Assumptions!$E$19=0,0,(P60-P68)/(Assumptions!$D$19*Assumptions!$E$19))</f>
        <v>0.1111111111111111</v>
      </c>
      <c r="Q92" s="86">
        <f>IF(Assumptions!$D$19*Assumptions!$E$19=0,0,(Q60-Q68)/(Assumptions!$D$19*Assumptions!$E$19))</f>
        <v>0.1111111111111111</v>
      </c>
      <c r="R92" s="86">
        <f>IF(Assumptions!$D$19*Assumptions!$E$19=0,0,(R60-R68)/(Assumptions!$D$19*Assumptions!$E$19))</f>
        <v>0.33333333333333331</v>
      </c>
      <c r="S92" s="86">
        <f>IF(Assumptions!$D$19*Assumptions!$E$19=0,0,(S60-S68)/(Assumptions!$D$19*Assumptions!$E$19))</f>
        <v>0.66666666666666663</v>
      </c>
      <c r="T92" s="86">
        <f>IF(Assumptions!$D$19*Assumptions!$E$19=0,0,(T60-T68)/(Assumptions!$D$19*Assumptions!$E$19))</f>
        <v>0.66666666666666663</v>
      </c>
      <c r="U92" s="86">
        <f>IF(Assumptions!$D$19*Assumptions!$E$19=0,0,(U60-U68)/(Assumptions!$D$19*Assumptions!$E$19))</f>
        <v>-0.44444444444444442</v>
      </c>
      <c r="V92" s="86">
        <f>IF(Assumptions!$D$19*Assumptions!$E$19=0,0,(V60-V68)/(Assumptions!$D$19*Assumptions!$E$19))</f>
        <v>-1</v>
      </c>
      <c r="W92" s="86">
        <f>IF(Assumptions!$D$19*Assumptions!$E$19=0,0,(W60-W68)/(Assumptions!$D$19*Assumptions!$E$19))</f>
        <v>-1</v>
      </c>
      <c r="X92" s="86">
        <f>IF(Assumptions!$D$19*Assumptions!$E$19=0,0,(X60-X68)/(Assumptions!$D$19*Assumptions!$E$19))</f>
        <v>-1</v>
      </c>
      <c r="Y92" s="86">
        <f>IF(Assumptions!$D$19*Assumptions!$E$19=0,0,(Y60-Y68)/(Assumptions!$D$19*Assumptions!$E$19))</f>
        <v>-1</v>
      </c>
      <c r="Z92" s="86">
        <f>IF(Assumptions!$D$19*Assumptions!$E$19=0,0,(Z60-Z68)/(Assumptions!$D$19*Assumptions!$E$19))</f>
        <v>-1</v>
      </c>
      <c r="AA92" s="86">
        <f>IF(Assumptions!$D$19*Assumptions!$E$19=0,0,(AA60-AA68)/(Assumptions!$D$19*Assumptions!$E$19))</f>
        <v>-1</v>
      </c>
      <c r="AB92" s="86">
        <f>IF(Assumptions!$D$19*Assumptions!$E$19=0,0,(AB60-AB68)/(Assumptions!$D$19*Assumptions!$E$19))</f>
        <v>-1</v>
      </c>
      <c r="AC92" s="86">
        <f>IF(Assumptions!$D$19*Assumptions!$E$19=0,0,(AC60-AC68)/(Assumptions!$D$19*Assumptions!$E$19))</f>
        <v>-1</v>
      </c>
      <c r="AD92" s="86">
        <f>IF(Assumptions!$D$19*Assumptions!$E$19=0,0,(AD60-AD68)/(Assumptions!$D$19*Assumptions!$E$19))</f>
        <v>-1</v>
      </c>
      <c r="AE92" s="86">
        <f>IF(Assumptions!$D$19*Assumptions!$E$19=0,0,(AE60-AE68)/(Assumptions!$D$19*Assumptions!$E$19))</f>
        <v>-1</v>
      </c>
      <c r="AF92" s="86">
        <f>IF(Assumptions!$D$19*Assumptions!$E$19=0,0,(AF60-AF68)/(Assumptions!$D$19*Assumptions!$E$19))</f>
        <v>-1</v>
      </c>
      <c r="AG92" s="86">
        <f>IF(Assumptions!$D$19*Assumptions!$E$19=0,0,(AG60-AG68)/(Assumptions!$D$19*Assumptions!$E$19))</f>
        <v>-1</v>
      </c>
      <c r="AH92" s="86">
        <f>IF(Assumptions!$D$19*Assumptions!$E$19=0,0,(AH60-AH68)/(Assumptions!$D$19*Assumptions!$E$19))</f>
        <v>-0.88888888888888884</v>
      </c>
      <c r="AI92" s="86">
        <f>IF(Assumptions!$D$19*Assumptions!$E$19=0,0,(AI60-AI68)/(Assumptions!$D$19*Assumptions!$E$19))</f>
        <v>-1</v>
      </c>
      <c r="AJ92" s="86">
        <f>IF(Assumptions!$D$19*Assumptions!$E$19=0,0,(AJ60-AJ68)/(Assumptions!$D$19*Assumptions!$E$19))</f>
        <v>-1</v>
      </c>
      <c r="AK92" s="86">
        <f>IF(Assumptions!$D$19*Assumptions!$E$19=0,0,(AK60-AK68)/(Assumptions!$D$19*Assumptions!$E$19))</f>
        <v>-1</v>
      </c>
      <c r="AL92" s="86">
        <f>IF(Assumptions!$D$19*Assumptions!$E$19=0,0,(AL60-AL68)/(Assumptions!$D$19*Assumptions!$E$19))</f>
        <v>-1</v>
      </c>
      <c r="AM92" s="86">
        <f>IF(Assumptions!$D$19*Assumptions!$E$19=0,0,(AM60-AM68)/(Assumptions!$D$19*Assumptions!$E$19))</f>
        <v>-1</v>
      </c>
      <c r="AN92" s="86">
        <f>IF(Assumptions!$D$19*Assumptions!$E$19=0,0,(AN60-AN68)/(Assumptions!$D$19*Assumptions!$E$19))</f>
        <v>-1</v>
      </c>
      <c r="AO92" s="86">
        <f>IF(Assumptions!$D$19*Assumptions!$E$19=0,0,(AO60-AO68)/(Assumptions!$D$19*Assumptions!$E$19))</f>
        <v>-1</v>
      </c>
      <c r="AP92" s="86">
        <f>IF(Assumptions!$D$19*Assumptions!$E$19=0,0,(AP60-AP68)/(Assumptions!$D$19*Assumptions!$E$19))</f>
        <v>-1</v>
      </c>
      <c r="AQ92" s="86">
        <f>IF(Assumptions!$D$19*Assumptions!$E$19=0,0,(AQ60-AQ68)/(Assumptions!$D$19*Assumptions!$E$19))</f>
        <v>-1</v>
      </c>
      <c r="AR92" s="86">
        <f>IF(Assumptions!$D$19*Assumptions!$E$19=0,0,(AR60-AR68)/(Assumptions!$D$19*Assumptions!$E$19))</f>
        <v>-1</v>
      </c>
      <c r="AS92" s="86">
        <f>IF(Assumptions!$D$19*Assumptions!$E$19=0,0,(AS60-AS68)/(Assumptions!$D$19*Assumptions!$E$19))</f>
        <v>-1</v>
      </c>
      <c r="AT92" s="86">
        <f>IF(Assumptions!$D$19*Assumptions!$E$19=0,0,(AT60-AT68)/(Assumptions!$D$19*Assumptions!$E$19))</f>
        <v>-1</v>
      </c>
      <c r="AU92" s="86">
        <f>IF(Assumptions!$D$19*Assumptions!$E$19=0,0,(AU60-AU68)/(Assumptions!$D$19*Assumptions!$E$19))</f>
        <v>-1</v>
      </c>
      <c r="AV92" s="86">
        <f>IF(Assumptions!$D$19*Assumptions!$E$19=0,0,(AV60-AV68)/(Assumptions!$D$19*Assumptions!$E$19))</f>
        <v>-1</v>
      </c>
      <c r="AW92" s="86">
        <f>IF(Assumptions!$D$19*Assumptions!$E$19=0,0,(AW60-AW68)/(Assumptions!$D$19*Assumptions!$E$19))</f>
        <v>-1</v>
      </c>
      <c r="AX92" s="86">
        <f>IF(Assumptions!$D$19*Assumptions!$E$19=0,0,(AX60-AX68)/(Assumptions!$D$19*Assumptions!$E$19))</f>
        <v>-1</v>
      </c>
      <c r="AY92" s="86">
        <f>IF(Assumptions!$D$19*Assumptions!$E$19=0,0,(AY60-AY68)/(Assumptions!$D$19*Assumptions!$E$19))</f>
        <v>-1</v>
      </c>
      <c r="AZ92" s="86">
        <f>IF(Assumptions!$D$19*Assumptions!$E$19=0,0,(AZ60-AZ68)/(Assumptions!$D$19*Assumptions!$E$19))</f>
        <v>-1</v>
      </c>
      <c r="BA92" s="86">
        <f>IF(Assumptions!$D$19*Assumptions!$E$19=0,0,(BA60-BA68)/(Assumptions!$D$19*Assumptions!$E$19))</f>
        <v>-1</v>
      </c>
      <c r="BB92" s="86">
        <f>IF(Assumptions!$D$19*Assumptions!$E$19=0,0,(BB60-BB68)/(Assumptions!$D$19*Assumptions!$E$19))</f>
        <v>-1</v>
      </c>
      <c r="BC92" s="86">
        <f>IF(Assumptions!$D$19*Assumptions!$E$19=0,0,(BC60-BC68)/(Assumptions!$D$19*Assumptions!$E$19))</f>
        <v>-1</v>
      </c>
    </row>
    <row r="93" spans="1:55" hidden="1" outlineLevel="1" x14ac:dyDescent="0.25">
      <c r="A93" s="79" t="s">
        <v>60</v>
      </c>
      <c r="B93" s="87">
        <f t="shared" si="76"/>
        <v>-4.8516426282051288</v>
      </c>
      <c r="C93" s="87">
        <f t="shared" si="77"/>
        <v>1.5069444444444446</v>
      </c>
      <c r="D93" s="88">
        <f t="shared" ref="D93:AI93" si="78">SUM(D88:D92)</f>
        <v>-6.5277777777777907E-2</v>
      </c>
      <c r="E93" s="88">
        <f t="shared" si="78"/>
        <v>0.76249999999999996</v>
      </c>
      <c r="F93" s="88">
        <f t="shared" si="78"/>
        <v>0.75138888888888888</v>
      </c>
      <c r="G93" s="88">
        <f t="shared" si="78"/>
        <v>1.5069444444444446</v>
      </c>
      <c r="H93" s="88">
        <f t="shared" si="78"/>
        <v>-5.4166666666666613E-2</v>
      </c>
      <c r="I93" s="88">
        <f t="shared" si="78"/>
        <v>-0.69861111111111107</v>
      </c>
      <c r="J93" s="88">
        <f t="shared" si="78"/>
        <v>-1.2986111111111109</v>
      </c>
      <c r="K93" s="88">
        <f t="shared" si="78"/>
        <v>-0.64583333333333326</v>
      </c>
      <c r="L93" s="88">
        <f t="shared" si="78"/>
        <v>-0.67916666666666647</v>
      </c>
      <c r="M93" s="88">
        <f t="shared" si="78"/>
        <v>-2.4590277777777776</v>
      </c>
      <c r="N93" s="88">
        <f t="shared" si="78"/>
        <v>-2.4590277777777776</v>
      </c>
      <c r="O93" s="88">
        <f t="shared" si="78"/>
        <v>-3.2868055555555555</v>
      </c>
      <c r="P93" s="88">
        <f t="shared" si="78"/>
        <v>-3.3979166666666667</v>
      </c>
      <c r="Q93" s="88">
        <f t="shared" si="78"/>
        <v>-3.3979166666666667</v>
      </c>
      <c r="R93" s="88">
        <f t="shared" si="78"/>
        <v>-2.2624999999999997</v>
      </c>
      <c r="S93" s="88">
        <f t="shared" si="78"/>
        <v>-2.3250000000000002</v>
      </c>
      <c r="T93" s="88">
        <f t="shared" si="78"/>
        <v>-1.9416666666666669</v>
      </c>
      <c r="U93" s="88">
        <f t="shared" si="78"/>
        <v>-4.7166666666666668</v>
      </c>
      <c r="V93" s="88">
        <f t="shared" si="78"/>
        <v>-5.9187500000000002</v>
      </c>
      <c r="W93" s="88">
        <f t="shared" si="78"/>
        <v>-5.7854166666666664</v>
      </c>
      <c r="X93" s="88">
        <f t="shared" si="78"/>
        <v>-5.6520833333333336</v>
      </c>
      <c r="Y93" s="88">
        <f t="shared" si="78"/>
        <v>-5.6520833333333336</v>
      </c>
      <c r="Z93" s="88">
        <f t="shared" si="78"/>
        <v>-5.7854166666666664</v>
      </c>
      <c r="AA93" s="88">
        <f t="shared" si="78"/>
        <v>-6.84375</v>
      </c>
      <c r="AB93" s="88">
        <f t="shared" si="78"/>
        <v>-6.96875</v>
      </c>
      <c r="AC93" s="88">
        <f t="shared" si="78"/>
        <v>-6.96875</v>
      </c>
      <c r="AD93" s="88">
        <f t="shared" si="78"/>
        <v>-6.7770833333333336</v>
      </c>
      <c r="AE93" s="88">
        <f t="shared" si="78"/>
        <v>-6.7770833333333336</v>
      </c>
      <c r="AF93" s="88">
        <f t="shared" si="78"/>
        <v>-6.7770833333333336</v>
      </c>
      <c r="AG93" s="88">
        <f t="shared" si="78"/>
        <v>-6.7770833333333336</v>
      </c>
      <c r="AH93" s="88">
        <f t="shared" si="78"/>
        <v>-5.6416666666666675</v>
      </c>
      <c r="AI93" s="88">
        <f t="shared" si="78"/>
        <v>-5.7527777777777782</v>
      </c>
      <c r="AJ93" s="88">
        <f t="shared" ref="AJ93:BC93" si="79">SUM(AJ88:AJ92)</f>
        <v>-5.7527777777777782</v>
      </c>
      <c r="AK93" s="88">
        <f t="shared" si="79"/>
        <v>-6.8083333333333336</v>
      </c>
      <c r="AL93" s="88">
        <f t="shared" si="79"/>
        <v>-6.8083333333333336</v>
      </c>
      <c r="AM93" s="88">
        <f t="shared" si="79"/>
        <v>-6.8083333333333336</v>
      </c>
      <c r="AN93" s="88">
        <f t="shared" si="79"/>
        <v>-6.8083333333333336</v>
      </c>
      <c r="AO93" s="88">
        <f t="shared" si="79"/>
        <v>-6.8083333333333336</v>
      </c>
      <c r="AP93" s="88">
        <f t="shared" si="79"/>
        <v>-6.8083333333333336</v>
      </c>
      <c r="AQ93" s="88">
        <f t="shared" si="79"/>
        <v>-6.9375</v>
      </c>
      <c r="AR93" s="88">
        <f t="shared" si="79"/>
        <v>-7</v>
      </c>
      <c r="AS93" s="88">
        <f t="shared" si="79"/>
        <v>-7</v>
      </c>
      <c r="AT93" s="88">
        <f t="shared" si="79"/>
        <v>-7</v>
      </c>
      <c r="AU93" s="88">
        <f t="shared" si="79"/>
        <v>-7</v>
      </c>
      <c r="AV93" s="88">
        <f t="shared" si="79"/>
        <v>-7</v>
      </c>
      <c r="AW93" s="88">
        <f t="shared" si="79"/>
        <v>-7</v>
      </c>
      <c r="AX93" s="88">
        <f t="shared" si="79"/>
        <v>-7</v>
      </c>
      <c r="AY93" s="88">
        <f t="shared" si="79"/>
        <v>-7</v>
      </c>
      <c r="AZ93" s="88">
        <f t="shared" si="79"/>
        <v>-7</v>
      </c>
      <c r="BA93" s="88">
        <f t="shared" si="79"/>
        <v>-7</v>
      </c>
      <c r="BB93" s="88">
        <f t="shared" si="79"/>
        <v>-7</v>
      </c>
      <c r="BC93" s="88">
        <f t="shared" si="79"/>
        <v>-7</v>
      </c>
    </row>
    <row r="94" spans="1:55" hidden="1" outlineLevel="1" x14ac:dyDescent="0.25">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row>
    <row r="95" spans="1:55" hidden="1" outlineLevel="1" x14ac:dyDescent="0.25">
      <c r="A95" s="24" t="s">
        <v>101</v>
      </c>
      <c r="B95" s="25" t="s">
        <v>28</v>
      </c>
      <c r="C95" s="25" t="s">
        <v>63</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row>
    <row r="96" spans="1:55" hidden="1" outlineLevel="1" x14ac:dyDescent="0.25">
      <c r="A96" s="78" t="s">
        <v>61</v>
      </c>
      <c r="B96" s="89">
        <f>SUM(D96:BC96)</f>
        <v>32</v>
      </c>
      <c r="C96" s="89">
        <f>MAX(D96:BC96)</f>
        <v>3</v>
      </c>
      <c r="D96" s="90">
        <f>COUNTIF(D80:D84,"&gt;"&amp;Assumptions!$B$8)</f>
        <v>3</v>
      </c>
      <c r="E96" s="90">
        <f>COUNTIF(E80:E84,"&gt;"&amp;Assumptions!$B$8)</f>
        <v>3</v>
      </c>
      <c r="F96" s="90">
        <f>COUNTIF(F80:F84,"&gt;"&amp;Assumptions!$B$8)</f>
        <v>3</v>
      </c>
      <c r="G96" s="90">
        <f>COUNTIF(G80:G84,"&gt;"&amp;Assumptions!$B$8)</f>
        <v>3</v>
      </c>
      <c r="H96" s="90">
        <f>COUNTIF(H80:H84,"&gt;"&amp;Assumptions!$B$8)</f>
        <v>3</v>
      </c>
      <c r="I96" s="90">
        <f>COUNTIF(I80:I84,"&gt;"&amp;Assumptions!$B$8)</f>
        <v>3</v>
      </c>
      <c r="J96" s="90">
        <f>COUNTIF(J80:J84,"&gt;"&amp;Assumptions!$B$8)</f>
        <v>1</v>
      </c>
      <c r="K96" s="90">
        <f>COUNTIF(K80:K84,"&gt;"&amp;Assumptions!$B$8)</f>
        <v>2</v>
      </c>
      <c r="L96" s="90">
        <f>COUNTIF(L80:L84,"&gt;"&amp;Assumptions!$B$8)</f>
        <v>2</v>
      </c>
      <c r="M96" s="90">
        <f>COUNTIF(M80:M84,"&gt;"&amp;Assumptions!$B$8)</f>
        <v>1</v>
      </c>
      <c r="N96" s="90">
        <f>COUNTIF(N80:N84,"&gt;"&amp;Assumptions!$B$8)</f>
        <v>1</v>
      </c>
      <c r="O96" s="90">
        <f>COUNTIF(O80:O84,"&gt;"&amp;Assumptions!$B$8)</f>
        <v>1</v>
      </c>
      <c r="P96" s="90">
        <f>COUNTIF(P80:P84,"&gt;"&amp;Assumptions!$B$8)</f>
        <v>1</v>
      </c>
      <c r="Q96" s="90">
        <f>COUNTIF(Q80:Q84,"&gt;"&amp;Assumptions!$B$8)</f>
        <v>1</v>
      </c>
      <c r="R96" s="90">
        <f>COUNTIF(R80:R84,"&gt;"&amp;Assumptions!$B$8)</f>
        <v>1</v>
      </c>
      <c r="S96" s="90">
        <f>COUNTIF(S80:S84,"&gt;"&amp;Assumptions!$B$8)</f>
        <v>1</v>
      </c>
      <c r="T96" s="90">
        <f>COUNTIF(T80:T84,"&gt;"&amp;Assumptions!$B$8)</f>
        <v>2</v>
      </c>
      <c r="U96" s="90">
        <f>COUNTIF(U80:U84,"&gt;"&amp;Assumptions!$B$8)</f>
        <v>0</v>
      </c>
      <c r="V96" s="90">
        <f>COUNTIF(V80:V84,"&gt;"&amp;Assumptions!$B$8)</f>
        <v>0</v>
      </c>
      <c r="W96" s="90">
        <f>COUNTIF(W80:W84,"&gt;"&amp;Assumptions!$B$8)</f>
        <v>0</v>
      </c>
      <c r="X96" s="90">
        <f>COUNTIF(X80:X84,"&gt;"&amp;Assumptions!$B$8)</f>
        <v>0</v>
      </c>
      <c r="Y96" s="90">
        <f>COUNTIF(Y80:Y84,"&gt;"&amp;Assumptions!$B$8)</f>
        <v>0</v>
      </c>
      <c r="Z96" s="90">
        <f>COUNTIF(Z80:Z84,"&gt;"&amp;Assumptions!$B$8)</f>
        <v>0</v>
      </c>
      <c r="AA96" s="90">
        <f>COUNTIF(AA80:AA84,"&gt;"&amp;Assumptions!$B$8)</f>
        <v>0</v>
      </c>
      <c r="AB96" s="90">
        <f>COUNTIF(AB80:AB84,"&gt;"&amp;Assumptions!$B$8)</f>
        <v>0</v>
      </c>
      <c r="AC96" s="90">
        <f>COUNTIF(AC80:AC84,"&gt;"&amp;Assumptions!$B$8)</f>
        <v>0</v>
      </c>
      <c r="AD96" s="90">
        <f>COUNTIF(AD80:AD84,"&gt;"&amp;Assumptions!$B$8)</f>
        <v>0</v>
      </c>
      <c r="AE96" s="90">
        <f>COUNTIF(AE80:AE84,"&gt;"&amp;Assumptions!$B$8)</f>
        <v>0</v>
      </c>
      <c r="AF96" s="90">
        <f>COUNTIF(AF80:AF84,"&gt;"&amp;Assumptions!$B$8)</f>
        <v>0</v>
      </c>
      <c r="AG96" s="90">
        <f>COUNTIF(AG80:AG84,"&gt;"&amp;Assumptions!$B$8)</f>
        <v>0</v>
      </c>
      <c r="AH96" s="90">
        <f>COUNTIF(AH80:AH84,"&gt;"&amp;Assumptions!$B$8)</f>
        <v>0</v>
      </c>
      <c r="AI96" s="90">
        <f>COUNTIF(AI80:AI84,"&gt;"&amp;Assumptions!$B$8)</f>
        <v>0</v>
      </c>
      <c r="AJ96" s="90">
        <f>COUNTIF(AJ80:AJ84,"&gt;"&amp;Assumptions!$B$8)</f>
        <v>0</v>
      </c>
      <c r="AK96" s="90">
        <f>COUNTIF(AK80:AK84,"&gt;"&amp;Assumptions!$B$8)</f>
        <v>0</v>
      </c>
      <c r="AL96" s="90">
        <f>COUNTIF(AL80:AL84,"&gt;"&amp;Assumptions!$B$8)</f>
        <v>0</v>
      </c>
      <c r="AM96" s="90">
        <f>COUNTIF(AM80:AM84,"&gt;"&amp;Assumptions!$B$8)</f>
        <v>0</v>
      </c>
      <c r="AN96" s="90">
        <f>COUNTIF(AN80:AN84,"&gt;"&amp;Assumptions!$B$8)</f>
        <v>0</v>
      </c>
      <c r="AO96" s="90">
        <f>COUNTIF(AO80:AO84,"&gt;"&amp;Assumptions!$B$8)</f>
        <v>0</v>
      </c>
      <c r="AP96" s="90">
        <f>COUNTIF(AP80:AP84,"&gt;"&amp;Assumptions!$B$8)</f>
        <v>0</v>
      </c>
      <c r="AQ96" s="90">
        <f>COUNTIF(AQ80:AQ84,"&gt;"&amp;Assumptions!$B$8)</f>
        <v>0</v>
      </c>
      <c r="AR96" s="90">
        <f>COUNTIF(AR80:AR84,"&gt;"&amp;Assumptions!$B$8)</f>
        <v>0</v>
      </c>
      <c r="AS96" s="90">
        <f>COUNTIF(AS80:AS84,"&gt;"&amp;Assumptions!$B$8)</f>
        <v>0</v>
      </c>
      <c r="AT96" s="90">
        <f>COUNTIF(AT80:AT84,"&gt;"&amp;Assumptions!$B$8)</f>
        <v>0</v>
      </c>
      <c r="AU96" s="90">
        <f>COUNTIF(AU80:AU84,"&gt;"&amp;Assumptions!$B$8)</f>
        <v>0</v>
      </c>
      <c r="AV96" s="90">
        <f>COUNTIF(AV80:AV84,"&gt;"&amp;Assumptions!$B$8)</f>
        <v>0</v>
      </c>
      <c r="AW96" s="90">
        <f>COUNTIF(AW80:AW84,"&gt;"&amp;Assumptions!$B$8)</f>
        <v>0</v>
      </c>
      <c r="AX96" s="90">
        <f>COUNTIF(AX80:AX84,"&gt;"&amp;Assumptions!$B$8)</f>
        <v>0</v>
      </c>
      <c r="AY96" s="90">
        <f>COUNTIF(AY80:AY84,"&gt;"&amp;Assumptions!$B$8)</f>
        <v>0</v>
      </c>
      <c r="AZ96" s="90">
        <f>COUNTIF(AZ80:AZ84,"&gt;"&amp;Assumptions!$B$8)</f>
        <v>0</v>
      </c>
      <c r="BA96" s="90">
        <f>COUNTIF(BA80:BA84,"&gt;"&amp;Assumptions!$B$8)</f>
        <v>0</v>
      </c>
      <c r="BB96" s="90">
        <f>COUNTIF(BB80:BB84,"&gt;"&amp;Assumptions!$B$8)</f>
        <v>0</v>
      </c>
      <c r="BC96" s="90">
        <f>COUNTIF(BC80:BC84,"&gt;"&amp;Assumptions!$B$8)</f>
        <v>0</v>
      </c>
    </row>
    <row r="97" spans="1:55" hidden="1" outlineLevel="1" x14ac:dyDescent="0.25">
      <c r="A97" s="78" t="s">
        <v>62</v>
      </c>
      <c r="B97" s="89">
        <f>SUM(D97:BC97)</f>
        <v>200</v>
      </c>
      <c r="C97" s="89">
        <f>MAX(D97:BC97)</f>
        <v>5</v>
      </c>
      <c r="D97" s="90">
        <f>COUNTIF(D80:D84,"&lt;"&amp;Assumptions!$B$9)</f>
        <v>2</v>
      </c>
      <c r="E97" s="90">
        <f>COUNTIF(E80:E84,"&lt;"&amp;Assumptions!$B$9)</f>
        <v>0</v>
      </c>
      <c r="F97" s="90">
        <f>COUNTIF(F80:F84,"&lt;"&amp;Assumptions!$B$9)</f>
        <v>0</v>
      </c>
      <c r="G97" s="90">
        <f>COUNTIF(G80:G84,"&lt;"&amp;Assumptions!$B$9)</f>
        <v>0</v>
      </c>
      <c r="H97" s="90">
        <f>COUNTIF(H80:H84,"&lt;"&amp;Assumptions!$B$9)</f>
        <v>0</v>
      </c>
      <c r="I97" s="90">
        <f>COUNTIF(I80:I84,"&lt;"&amp;Assumptions!$B$9)</f>
        <v>0</v>
      </c>
      <c r="J97" s="90">
        <f>COUNTIF(J80:J84,"&lt;"&amp;Assumptions!$B$9)</f>
        <v>0</v>
      </c>
      <c r="K97" s="90">
        <f>COUNTIF(K80:K84,"&lt;"&amp;Assumptions!$B$9)</f>
        <v>1</v>
      </c>
      <c r="L97" s="90">
        <f>COUNTIF(L80:L84,"&lt;"&amp;Assumptions!$B$9)</f>
        <v>1</v>
      </c>
      <c r="M97" s="90">
        <f>COUNTIF(M80:M84,"&lt;"&amp;Assumptions!$B$9)</f>
        <v>2</v>
      </c>
      <c r="N97" s="90">
        <f>COUNTIF(N80:N84,"&lt;"&amp;Assumptions!$B$9)</f>
        <v>2</v>
      </c>
      <c r="O97" s="90">
        <f>COUNTIF(O80:O84,"&lt;"&amp;Assumptions!$B$9)</f>
        <v>4</v>
      </c>
      <c r="P97" s="90">
        <f>COUNTIF(P80:P84,"&lt;"&amp;Assumptions!$B$9)</f>
        <v>4</v>
      </c>
      <c r="Q97" s="90">
        <f>COUNTIF(Q80:Q84,"&lt;"&amp;Assumptions!$B$9)</f>
        <v>4</v>
      </c>
      <c r="R97" s="90">
        <f>COUNTIF(R80:R84,"&lt;"&amp;Assumptions!$B$9)</f>
        <v>3</v>
      </c>
      <c r="S97" s="90">
        <f>COUNTIF(S80:S84,"&lt;"&amp;Assumptions!$B$9)</f>
        <v>3</v>
      </c>
      <c r="T97" s="90">
        <f>COUNTIF(T80:T84,"&lt;"&amp;Assumptions!$B$9)</f>
        <v>3</v>
      </c>
      <c r="U97" s="90">
        <f>COUNTIF(U80:U84,"&lt;"&amp;Assumptions!$B$9)</f>
        <v>4</v>
      </c>
      <c r="V97" s="90">
        <f>COUNTIF(V80:V84,"&lt;"&amp;Assumptions!$B$9)</f>
        <v>5</v>
      </c>
      <c r="W97" s="90">
        <f>COUNTIF(W80:W84,"&lt;"&amp;Assumptions!$B$9)</f>
        <v>5</v>
      </c>
      <c r="X97" s="90">
        <f>COUNTIF(X80:X84,"&lt;"&amp;Assumptions!$B$9)</f>
        <v>5</v>
      </c>
      <c r="Y97" s="90">
        <f>COUNTIF(Y80:Y84,"&lt;"&amp;Assumptions!$B$9)</f>
        <v>5</v>
      </c>
      <c r="Z97" s="90">
        <f>COUNTIF(Z80:Z84,"&lt;"&amp;Assumptions!$B$9)</f>
        <v>5</v>
      </c>
      <c r="AA97" s="90">
        <f>COUNTIF(AA80:AA84,"&lt;"&amp;Assumptions!$B$9)</f>
        <v>5</v>
      </c>
      <c r="AB97" s="90">
        <f>COUNTIF(AB80:AB84,"&lt;"&amp;Assumptions!$B$9)</f>
        <v>5</v>
      </c>
      <c r="AC97" s="90">
        <f>COUNTIF(AC80:AC84,"&lt;"&amp;Assumptions!$B$9)</f>
        <v>5</v>
      </c>
      <c r="AD97" s="90">
        <f>COUNTIF(AD80:AD84,"&lt;"&amp;Assumptions!$B$9)</f>
        <v>5</v>
      </c>
      <c r="AE97" s="90">
        <f>COUNTIF(AE80:AE84,"&lt;"&amp;Assumptions!$B$9)</f>
        <v>5</v>
      </c>
      <c r="AF97" s="90">
        <f>COUNTIF(AF80:AF84,"&lt;"&amp;Assumptions!$B$9)</f>
        <v>5</v>
      </c>
      <c r="AG97" s="90">
        <f>COUNTIF(AG80:AG84,"&lt;"&amp;Assumptions!$B$9)</f>
        <v>5</v>
      </c>
      <c r="AH97" s="90">
        <f>COUNTIF(AH80:AH84,"&lt;"&amp;Assumptions!$B$9)</f>
        <v>4</v>
      </c>
      <c r="AI97" s="90">
        <f>COUNTIF(AI80:AI84,"&lt;"&amp;Assumptions!$B$9)</f>
        <v>4</v>
      </c>
      <c r="AJ97" s="90">
        <f>COUNTIF(AJ80:AJ84,"&lt;"&amp;Assumptions!$B$9)</f>
        <v>4</v>
      </c>
      <c r="AK97" s="90">
        <f>COUNTIF(AK80:AK84,"&lt;"&amp;Assumptions!$B$9)</f>
        <v>5</v>
      </c>
      <c r="AL97" s="90">
        <f>COUNTIF(AL80:AL84,"&lt;"&amp;Assumptions!$B$9)</f>
        <v>5</v>
      </c>
      <c r="AM97" s="90">
        <f>COUNTIF(AM80:AM84,"&lt;"&amp;Assumptions!$B$9)</f>
        <v>5</v>
      </c>
      <c r="AN97" s="90">
        <f>COUNTIF(AN80:AN84,"&lt;"&amp;Assumptions!$B$9)</f>
        <v>5</v>
      </c>
      <c r="AO97" s="90">
        <f>COUNTIF(AO80:AO84,"&lt;"&amp;Assumptions!$B$9)</f>
        <v>5</v>
      </c>
      <c r="AP97" s="90">
        <f>COUNTIF(AP80:AP84,"&lt;"&amp;Assumptions!$B$9)</f>
        <v>5</v>
      </c>
      <c r="AQ97" s="90">
        <f>COUNTIF(AQ80:AQ84,"&lt;"&amp;Assumptions!$B$9)</f>
        <v>5</v>
      </c>
      <c r="AR97" s="90">
        <f>COUNTIF(AR80:AR84,"&lt;"&amp;Assumptions!$B$9)</f>
        <v>5</v>
      </c>
      <c r="AS97" s="90">
        <f>COUNTIF(AS80:AS84,"&lt;"&amp;Assumptions!$B$9)</f>
        <v>5</v>
      </c>
      <c r="AT97" s="90">
        <f>COUNTIF(AT80:AT84,"&lt;"&amp;Assumptions!$B$9)</f>
        <v>5</v>
      </c>
      <c r="AU97" s="90">
        <f>COUNTIF(AU80:AU84,"&lt;"&amp;Assumptions!$B$9)</f>
        <v>5</v>
      </c>
      <c r="AV97" s="90">
        <f>COUNTIF(AV80:AV84,"&lt;"&amp;Assumptions!$B$9)</f>
        <v>5</v>
      </c>
      <c r="AW97" s="90">
        <f>COUNTIF(AW80:AW84,"&lt;"&amp;Assumptions!$B$9)</f>
        <v>5</v>
      </c>
      <c r="AX97" s="90">
        <f>COUNTIF(AX80:AX84,"&lt;"&amp;Assumptions!$B$9)</f>
        <v>5</v>
      </c>
      <c r="AY97" s="90">
        <f>COUNTIF(AY80:AY84,"&lt;"&amp;Assumptions!$B$9)</f>
        <v>5</v>
      </c>
      <c r="AZ97" s="90">
        <f>COUNTIF(AZ80:AZ84,"&lt;"&amp;Assumptions!$B$9)</f>
        <v>5</v>
      </c>
      <c r="BA97" s="90">
        <f>COUNTIF(BA80:BA84,"&lt;"&amp;Assumptions!$B$9)</f>
        <v>5</v>
      </c>
      <c r="BB97" s="90">
        <f>COUNTIF(BB80:BB84,"&lt;"&amp;Assumptions!$B$9)</f>
        <v>5</v>
      </c>
      <c r="BC97" s="90">
        <f>COUNTIF(BC80:BC84,"&lt;"&amp;Assumptions!$B$9)</f>
        <v>5</v>
      </c>
    </row>
    <row r="98" spans="1:55" hidden="1" outlineLevel="1" x14ac:dyDescent="0.25"/>
    <row r="99" spans="1:55" hidden="1" outlineLevel="1" x14ac:dyDescent="0.25">
      <c r="A99" s="15" t="s">
        <v>64</v>
      </c>
    </row>
    <row r="100" spans="1:55" hidden="1" outlineLevel="1" x14ac:dyDescent="0.25">
      <c r="A100" s="2" t="s">
        <v>65</v>
      </c>
    </row>
    <row r="101" spans="1:55" hidden="1" outlineLevel="1" x14ac:dyDescent="0.25">
      <c r="A101" s="2" t="s">
        <v>66</v>
      </c>
    </row>
    <row r="102" spans="1:55" hidden="1" outlineLevel="1" x14ac:dyDescent="0.25">
      <c r="A102" s="2" t="s">
        <v>67</v>
      </c>
    </row>
    <row r="103" spans="1:55" collapsed="1" x14ac:dyDescent="0.25"/>
  </sheetData>
  <conditionalFormatting sqref="A8:BC17">
    <cfRule type="expression" dxfId="23" priority="20">
      <formula>$A8=""</formula>
    </cfRule>
  </conditionalFormatting>
  <conditionalFormatting sqref="B8:BC17">
    <cfRule type="expression" dxfId="22" priority="18">
      <formula>AND($A8&lt;&gt;"",ISNUMBER(B8),ISNUMBER(B21),B8&gt;B21)</formula>
    </cfRule>
    <cfRule type="expression" dxfId="21" priority="19">
      <formula>AND($A8&lt;&gt;"",ISNUMBER(B8),ISNUMBER(B21),B8&lt;=B21)</formula>
    </cfRule>
  </conditionalFormatting>
  <conditionalFormatting sqref="B34:BC44">
    <cfRule type="expression" dxfId="20" priority="8">
      <formula>AND(ISNUMBER(B34),B34&gt;0)</formula>
    </cfRule>
    <cfRule type="expression" dxfId="19" priority="9">
      <formula>AND(ISNUMBER(B34),B34&lt;=0)</formula>
    </cfRule>
  </conditionalFormatting>
  <conditionalFormatting sqref="B49:BC49">
    <cfRule type="expression" dxfId="16" priority="17">
      <formula>B49&gt;0</formula>
    </cfRule>
  </conditionalFormatting>
  <conditionalFormatting sqref="D72:BC77">
    <cfRule type="expression" dxfId="12" priority="4">
      <formula>D72&lt;0</formula>
    </cfRule>
  </conditionalFormatting>
  <conditionalFormatting sqref="D96:BC96">
    <cfRule type="expression" dxfId="6" priority="7">
      <formula>D96&gt;0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 id="{AC307C55-4A58-4FB0-A317-09A0BCCD4A96}">
            <xm:f>B48&gt;=Assumptions!$B$10</xm:f>
            <x14:dxf>
              <font>
                <color rgb="FF9C0006"/>
              </font>
              <fill>
                <patternFill patternType="solid">
                  <fgColor indexed="64"/>
                  <bgColor rgb="FFFFC7CE"/>
                </patternFill>
              </fill>
            </x14:dxf>
          </x14:cfRule>
          <x14:cfRule type="expression" priority="16" id="{156008A6-D00C-4452-A1DF-EF95AE596E7C}">
            <xm:f>AND(B48&gt;0,B48&lt;Assumptions!$B$10)</xm:f>
            <x14:dxf>
              <font>
                <color rgb="FF9C5700"/>
              </font>
              <fill>
                <patternFill patternType="solid">
                  <fgColor indexed="64"/>
                  <bgColor rgb="FFFFEB9C"/>
                </patternFill>
              </fill>
            </x14:dxf>
          </x14:cfRule>
          <xm:sqref>B48:BC48</xm:sqref>
        </x14:conditionalFormatting>
        <x14:conditionalFormatting xmlns:xm="http://schemas.microsoft.com/office/excel/2006/main">
          <x14:cfRule type="expression" priority="10" id="{713F2326-B3DC-4229-84FC-346A9E7BEFB2}">
            <xm:f>D47&gt;Assumptions!$B$8</xm:f>
            <x14:dxf>
              <font>
                <color rgb="FF9C0006"/>
              </font>
              <fill>
                <patternFill patternType="solid">
                  <fgColor indexed="64"/>
                  <bgColor rgb="FFFFC7CE"/>
                </patternFill>
              </fill>
            </x14:dxf>
          </x14:cfRule>
          <x14:cfRule type="expression" priority="11" id="{7234B87C-5DFF-4CF9-AFE8-497ECA242AAE}">
            <xm:f>D47&lt;Assumptions!$B$9</xm:f>
            <x14:dxf>
              <font>
                <color rgb="FF9C5700"/>
              </font>
              <fill>
                <patternFill patternType="solid">
                  <fgColor indexed="64"/>
                  <bgColor rgb="FFFFEB9C"/>
                </patternFill>
              </fill>
            </x14:dxf>
          </x14:cfRule>
          <x14:cfRule type="expression" priority="12" id="{AA4A7340-704D-4F53-A980-4887E910B119}">
            <xm:f>AND(D47&gt;=Assumptions!$B$9,D47&lt;=Assumptions!$B$8)</xm:f>
            <x14:dxf>
              <font>
                <color rgb="FF006100"/>
              </font>
              <fill>
                <patternFill patternType="solid">
                  <fgColor indexed="64"/>
                  <bgColor rgb="FFC6EFCE"/>
                </patternFill>
              </fill>
            </x14:dxf>
          </x14:cfRule>
          <xm:sqref>D47:BC47</xm:sqref>
        </x14:conditionalFormatting>
        <x14:conditionalFormatting xmlns:xm="http://schemas.microsoft.com/office/excel/2006/main">
          <x14:cfRule type="expression" priority="1" id="{54EEC132-8B60-4905-8AB9-BF7956EC4092}">
            <xm:f>D80&gt;Assumptions!$B$8</xm:f>
            <x14:dxf>
              <font>
                <color rgb="FF9C0006"/>
              </font>
              <fill>
                <patternFill patternType="solid">
                  <fgColor indexed="64"/>
                  <bgColor rgb="FFFFC7CE"/>
                </patternFill>
              </fill>
            </x14:dxf>
          </x14:cfRule>
          <x14:cfRule type="expression" priority="2" id="{9CA52443-67BC-4370-8E39-A0E0AE3876ED}">
            <xm:f>D80&lt;Assumptions!$B$9</xm:f>
            <x14:dxf>
              <font>
                <color rgb="FF9C5700"/>
              </font>
              <fill>
                <patternFill patternType="solid">
                  <fgColor indexed="64"/>
                  <bgColor rgb="FFFFEB9C"/>
                </patternFill>
              </fill>
            </x14:dxf>
          </x14:cfRule>
          <x14:cfRule type="expression" priority="3" id="{8BF104B7-D95D-4C62-9E6D-B2EB74C08B48}">
            <xm:f>AND(D80&gt;=Assumptions!$B$9,D80&lt;=Assumptions!$B$8)</xm:f>
            <x14:dxf>
              <font>
                <color rgb="FF006100"/>
              </font>
              <fill>
                <patternFill patternType="solid">
                  <fgColor indexed="64"/>
                  <bgColor rgb="FFC6EFCE"/>
                </patternFill>
              </fill>
            </x14:dxf>
          </x14:cfRule>
          <xm:sqref>D80:BC85</xm:sqref>
        </x14:conditionalFormatting>
        <x14:conditionalFormatting xmlns:xm="http://schemas.microsoft.com/office/excel/2006/main">
          <x14:cfRule type="expression" priority="5" id="{1025C512-CD76-45F0-B5CB-3B9FDC182431}">
            <xm:f>D88&gt;=Assumptions!$B$10</xm:f>
            <x14:dxf>
              <font>
                <color rgb="FF9C0006"/>
              </font>
              <fill>
                <patternFill patternType="solid">
                  <fgColor indexed="64"/>
                  <bgColor rgb="FFFFC7CE"/>
                </patternFill>
              </fill>
            </x14:dxf>
          </x14:cfRule>
          <x14:cfRule type="expression" priority="6" id="{BAF2A5B1-36A6-4745-9B18-EA685A1BEED3}">
            <xm:f>AND(D88&gt;0,D88&lt;Assumptions!$B$10)</xm:f>
            <x14:dxf>
              <font>
                <color rgb="FF9C5700"/>
              </font>
              <fill>
                <patternFill patternType="solid">
                  <fgColor indexed="64"/>
                  <bgColor rgb="FFFFEB9C"/>
                </patternFill>
              </fill>
            </x14:dxf>
          </x14:cfRule>
          <xm:sqref>D88:BC93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CC4F-9896-4667-BBA9-D81972263DBA}">
  <dimension ref="A1:M101"/>
  <sheetViews>
    <sheetView showGridLines="0" workbookViewId="0">
      <selection activeCell="E24" sqref="E24"/>
    </sheetView>
  </sheetViews>
  <sheetFormatPr defaultRowHeight="15" x14ac:dyDescent="0.25"/>
  <cols>
    <col min="1" max="1" width="17.140625" customWidth="1"/>
    <col min="2" max="2" width="49.5703125" customWidth="1"/>
    <col min="3" max="11" width="18.140625" customWidth="1"/>
    <col min="12" max="12" width="30.42578125" customWidth="1"/>
    <col min="13" max="13" width="12.140625" customWidth="1"/>
  </cols>
  <sheetData>
    <row r="1" spans="1:13" ht="18.75" x14ac:dyDescent="0.3">
      <c r="A1" s="1" t="s">
        <v>141</v>
      </c>
    </row>
    <row r="2" spans="1:13" x14ac:dyDescent="0.25">
      <c r="A2" s="2" t="s">
        <v>142</v>
      </c>
    </row>
    <row r="4" spans="1:13" x14ac:dyDescent="0.25">
      <c r="A4" s="19" t="s">
        <v>68</v>
      </c>
      <c r="B4" s="19"/>
      <c r="C4" s="19"/>
      <c r="D4" s="19"/>
      <c r="E4" s="19"/>
      <c r="F4" s="19"/>
      <c r="G4" s="19"/>
      <c r="H4" s="19"/>
      <c r="I4" s="19"/>
      <c r="J4" s="19"/>
      <c r="K4" s="19"/>
      <c r="L4" s="19"/>
      <c r="M4" s="19"/>
    </row>
    <row r="5" spans="1:13" x14ac:dyDescent="0.25">
      <c r="A5" s="96" t="s">
        <v>39</v>
      </c>
      <c r="B5" s="93"/>
      <c r="C5" s="93" t="s">
        <v>69</v>
      </c>
      <c r="D5" s="93" t="s">
        <v>70</v>
      </c>
      <c r="E5" s="93" t="s">
        <v>139</v>
      </c>
      <c r="F5" s="93" t="s">
        <v>42</v>
      </c>
      <c r="G5" s="93" t="s">
        <v>140</v>
      </c>
      <c r="H5" s="93" t="s">
        <v>144</v>
      </c>
    </row>
    <row r="6" spans="1:13" x14ac:dyDescent="0.25">
      <c r="A6" s="97" t="str">
        <f>Assumptions!A25</f>
        <v>Active</v>
      </c>
      <c r="B6" s="78"/>
      <c r="C6" s="91">
        <f>COUNTIFS(pjStatus,$A6,pjType,"&lt;&gt;Project")</f>
        <v>43</v>
      </c>
      <c r="D6" s="75">
        <f>SUMIFS(pjTotHrs,pjStatus,$A6,pjType,"&lt;&gt;Project")</f>
        <v>5330.5</v>
      </c>
      <c r="E6" s="92">
        <f>SUMIFS(pjValue,pjStatus,$A6,pjType,"&lt;&gt;Project")</f>
        <v>1098015</v>
      </c>
      <c r="F6" s="92">
        <f>SUMIFS(pjFee,pjStatus,$A6,pjType,"&lt;&gt;Project")</f>
        <v>2591500</v>
      </c>
      <c r="G6" s="92">
        <f>F6-E6</f>
        <v>1493485</v>
      </c>
      <c r="H6" s="82">
        <f>IF(F6=0,"",E6/F6)</f>
        <v>0.42369863013698628</v>
      </c>
    </row>
    <row r="7" spans="1:13" x14ac:dyDescent="0.25">
      <c r="A7" s="97" t="str">
        <f>Assumptions!A26</f>
        <v>Prospective</v>
      </c>
      <c r="B7" s="78"/>
      <c r="C7" s="91">
        <f>COUNTIFS(pjStatus,$A7,pjType,"&lt;&gt;Project")</f>
        <v>0</v>
      </c>
      <c r="D7" s="75">
        <f>SUMIFS(pjTotHrs,pjStatus,$A7,pjType,"&lt;&gt;Project")</f>
        <v>0</v>
      </c>
      <c r="E7" s="92">
        <f>SUMIFS(pjValue,pjStatus,$A7,pjType,"&lt;&gt;Project")</f>
        <v>0</v>
      </c>
      <c r="F7" s="92">
        <f>SUMIFS(pjFee,pjStatus,$A7,pjType,"&lt;&gt;Project")</f>
        <v>0</v>
      </c>
      <c r="G7" s="92">
        <f>F7-E7</f>
        <v>0</v>
      </c>
      <c r="H7" s="82" t="str">
        <f>IF(F7=0,"",E7/F7)</f>
        <v/>
      </c>
    </row>
    <row r="8" spans="1:13" x14ac:dyDescent="0.25">
      <c r="A8" s="97" t="str">
        <f>Assumptions!A27</f>
        <v>Inactive</v>
      </c>
      <c r="B8" s="78"/>
      <c r="C8" s="91">
        <f>COUNTIFS(pjStatus,$A8,pjType,"&lt;&gt;Project")</f>
        <v>5</v>
      </c>
      <c r="D8" s="75">
        <f>SUMIFS(pjTotHrs,pjStatus,$A8,pjType,"&lt;&gt;Project")</f>
        <v>0</v>
      </c>
      <c r="E8" s="92">
        <f>SUMIFS(pjValue,pjStatus,$A8,pjType,"&lt;&gt;Project")</f>
        <v>0</v>
      </c>
      <c r="F8" s="92">
        <f>SUMIFS(pjFee,pjStatus,$A8,pjType,"&lt;&gt;Project")</f>
        <v>127500</v>
      </c>
      <c r="G8" s="92">
        <f>F8-E8</f>
        <v>127500</v>
      </c>
      <c r="H8" s="82">
        <f>IF(F8=0,"",E8/F8)</f>
        <v>0</v>
      </c>
    </row>
    <row r="9" spans="1:13" x14ac:dyDescent="0.25">
      <c r="A9" s="79" t="s">
        <v>175</v>
      </c>
      <c r="B9" s="79"/>
      <c r="C9" s="94">
        <f>SUM(C6:C7)</f>
        <v>43</v>
      </c>
      <c r="D9" s="77">
        <f>SUM(D6:D7)</f>
        <v>5330.5</v>
      </c>
      <c r="E9" s="95">
        <f>SUM(E6:E7)</f>
        <v>1098015</v>
      </c>
      <c r="F9" s="95">
        <f>SUM(F6:F7)</f>
        <v>2591500</v>
      </c>
      <c r="G9" s="95">
        <f>F9-E9</f>
        <v>1493485</v>
      </c>
      <c r="H9" s="84">
        <f>IF(F9=0,"",E9/F9)</f>
        <v>0.42369863013698628</v>
      </c>
    </row>
    <row r="11" spans="1:13" x14ac:dyDescent="0.25">
      <c r="A11" s="19" t="s">
        <v>71</v>
      </c>
      <c r="B11" s="19"/>
      <c r="C11" s="19"/>
      <c r="D11" s="19"/>
      <c r="E11" s="19"/>
      <c r="F11" s="19"/>
      <c r="G11" s="19"/>
      <c r="H11" s="19"/>
      <c r="I11" s="19"/>
      <c r="J11" s="19"/>
      <c r="K11" s="19"/>
      <c r="L11" s="19"/>
      <c r="M11" s="19"/>
    </row>
    <row r="12" spans="1:13" x14ac:dyDescent="0.25">
      <c r="A12" s="96" t="s">
        <v>18</v>
      </c>
      <c r="B12" s="93"/>
      <c r="C12" s="93" t="s">
        <v>19</v>
      </c>
      <c r="D12" s="93" t="s">
        <v>70</v>
      </c>
      <c r="E12" s="93" t="s">
        <v>139</v>
      </c>
      <c r="F12" s="93" t="s">
        <v>143</v>
      </c>
    </row>
    <row r="13" spans="1:13" x14ac:dyDescent="0.25">
      <c r="A13" s="97" t="str">
        <f>Assumptions!A15</f>
        <v>Principal</v>
      </c>
      <c r="B13" s="78"/>
      <c r="C13" s="99">
        <f>Assumptions!B15</f>
        <v>290</v>
      </c>
      <c r="D13" s="75">
        <f>SUMIFS(pjTotPr,pjType,"&lt;&gt;Project",pjStatus,"&lt;&gt;Inactive")</f>
        <v>1298.5</v>
      </c>
      <c r="E13" s="92">
        <f>C13*D13</f>
        <v>376565</v>
      </c>
      <c r="F13" s="82">
        <f>IF($E$18=0,"",E13/$E$18)</f>
        <v>0.34295068828750064</v>
      </c>
    </row>
    <row r="14" spans="1:13" x14ac:dyDescent="0.25">
      <c r="A14" s="97" t="str">
        <f>Assumptions!A16</f>
        <v>Director</v>
      </c>
      <c r="B14" s="78"/>
      <c r="C14" s="99">
        <f>Assumptions!B16</f>
        <v>250</v>
      </c>
      <c r="D14" s="75">
        <f>SUMIFS(pjTotDir,pjType,"&lt;&gt;Project",pjStatus,"&lt;&gt;Inactive")</f>
        <v>775</v>
      </c>
      <c r="E14" s="92">
        <f>C14*D14</f>
        <v>193750</v>
      </c>
      <c r="F14" s="82">
        <f>IF($E$18=0,"",E14/$E$18)</f>
        <v>0.17645478431533268</v>
      </c>
    </row>
    <row r="15" spans="1:13" x14ac:dyDescent="0.25">
      <c r="A15" s="97" t="str">
        <f>Assumptions!A17</f>
        <v>Senior Designer</v>
      </c>
      <c r="B15" s="78"/>
      <c r="C15" s="99">
        <f>Assumptions!B17</f>
        <v>200</v>
      </c>
      <c r="D15" s="75">
        <f>SUMIFS(pjTotSD,pjType,"&lt;&gt;Project",pjStatus,"&lt;&gt;Inactive")</f>
        <v>509</v>
      </c>
      <c r="E15" s="92">
        <f>C15*D15</f>
        <v>101800</v>
      </c>
      <c r="F15" s="82">
        <f>IF($E$18=0,"",E15/$E$18)</f>
        <v>9.2712758933165759E-2</v>
      </c>
    </row>
    <row r="16" spans="1:13" x14ac:dyDescent="0.25">
      <c r="A16" s="97" t="str">
        <f>Assumptions!A18</f>
        <v>Mid Level Designer</v>
      </c>
      <c r="B16" s="78"/>
      <c r="C16" s="99">
        <f>Assumptions!B18</f>
        <v>175</v>
      </c>
      <c r="D16" s="75">
        <f>SUMIFS(pjTotMid,pjType,"&lt;&gt;Project",pjStatus,"&lt;&gt;Inactive")</f>
        <v>1373</v>
      </c>
      <c r="E16" s="92">
        <f>C16*D16</f>
        <v>240275</v>
      </c>
      <c r="F16" s="82">
        <f>IF($E$18=0,"",E16/$E$18)</f>
        <v>0.218826700910279</v>
      </c>
    </row>
    <row r="17" spans="1:12" x14ac:dyDescent="0.25">
      <c r="A17" s="97" t="str">
        <f>Assumptions!A19</f>
        <v>Project Designer</v>
      </c>
      <c r="B17" s="78"/>
      <c r="C17" s="99">
        <f>Assumptions!B19</f>
        <v>135</v>
      </c>
      <c r="D17" s="75">
        <f>SUMIFS(pjTotPD,pjType,"&lt;&gt;Project",pjStatus,"&lt;&gt;Inactive")</f>
        <v>1375</v>
      </c>
      <c r="E17" s="92">
        <f>C17*D17</f>
        <v>185625</v>
      </c>
      <c r="F17" s="82">
        <f>IF($E$18=0,"",E17/$E$18)</f>
        <v>0.16905506755372193</v>
      </c>
    </row>
    <row r="18" spans="1:12" x14ac:dyDescent="0.25">
      <c r="A18" s="79" t="s">
        <v>72</v>
      </c>
      <c r="B18" s="79"/>
      <c r="C18" s="98">
        <f>IF(D18=0,"",E18/D18)</f>
        <v>205.98724322296221</v>
      </c>
      <c r="D18" s="77">
        <f>SUM(D13:D17)</f>
        <v>5330.5</v>
      </c>
      <c r="E18" s="95">
        <f>SUM(E13:E17)</f>
        <v>1098015</v>
      </c>
      <c r="F18" s="84">
        <f>IF(E18=0,"",SUM(F13:F17))</f>
        <v>1</v>
      </c>
    </row>
    <row r="20" spans="1:12" x14ac:dyDescent="0.25">
      <c r="A20" s="19" t="s">
        <v>73</v>
      </c>
      <c r="B20" s="19"/>
      <c r="C20" s="19"/>
      <c r="D20" s="19"/>
      <c r="E20" s="19"/>
      <c r="F20" s="19"/>
      <c r="G20" s="19"/>
      <c r="H20" s="19"/>
      <c r="I20" s="19"/>
      <c r="J20" s="19"/>
      <c r="K20" s="19"/>
      <c r="L20" s="19"/>
    </row>
    <row r="21" spans="1:12" ht="32.1" customHeight="1" x14ac:dyDescent="0.25">
      <c r="A21" s="93" t="s">
        <v>36</v>
      </c>
      <c r="B21" s="93" t="s">
        <v>37</v>
      </c>
      <c r="C21" s="93" t="s">
        <v>39</v>
      </c>
      <c r="D21" s="93" t="s">
        <v>69</v>
      </c>
      <c r="E21" s="93" t="s">
        <v>74</v>
      </c>
      <c r="F21" s="93" t="s">
        <v>75</v>
      </c>
      <c r="G21" s="93" t="s">
        <v>70</v>
      </c>
      <c r="H21" s="93" t="s">
        <v>139</v>
      </c>
      <c r="I21" s="93" t="s">
        <v>42</v>
      </c>
      <c r="J21" s="93" t="s">
        <v>140</v>
      </c>
      <c r="K21" s="93" t="s">
        <v>144</v>
      </c>
      <c r="L21" s="93" t="s">
        <v>76</v>
      </c>
    </row>
    <row r="22" spans="1:12" x14ac:dyDescent="0.25">
      <c r="A22" s="100" cm="1">
        <f t="array" ref="A22:A49">IFERROR(_xlfn._xlws.FILTER(pjNo,(pjType="Project")*(pjNo&lt;&gt;"")),"")</f>
        <v>2256</v>
      </c>
      <c r="B22" s="78" t="str">
        <f t="shared" ref="B22:B53" si="0">IF($A22="","",INDEX(pjName,MATCH($A22,pjNo,0)))</f>
        <v>Marigold Promenade</v>
      </c>
      <c r="C22" s="100" t="str">
        <f t="shared" ref="C22:C53" si="1">IF($A22="","",INDEX(pjStatus,MATCH($A22,pjNo,0)))</f>
        <v>Active</v>
      </c>
      <c r="D22" s="101">
        <f t="shared" ref="D22:D53" si="2">IF($A22="","",COUNTIFS(pjNo,$A22,pjType,"&lt;&gt;Project",pjStatus,"?*"))</f>
        <v>1</v>
      </c>
      <c r="E22" s="102">
        <f t="shared" ref="E22:E53" si="3">IF($A22="","",INDEX(pjStart,MATCH($A22,pjNo,0)))</f>
        <v>46478</v>
      </c>
      <c r="F22" s="102">
        <f t="shared" ref="F22:F53" si="4">IF($A22="","",INDEX(pjEnd,MATCH($A22,pjNo,0)))</f>
        <v>46665</v>
      </c>
      <c r="G22" s="103">
        <f t="shared" ref="G22:G53" si="5">IF($A22="","",SUMIFS(pjTotHrs,pjNo,$A22,pjType,"&lt;&gt;Project"))</f>
        <v>81</v>
      </c>
      <c r="H22" s="104">
        <f t="shared" ref="H22:H53" si="6">IF($A22="","",SUMIFS(pjValue,pjNo,$A22,pjType,"&lt;&gt;Project"))</f>
        <v>21330</v>
      </c>
      <c r="I22" s="104">
        <f t="shared" ref="I22:I53" si="7">IF($A22="","",SUMIFS(pjFee,pjNo,$A22,pjType,"&lt;&gt;Project"))</f>
        <v>43500</v>
      </c>
      <c r="J22" s="104">
        <f>IF($A22="","",I22-H22)</f>
        <v>22170</v>
      </c>
      <c r="K22" s="105">
        <f t="shared" ref="K22:K53" si="8">IF($A22="","",IF(I22=0,"",H22/I22))</f>
        <v>0.4903448275862069</v>
      </c>
      <c r="L22" s="78" t="str">
        <f t="shared" ref="L22:L53" si="9">IF($A22="","",IF(G22=0,"No hours entered",IF(I22=0,"No fee entered",IF(J22&lt;0,"Fee below projected cost","OK"))))</f>
        <v>OK</v>
      </c>
    </row>
    <row r="23" spans="1:12" x14ac:dyDescent="0.25">
      <c r="A23" s="100">
        <v>2348</v>
      </c>
      <c r="B23" s="78" t="str">
        <f t="shared" si="0"/>
        <v>Fairhaven Senior Housing</v>
      </c>
      <c r="C23" s="100" t="str">
        <f t="shared" si="1"/>
        <v>Inactive</v>
      </c>
      <c r="D23" s="101">
        <f t="shared" si="2"/>
        <v>0</v>
      </c>
      <c r="E23" s="102" t="str">
        <f t="shared" si="3"/>
        <v/>
      </c>
      <c r="F23" s="102" t="str">
        <f t="shared" si="4"/>
        <v/>
      </c>
      <c r="G23" s="103">
        <f t="shared" si="5"/>
        <v>0</v>
      </c>
      <c r="H23" s="104">
        <f t="shared" si="6"/>
        <v>0</v>
      </c>
      <c r="I23" s="104">
        <f t="shared" si="7"/>
        <v>0</v>
      </c>
      <c r="J23" s="104">
        <f t="shared" ref="J23:J86" si="10">IF($A23="","",I23-H23)</f>
        <v>0</v>
      </c>
      <c r="K23" s="105" t="str">
        <f t="shared" si="8"/>
        <v/>
      </c>
      <c r="L23" s="78" t="str">
        <f t="shared" si="9"/>
        <v>No hours entered</v>
      </c>
    </row>
    <row r="24" spans="1:12" x14ac:dyDescent="0.25">
      <c r="A24" s="100">
        <v>2370</v>
      </c>
      <c r="B24" s="78" t="str">
        <f t="shared" si="0"/>
        <v>Tamarack Housing</v>
      </c>
      <c r="C24" s="100" t="str">
        <f t="shared" si="1"/>
        <v>Inactive</v>
      </c>
      <c r="D24" s="101">
        <f t="shared" si="2"/>
        <v>0</v>
      </c>
      <c r="E24" s="102" t="str">
        <f t="shared" si="3"/>
        <v/>
      </c>
      <c r="F24" s="102" t="str">
        <f t="shared" si="4"/>
        <v/>
      </c>
      <c r="G24" s="103">
        <f t="shared" si="5"/>
        <v>0</v>
      </c>
      <c r="H24" s="104">
        <f t="shared" si="6"/>
        <v>0</v>
      </c>
      <c r="I24" s="104">
        <f t="shared" si="7"/>
        <v>0</v>
      </c>
      <c r="J24" s="104">
        <f t="shared" si="10"/>
        <v>0</v>
      </c>
      <c r="K24" s="105" t="str">
        <f t="shared" si="8"/>
        <v/>
      </c>
      <c r="L24" s="78" t="str">
        <f t="shared" si="9"/>
        <v>No hours entered</v>
      </c>
    </row>
    <row r="25" spans="1:12" x14ac:dyDescent="0.25">
      <c r="A25" s="100">
        <v>2458</v>
      </c>
      <c r="B25" s="78" t="str">
        <f t="shared" si="0"/>
        <v>Summit Ridge Village</v>
      </c>
      <c r="C25" s="100" t="str">
        <f t="shared" si="1"/>
        <v>Inactive</v>
      </c>
      <c r="D25" s="101">
        <f t="shared" si="2"/>
        <v>0</v>
      </c>
      <c r="E25" s="102" t="str">
        <f t="shared" si="3"/>
        <v/>
      </c>
      <c r="F25" s="102" t="str">
        <f t="shared" si="4"/>
        <v/>
      </c>
      <c r="G25" s="103">
        <f t="shared" si="5"/>
        <v>0</v>
      </c>
      <c r="H25" s="104">
        <f t="shared" si="6"/>
        <v>0</v>
      </c>
      <c r="I25" s="104">
        <f t="shared" si="7"/>
        <v>0</v>
      </c>
      <c r="J25" s="104">
        <f t="shared" si="10"/>
        <v>0</v>
      </c>
      <c r="K25" s="105" t="str">
        <f t="shared" si="8"/>
        <v/>
      </c>
      <c r="L25" s="78" t="str">
        <f t="shared" si="9"/>
        <v>No hours entered</v>
      </c>
    </row>
    <row r="26" spans="1:12" x14ac:dyDescent="0.25">
      <c r="A26" s="100">
        <v>2469</v>
      </c>
      <c r="B26" s="78" t="str">
        <f t="shared" si="0"/>
        <v>Fairhaven Village</v>
      </c>
      <c r="C26" s="100" t="str">
        <f t="shared" si="1"/>
        <v>Active</v>
      </c>
      <c r="D26" s="101">
        <f t="shared" si="2"/>
        <v>0</v>
      </c>
      <c r="E26" s="102" t="str">
        <f t="shared" si="3"/>
        <v/>
      </c>
      <c r="F26" s="102" t="str">
        <f t="shared" si="4"/>
        <v/>
      </c>
      <c r="G26" s="103">
        <f t="shared" si="5"/>
        <v>0</v>
      </c>
      <c r="H26" s="104">
        <f t="shared" si="6"/>
        <v>0</v>
      </c>
      <c r="I26" s="104">
        <f t="shared" si="7"/>
        <v>0</v>
      </c>
      <c r="J26" s="104">
        <f t="shared" si="10"/>
        <v>0</v>
      </c>
      <c r="K26" s="105" t="str">
        <f t="shared" si="8"/>
        <v/>
      </c>
      <c r="L26" s="78" t="str">
        <f t="shared" si="9"/>
        <v>No hours entered</v>
      </c>
    </row>
    <row r="27" spans="1:12" x14ac:dyDescent="0.25">
      <c r="A27" s="100">
        <v>2470</v>
      </c>
      <c r="B27" s="78" t="str">
        <f t="shared" si="0"/>
        <v>Canyon Vista Park</v>
      </c>
      <c r="C27" s="100" t="str">
        <f t="shared" si="1"/>
        <v>Active</v>
      </c>
      <c r="D27" s="101">
        <f t="shared" si="2"/>
        <v>0</v>
      </c>
      <c r="E27" s="102" t="str">
        <f t="shared" si="3"/>
        <v/>
      </c>
      <c r="F27" s="102" t="str">
        <f t="shared" si="4"/>
        <v/>
      </c>
      <c r="G27" s="103">
        <f t="shared" si="5"/>
        <v>0</v>
      </c>
      <c r="H27" s="104">
        <f t="shared" si="6"/>
        <v>0</v>
      </c>
      <c r="I27" s="104">
        <f t="shared" si="7"/>
        <v>0</v>
      </c>
      <c r="J27" s="104">
        <f t="shared" si="10"/>
        <v>0</v>
      </c>
      <c r="K27" s="105" t="str">
        <f t="shared" si="8"/>
        <v/>
      </c>
      <c r="L27" s="78" t="str">
        <f t="shared" si="9"/>
        <v>No hours entered</v>
      </c>
    </row>
    <row r="28" spans="1:12" x14ac:dyDescent="0.25">
      <c r="A28" s="100">
        <v>2489</v>
      </c>
      <c r="B28" s="78" t="str">
        <f t="shared" si="0"/>
        <v>Harbor Mobility Hub</v>
      </c>
      <c r="C28" s="100" t="str">
        <f t="shared" si="1"/>
        <v>Active</v>
      </c>
      <c r="D28" s="101">
        <f t="shared" si="2"/>
        <v>0</v>
      </c>
      <c r="E28" s="102" t="str">
        <f t="shared" si="3"/>
        <v/>
      </c>
      <c r="F28" s="102" t="str">
        <f t="shared" si="4"/>
        <v/>
      </c>
      <c r="G28" s="103">
        <f t="shared" si="5"/>
        <v>0</v>
      </c>
      <c r="H28" s="104">
        <f t="shared" si="6"/>
        <v>0</v>
      </c>
      <c r="I28" s="104">
        <f t="shared" si="7"/>
        <v>0</v>
      </c>
      <c r="J28" s="104">
        <f t="shared" si="10"/>
        <v>0</v>
      </c>
      <c r="K28" s="105" t="str">
        <f t="shared" si="8"/>
        <v/>
      </c>
      <c r="L28" s="78" t="str">
        <f t="shared" si="9"/>
        <v>No hours entered</v>
      </c>
    </row>
    <row r="29" spans="1:12" x14ac:dyDescent="0.25">
      <c r="A29" s="100">
        <v>2494</v>
      </c>
      <c r="B29" s="78" t="str">
        <f t="shared" si="0"/>
        <v>Laurel Park Garden</v>
      </c>
      <c r="C29" s="100" t="str">
        <f t="shared" si="1"/>
        <v>Active</v>
      </c>
      <c r="D29" s="101">
        <f t="shared" si="2"/>
        <v>3</v>
      </c>
      <c r="E29" s="102" t="str">
        <f t="shared" si="3"/>
        <v/>
      </c>
      <c r="F29" s="102" t="str">
        <f t="shared" si="4"/>
        <v/>
      </c>
      <c r="G29" s="103">
        <f t="shared" si="5"/>
        <v>0</v>
      </c>
      <c r="H29" s="104">
        <f t="shared" si="6"/>
        <v>0</v>
      </c>
      <c r="I29" s="104">
        <f t="shared" si="7"/>
        <v>88000</v>
      </c>
      <c r="J29" s="104">
        <f t="shared" si="10"/>
        <v>88000</v>
      </c>
      <c r="K29" s="105">
        <f t="shared" si="8"/>
        <v>0</v>
      </c>
      <c r="L29" s="78" t="str">
        <f t="shared" si="9"/>
        <v>No hours entered</v>
      </c>
    </row>
    <row r="30" spans="1:12" x14ac:dyDescent="0.25">
      <c r="A30" s="100">
        <v>2499</v>
      </c>
      <c r="B30" s="78" t="str">
        <f t="shared" si="0"/>
        <v>Zephyr Creative Office</v>
      </c>
      <c r="C30" s="100" t="str">
        <f t="shared" si="1"/>
        <v>Active</v>
      </c>
      <c r="D30" s="101">
        <f t="shared" si="2"/>
        <v>1</v>
      </c>
      <c r="E30" s="102">
        <f t="shared" si="3"/>
        <v>46307</v>
      </c>
      <c r="F30" s="102">
        <f t="shared" si="4"/>
        <v>46376</v>
      </c>
      <c r="G30" s="103">
        <f t="shared" si="5"/>
        <v>300</v>
      </c>
      <c r="H30" s="104">
        <f t="shared" si="6"/>
        <v>63100</v>
      </c>
      <c r="I30" s="104">
        <f t="shared" si="7"/>
        <v>76500</v>
      </c>
      <c r="J30" s="104">
        <f t="shared" si="10"/>
        <v>13400</v>
      </c>
      <c r="K30" s="105">
        <f t="shared" si="8"/>
        <v>0.8248366013071895</v>
      </c>
      <c r="L30" s="78" t="str">
        <f t="shared" si="9"/>
        <v>OK</v>
      </c>
    </row>
    <row r="31" spans="1:12" x14ac:dyDescent="0.25">
      <c r="A31" s="100">
        <v>2545</v>
      </c>
      <c r="B31" s="78" t="str">
        <f t="shared" si="0"/>
        <v>Mariner Courtyard</v>
      </c>
      <c r="C31" s="100" t="str">
        <f t="shared" si="1"/>
        <v>Inactive</v>
      </c>
      <c r="D31" s="101">
        <f t="shared" si="2"/>
        <v>0</v>
      </c>
      <c r="E31" s="102" t="str">
        <f t="shared" si="3"/>
        <v/>
      </c>
      <c r="F31" s="102" t="str">
        <f t="shared" si="4"/>
        <v/>
      </c>
      <c r="G31" s="103">
        <f t="shared" si="5"/>
        <v>0</v>
      </c>
      <c r="H31" s="104">
        <f t="shared" si="6"/>
        <v>0</v>
      </c>
      <c r="I31" s="104">
        <f t="shared" si="7"/>
        <v>0</v>
      </c>
      <c r="J31" s="104">
        <f t="shared" si="10"/>
        <v>0</v>
      </c>
      <c r="K31" s="105" t="str">
        <f t="shared" si="8"/>
        <v/>
      </c>
      <c r="L31" s="78" t="str">
        <f t="shared" si="9"/>
        <v>No hours entered</v>
      </c>
    </row>
    <row r="32" spans="1:12" x14ac:dyDescent="0.25">
      <c r="A32" s="100">
        <v>2550</v>
      </c>
      <c r="B32" s="78" t="str">
        <f t="shared" si="0"/>
        <v>Driftwood Park</v>
      </c>
      <c r="C32" s="100" t="str">
        <f t="shared" si="1"/>
        <v>Active</v>
      </c>
      <c r="D32" s="101">
        <f t="shared" si="2"/>
        <v>0</v>
      </c>
      <c r="E32" s="102" t="str">
        <f t="shared" si="3"/>
        <v/>
      </c>
      <c r="F32" s="102" t="str">
        <f t="shared" si="4"/>
        <v/>
      </c>
      <c r="G32" s="103">
        <f t="shared" si="5"/>
        <v>0</v>
      </c>
      <c r="H32" s="104">
        <f t="shared" si="6"/>
        <v>0</v>
      </c>
      <c r="I32" s="104">
        <f t="shared" si="7"/>
        <v>0</v>
      </c>
      <c r="J32" s="104">
        <f t="shared" si="10"/>
        <v>0</v>
      </c>
      <c r="K32" s="105" t="str">
        <f t="shared" si="8"/>
        <v/>
      </c>
      <c r="L32" s="78" t="str">
        <f t="shared" si="9"/>
        <v>No hours entered</v>
      </c>
    </row>
    <row r="33" spans="1:12" x14ac:dyDescent="0.25">
      <c r="A33" s="100">
        <v>2551</v>
      </c>
      <c r="B33" s="78" t="str">
        <f t="shared" si="0"/>
        <v>Bayside Community Center</v>
      </c>
      <c r="C33" s="100" t="str">
        <f t="shared" si="1"/>
        <v>Active</v>
      </c>
      <c r="D33" s="101">
        <f t="shared" si="2"/>
        <v>0</v>
      </c>
      <c r="E33" s="102" t="str">
        <f t="shared" si="3"/>
        <v/>
      </c>
      <c r="F33" s="102" t="str">
        <f t="shared" si="4"/>
        <v/>
      </c>
      <c r="G33" s="103">
        <f t="shared" si="5"/>
        <v>0</v>
      </c>
      <c r="H33" s="104">
        <f t="shared" si="6"/>
        <v>0</v>
      </c>
      <c r="I33" s="104">
        <f t="shared" si="7"/>
        <v>0</v>
      </c>
      <c r="J33" s="104">
        <f t="shared" si="10"/>
        <v>0</v>
      </c>
      <c r="K33" s="105" t="str">
        <f t="shared" si="8"/>
        <v/>
      </c>
      <c r="L33" s="78" t="str">
        <f t="shared" si="9"/>
        <v>No hours entered</v>
      </c>
    </row>
    <row r="34" spans="1:12" x14ac:dyDescent="0.25">
      <c r="A34" s="100">
        <v>2560</v>
      </c>
      <c r="B34" s="78" t="str">
        <f t="shared" si="0"/>
        <v>Willowmere Trail</v>
      </c>
      <c r="C34" s="100" t="str">
        <f t="shared" si="1"/>
        <v>Active</v>
      </c>
      <c r="D34" s="101">
        <f t="shared" si="2"/>
        <v>0</v>
      </c>
      <c r="E34" s="102" t="str">
        <f t="shared" si="3"/>
        <v/>
      </c>
      <c r="F34" s="102" t="str">
        <f t="shared" si="4"/>
        <v/>
      </c>
      <c r="G34" s="103">
        <f t="shared" si="5"/>
        <v>0</v>
      </c>
      <c r="H34" s="104">
        <f t="shared" si="6"/>
        <v>0</v>
      </c>
      <c r="I34" s="104">
        <f t="shared" si="7"/>
        <v>0</v>
      </c>
      <c r="J34" s="104">
        <f t="shared" si="10"/>
        <v>0</v>
      </c>
      <c r="K34" s="105" t="str">
        <f t="shared" si="8"/>
        <v/>
      </c>
      <c r="L34" s="78" t="str">
        <f t="shared" si="9"/>
        <v>No hours entered</v>
      </c>
    </row>
    <row r="35" spans="1:12" x14ac:dyDescent="0.25">
      <c r="A35" s="100">
        <v>2562</v>
      </c>
      <c r="B35" s="78" t="str">
        <f t="shared" si="0"/>
        <v>Pebble Creek Courtyard</v>
      </c>
      <c r="C35" s="100" t="str">
        <f t="shared" si="1"/>
        <v>Active</v>
      </c>
      <c r="D35" s="101">
        <f t="shared" si="2"/>
        <v>0</v>
      </c>
      <c r="E35" s="102" t="str">
        <f t="shared" si="3"/>
        <v/>
      </c>
      <c r="F35" s="102" t="str">
        <f t="shared" si="4"/>
        <v/>
      </c>
      <c r="G35" s="103">
        <f t="shared" si="5"/>
        <v>0</v>
      </c>
      <c r="H35" s="104">
        <f t="shared" si="6"/>
        <v>0</v>
      </c>
      <c r="I35" s="104">
        <f t="shared" si="7"/>
        <v>0</v>
      </c>
      <c r="J35" s="104">
        <f t="shared" si="10"/>
        <v>0</v>
      </c>
      <c r="K35" s="105" t="str">
        <f t="shared" si="8"/>
        <v/>
      </c>
      <c r="L35" s="78" t="str">
        <f t="shared" si="9"/>
        <v>No hours entered</v>
      </c>
    </row>
    <row r="36" spans="1:12" x14ac:dyDescent="0.25">
      <c r="A36" s="100">
        <v>2570</v>
      </c>
      <c r="B36" s="78" t="str">
        <f t="shared" si="0"/>
        <v>Saltmarsh Master Plan</v>
      </c>
      <c r="C36" s="100" t="str">
        <f t="shared" si="1"/>
        <v>Active</v>
      </c>
      <c r="D36" s="101">
        <f t="shared" si="2"/>
        <v>4</v>
      </c>
      <c r="E36" s="102">
        <f t="shared" si="3"/>
        <v>46321</v>
      </c>
      <c r="F36" s="102">
        <f t="shared" si="4"/>
        <v>46458</v>
      </c>
      <c r="G36" s="103">
        <f t="shared" si="5"/>
        <v>1264</v>
      </c>
      <c r="H36" s="104">
        <f t="shared" si="6"/>
        <v>241400</v>
      </c>
      <c r="I36" s="104">
        <f t="shared" si="7"/>
        <v>128000</v>
      </c>
      <c r="J36" s="104">
        <f t="shared" si="10"/>
        <v>-113400</v>
      </c>
      <c r="K36" s="105">
        <f t="shared" si="8"/>
        <v>1.8859375</v>
      </c>
      <c r="L36" s="78" t="str">
        <f t="shared" si="9"/>
        <v>Fee below projected cost</v>
      </c>
    </row>
    <row r="37" spans="1:12" x14ac:dyDescent="0.25">
      <c r="A37" s="100">
        <v>2576</v>
      </c>
      <c r="B37" s="78" t="str">
        <f t="shared" si="0"/>
        <v>Westbury Elementary School</v>
      </c>
      <c r="C37" s="100" t="str">
        <f t="shared" si="1"/>
        <v>Inactive</v>
      </c>
      <c r="D37" s="101">
        <f t="shared" si="2"/>
        <v>0</v>
      </c>
      <c r="E37" s="102" t="str">
        <f t="shared" si="3"/>
        <v/>
      </c>
      <c r="F37" s="102" t="str">
        <f t="shared" si="4"/>
        <v/>
      </c>
      <c r="G37" s="103">
        <f t="shared" si="5"/>
        <v>0</v>
      </c>
      <c r="H37" s="104">
        <f t="shared" si="6"/>
        <v>0</v>
      </c>
      <c r="I37" s="104">
        <f t="shared" si="7"/>
        <v>0</v>
      </c>
      <c r="J37" s="104">
        <f t="shared" si="10"/>
        <v>0</v>
      </c>
      <c r="K37" s="105" t="str">
        <f t="shared" si="8"/>
        <v/>
      </c>
      <c r="L37" s="78" t="str">
        <f t="shared" si="9"/>
        <v>No hours entered</v>
      </c>
    </row>
    <row r="38" spans="1:12" x14ac:dyDescent="0.25">
      <c r="A38" s="100">
        <v>2577</v>
      </c>
      <c r="B38" s="78" t="str">
        <f t="shared" si="0"/>
        <v>Riverbend Master Plan</v>
      </c>
      <c r="C38" s="100" t="str">
        <f t="shared" si="1"/>
        <v>Active</v>
      </c>
      <c r="D38" s="101">
        <f t="shared" si="2"/>
        <v>1</v>
      </c>
      <c r="E38" s="102" t="str">
        <f t="shared" si="3"/>
        <v/>
      </c>
      <c r="F38" s="102" t="str">
        <f t="shared" si="4"/>
        <v/>
      </c>
      <c r="G38" s="103">
        <f t="shared" si="5"/>
        <v>0</v>
      </c>
      <c r="H38" s="104">
        <f t="shared" si="6"/>
        <v>0</v>
      </c>
      <c r="I38" s="104">
        <f t="shared" si="7"/>
        <v>0</v>
      </c>
      <c r="J38" s="104">
        <f t="shared" si="10"/>
        <v>0</v>
      </c>
      <c r="K38" s="105" t="str">
        <f t="shared" si="8"/>
        <v/>
      </c>
      <c r="L38" s="78" t="str">
        <f t="shared" si="9"/>
        <v>No hours entered</v>
      </c>
    </row>
    <row r="39" spans="1:12" x14ac:dyDescent="0.25">
      <c r="A39" s="100">
        <v>2582</v>
      </c>
      <c r="B39" s="78" t="str">
        <f t="shared" si="0"/>
        <v>Bayside Lofts</v>
      </c>
      <c r="C39" s="100" t="str">
        <f t="shared" si="1"/>
        <v>Active</v>
      </c>
      <c r="D39" s="101">
        <f t="shared" si="2"/>
        <v>1</v>
      </c>
      <c r="E39" s="102">
        <f t="shared" si="3"/>
        <v>46054</v>
      </c>
      <c r="F39" s="102">
        <f t="shared" si="4"/>
        <v>46137</v>
      </c>
      <c r="G39" s="103">
        <f t="shared" si="5"/>
        <v>72</v>
      </c>
      <c r="H39" s="104">
        <f t="shared" si="6"/>
        <v>18480</v>
      </c>
      <c r="I39" s="104">
        <f t="shared" si="7"/>
        <v>23000</v>
      </c>
      <c r="J39" s="104">
        <f t="shared" si="10"/>
        <v>4520</v>
      </c>
      <c r="K39" s="105">
        <f t="shared" si="8"/>
        <v>0.8034782608695652</v>
      </c>
      <c r="L39" s="78" t="str">
        <f t="shared" si="9"/>
        <v>OK</v>
      </c>
    </row>
    <row r="40" spans="1:12" x14ac:dyDescent="0.25">
      <c r="A40" s="100">
        <v>2583</v>
      </c>
      <c r="B40" s="78" t="str">
        <f t="shared" si="0"/>
        <v>Cypress Point Campus Plan</v>
      </c>
      <c r="C40" s="100" t="str">
        <f t="shared" si="1"/>
        <v>Active</v>
      </c>
      <c r="D40" s="101">
        <f t="shared" si="2"/>
        <v>0</v>
      </c>
      <c r="E40" s="102" t="str">
        <f t="shared" si="3"/>
        <v/>
      </c>
      <c r="F40" s="102" t="str">
        <f t="shared" si="4"/>
        <v/>
      </c>
      <c r="G40" s="103">
        <f t="shared" si="5"/>
        <v>0</v>
      </c>
      <c r="H40" s="104">
        <f t="shared" si="6"/>
        <v>0</v>
      </c>
      <c r="I40" s="104">
        <f t="shared" si="7"/>
        <v>0</v>
      </c>
      <c r="J40" s="104">
        <f t="shared" si="10"/>
        <v>0</v>
      </c>
      <c r="K40" s="105" t="str">
        <f t="shared" si="8"/>
        <v/>
      </c>
      <c r="L40" s="78" t="str">
        <f t="shared" si="9"/>
        <v>No hours entered</v>
      </c>
    </row>
    <row r="41" spans="1:12" x14ac:dyDescent="0.25">
      <c r="A41" s="100">
        <v>2584</v>
      </c>
      <c r="B41" s="78" t="str">
        <f t="shared" si="0"/>
        <v>Hollis Campus Plan</v>
      </c>
      <c r="C41" s="100" t="str">
        <f t="shared" si="1"/>
        <v>Active</v>
      </c>
      <c r="D41" s="101">
        <f t="shared" si="2"/>
        <v>6</v>
      </c>
      <c r="E41" s="102">
        <f t="shared" si="3"/>
        <v>46300</v>
      </c>
      <c r="F41" s="102">
        <f t="shared" si="4"/>
        <v>46339</v>
      </c>
      <c r="G41" s="103">
        <f t="shared" si="5"/>
        <v>144</v>
      </c>
      <c r="H41" s="104">
        <f t="shared" si="6"/>
        <v>33120</v>
      </c>
      <c r="I41" s="104">
        <f t="shared" si="7"/>
        <v>111500</v>
      </c>
      <c r="J41" s="104">
        <f t="shared" si="10"/>
        <v>78380</v>
      </c>
      <c r="K41" s="105">
        <f t="shared" si="8"/>
        <v>0.29704035874439461</v>
      </c>
      <c r="L41" s="78" t="str">
        <f t="shared" si="9"/>
        <v>OK</v>
      </c>
    </row>
    <row r="42" spans="1:12" x14ac:dyDescent="0.25">
      <c r="A42" s="100">
        <v>2622</v>
      </c>
      <c r="B42" s="78" t="str">
        <f t="shared" si="0"/>
        <v>Hawthorne Glen Senior Housing</v>
      </c>
      <c r="C42" s="100" t="str">
        <f t="shared" si="1"/>
        <v>Active</v>
      </c>
      <c r="D42" s="101">
        <f t="shared" si="2"/>
        <v>3</v>
      </c>
      <c r="E42" s="102">
        <f t="shared" si="3"/>
        <v>46300</v>
      </c>
      <c r="F42" s="102">
        <f t="shared" si="4"/>
        <v>46691</v>
      </c>
      <c r="G42" s="103">
        <f t="shared" si="5"/>
        <v>970</v>
      </c>
      <c r="H42" s="104">
        <f t="shared" si="6"/>
        <v>209740</v>
      </c>
      <c r="I42" s="104">
        <f t="shared" si="7"/>
        <v>247500</v>
      </c>
      <c r="J42" s="104">
        <f t="shared" si="10"/>
        <v>37760</v>
      </c>
      <c r="K42" s="105">
        <f t="shared" si="8"/>
        <v>0.84743434343434343</v>
      </c>
      <c r="L42" s="78" t="str">
        <f t="shared" si="9"/>
        <v>OK</v>
      </c>
    </row>
    <row r="43" spans="1:12" x14ac:dyDescent="0.25">
      <c r="A43" s="100">
        <v>2626</v>
      </c>
      <c r="B43" s="78" t="str">
        <f t="shared" si="0"/>
        <v>Northgate Courtyard</v>
      </c>
      <c r="C43" s="100" t="str">
        <f t="shared" si="1"/>
        <v>Active</v>
      </c>
      <c r="D43" s="101">
        <f t="shared" si="2"/>
        <v>0</v>
      </c>
      <c r="E43" s="102" t="str">
        <f t="shared" si="3"/>
        <v/>
      </c>
      <c r="F43" s="102" t="str">
        <f t="shared" si="4"/>
        <v/>
      </c>
      <c r="G43" s="103">
        <f t="shared" si="5"/>
        <v>0</v>
      </c>
      <c r="H43" s="104">
        <f t="shared" si="6"/>
        <v>0</v>
      </c>
      <c r="I43" s="104">
        <f t="shared" si="7"/>
        <v>0</v>
      </c>
      <c r="J43" s="104">
        <f t="shared" si="10"/>
        <v>0</v>
      </c>
      <c r="K43" s="105" t="str">
        <f t="shared" si="8"/>
        <v/>
      </c>
      <c r="L43" s="78" t="str">
        <f t="shared" si="9"/>
        <v>No hours entered</v>
      </c>
    </row>
    <row r="44" spans="1:12" x14ac:dyDescent="0.25">
      <c r="A44" s="100">
        <v>2627</v>
      </c>
      <c r="B44" s="78" t="str">
        <f t="shared" si="0"/>
        <v>Ridgeview Lofts</v>
      </c>
      <c r="C44" s="100" t="str">
        <f t="shared" si="1"/>
        <v>Active</v>
      </c>
      <c r="D44" s="101">
        <f t="shared" si="2"/>
        <v>4</v>
      </c>
      <c r="E44" s="102">
        <f t="shared" si="3"/>
        <v>46300</v>
      </c>
      <c r="F44" s="102">
        <f t="shared" si="4"/>
        <v>46401</v>
      </c>
      <c r="G44" s="103">
        <f t="shared" si="5"/>
        <v>127.5</v>
      </c>
      <c r="H44" s="104">
        <f t="shared" si="6"/>
        <v>28800</v>
      </c>
      <c r="I44" s="104">
        <f t="shared" si="7"/>
        <v>98500</v>
      </c>
      <c r="J44" s="104">
        <f t="shared" si="10"/>
        <v>69700</v>
      </c>
      <c r="K44" s="105">
        <f t="shared" si="8"/>
        <v>0.29238578680203048</v>
      </c>
      <c r="L44" s="78" t="str">
        <f t="shared" si="9"/>
        <v>OK</v>
      </c>
    </row>
    <row r="45" spans="1:12" x14ac:dyDescent="0.25">
      <c r="A45" s="100">
        <v>2630</v>
      </c>
      <c r="B45" s="78" t="str">
        <f t="shared" si="0"/>
        <v>Birch Roof Deck</v>
      </c>
      <c r="C45" s="100" t="str">
        <f t="shared" si="1"/>
        <v>Inactive</v>
      </c>
      <c r="D45" s="101">
        <f t="shared" si="2"/>
        <v>5</v>
      </c>
      <c r="E45" s="102" t="str">
        <f t="shared" si="3"/>
        <v/>
      </c>
      <c r="F45" s="102" t="str">
        <f t="shared" si="4"/>
        <v/>
      </c>
      <c r="G45" s="103">
        <f t="shared" si="5"/>
        <v>0</v>
      </c>
      <c r="H45" s="104">
        <f t="shared" si="6"/>
        <v>0</v>
      </c>
      <c r="I45" s="104">
        <f t="shared" si="7"/>
        <v>127500</v>
      </c>
      <c r="J45" s="104">
        <f t="shared" si="10"/>
        <v>127500</v>
      </c>
      <c r="K45" s="105">
        <f t="shared" si="8"/>
        <v>0</v>
      </c>
      <c r="L45" s="78" t="str">
        <f t="shared" si="9"/>
        <v>No hours entered</v>
      </c>
    </row>
    <row r="46" spans="1:12" x14ac:dyDescent="0.25">
      <c r="A46" s="100">
        <v>2636</v>
      </c>
      <c r="B46" s="78" t="str">
        <f t="shared" si="0"/>
        <v>Stonebridge Streetscape</v>
      </c>
      <c r="C46" s="100" t="str">
        <f t="shared" si="1"/>
        <v>Active</v>
      </c>
      <c r="D46" s="101">
        <f t="shared" si="2"/>
        <v>2</v>
      </c>
      <c r="E46" s="102">
        <f t="shared" si="3"/>
        <v>46300</v>
      </c>
      <c r="F46" s="102">
        <f t="shared" si="4"/>
        <v>46349</v>
      </c>
      <c r="G46" s="103">
        <f t="shared" si="5"/>
        <v>317</v>
      </c>
      <c r="H46" s="104">
        <f t="shared" si="6"/>
        <v>65055</v>
      </c>
      <c r="I46" s="104">
        <f t="shared" si="7"/>
        <v>127500</v>
      </c>
      <c r="J46" s="104">
        <f t="shared" si="10"/>
        <v>62445</v>
      </c>
      <c r="K46" s="105">
        <f t="shared" si="8"/>
        <v>0.51023529411764701</v>
      </c>
      <c r="L46" s="78" t="str">
        <f t="shared" si="9"/>
        <v>OK</v>
      </c>
    </row>
    <row r="47" spans="1:12" x14ac:dyDescent="0.25">
      <c r="A47" s="100">
        <v>2642</v>
      </c>
      <c r="B47" s="78" t="str">
        <f t="shared" si="0"/>
        <v>Saltmarsh Terrace</v>
      </c>
      <c r="C47" s="100" t="str">
        <f t="shared" si="1"/>
        <v>Active</v>
      </c>
      <c r="D47" s="101">
        <f t="shared" si="2"/>
        <v>7</v>
      </c>
      <c r="E47" s="102" t="str">
        <f t="shared" si="3"/>
        <v/>
      </c>
      <c r="F47" s="102" t="str">
        <f t="shared" si="4"/>
        <v/>
      </c>
      <c r="G47" s="103">
        <f t="shared" si="5"/>
        <v>0</v>
      </c>
      <c r="H47" s="104">
        <f t="shared" si="6"/>
        <v>0</v>
      </c>
      <c r="I47" s="104">
        <f t="shared" si="7"/>
        <v>404500</v>
      </c>
      <c r="J47" s="104">
        <f t="shared" si="10"/>
        <v>404500</v>
      </c>
      <c r="K47" s="105">
        <f t="shared" si="8"/>
        <v>0</v>
      </c>
      <c r="L47" s="78" t="str">
        <f t="shared" si="9"/>
        <v>No hours entered</v>
      </c>
    </row>
    <row r="48" spans="1:12" x14ac:dyDescent="0.25">
      <c r="A48" s="100">
        <v>2672</v>
      </c>
      <c r="B48" s="78" t="str">
        <f t="shared" si="0"/>
        <v>Marigold Plaza</v>
      </c>
      <c r="C48" s="100" t="str">
        <f t="shared" si="1"/>
        <v>Active</v>
      </c>
      <c r="D48" s="101">
        <f t="shared" si="2"/>
        <v>4</v>
      </c>
      <c r="E48" s="102">
        <f t="shared" si="3"/>
        <v>46300</v>
      </c>
      <c r="F48" s="102">
        <f t="shared" si="4"/>
        <v>47484</v>
      </c>
      <c r="G48" s="103">
        <f t="shared" si="5"/>
        <v>1483</v>
      </c>
      <c r="H48" s="104">
        <f t="shared" si="6"/>
        <v>300750</v>
      </c>
      <c r="I48" s="104">
        <f t="shared" si="7"/>
        <v>1117500</v>
      </c>
      <c r="J48" s="104">
        <f t="shared" si="10"/>
        <v>816750</v>
      </c>
      <c r="K48" s="105">
        <f t="shared" si="8"/>
        <v>0.26912751677852348</v>
      </c>
      <c r="L48" s="78" t="str">
        <f t="shared" si="9"/>
        <v>OK</v>
      </c>
    </row>
    <row r="49" spans="1:12" x14ac:dyDescent="0.25">
      <c r="A49" s="100">
        <v>2673</v>
      </c>
      <c r="B49" s="78" t="str">
        <f t="shared" si="0"/>
        <v>Meadow Townhomes</v>
      </c>
      <c r="C49" s="100" t="str">
        <f t="shared" si="1"/>
        <v>Active</v>
      </c>
      <c r="D49" s="101">
        <f t="shared" si="2"/>
        <v>6</v>
      </c>
      <c r="E49" s="102">
        <f t="shared" si="3"/>
        <v>46300</v>
      </c>
      <c r="F49" s="102">
        <f t="shared" si="4"/>
        <v>46998</v>
      </c>
      <c r="G49" s="103">
        <f t="shared" si="5"/>
        <v>572</v>
      </c>
      <c r="H49" s="104">
        <f t="shared" si="6"/>
        <v>116240</v>
      </c>
      <c r="I49" s="104">
        <f t="shared" si="7"/>
        <v>125500</v>
      </c>
      <c r="J49" s="104">
        <f t="shared" si="10"/>
        <v>9260</v>
      </c>
      <c r="K49" s="105">
        <f t="shared" si="8"/>
        <v>0.92621513944223111</v>
      </c>
      <c r="L49" s="78" t="str">
        <f t="shared" si="9"/>
        <v>OK</v>
      </c>
    </row>
    <row r="50" spans="1:12" x14ac:dyDescent="0.25">
      <c r="A50" s="100"/>
      <c r="B50" s="78" t="str">
        <f t="shared" si="0"/>
        <v/>
      </c>
      <c r="C50" s="100" t="str">
        <f t="shared" si="1"/>
        <v/>
      </c>
      <c r="D50" s="101" t="str">
        <f t="shared" si="2"/>
        <v/>
      </c>
      <c r="E50" s="102" t="str">
        <f t="shared" si="3"/>
        <v/>
      </c>
      <c r="F50" s="102" t="str">
        <f t="shared" si="4"/>
        <v/>
      </c>
      <c r="G50" s="103" t="str">
        <f t="shared" si="5"/>
        <v/>
      </c>
      <c r="H50" s="104" t="str">
        <f t="shared" si="6"/>
        <v/>
      </c>
      <c r="I50" s="104" t="str">
        <f t="shared" si="7"/>
        <v/>
      </c>
      <c r="J50" s="104" t="str">
        <f t="shared" si="10"/>
        <v/>
      </c>
      <c r="K50" s="105" t="str">
        <f t="shared" si="8"/>
        <v/>
      </c>
      <c r="L50" s="78" t="str">
        <f t="shared" si="9"/>
        <v/>
      </c>
    </row>
    <row r="51" spans="1:12" x14ac:dyDescent="0.25">
      <c r="A51" s="100"/>
      <c r="B51" s="78" t="str">
        <f t="shared" si="0"/>
        <v/>
      </c>
      <c r="C51" s="100" t="str">
        <f t="shared" si="1"/>
        <v/>
      </c>
      <c r="D51" s="101" t="str">
        <f t="shared" si="2"/>
        <v/>
      </c>
      <c r="E51" s="102" t="str">
        <f t="shared" si="3"/>
        <v/>
      </c>
      <c r="F51" s="102" t="str">
        <f t="shared" si="4"/>
        <v/>
      </c>
      <c r="G51" s="103" t="str">
        <f t="shared" si="5"/>
        <v/>
      </c>
      <c r="H51" s="104" t="str">
        <f t="shared" si="6"/>
        <v/>
      </c>
      <c r="I51" s="104" t="str">
        <f t="shared" si="7"/>
        <v/>
      </c>
      <c r="J51" s="104" t="str">
        <f t="shared" si="10"/>
        <v/>
      </c>
      <c r="K51" s="105" t="str">
        <f t="shared" si="8"/>
        <v/>
      </c>
      <c r="L51" s="78" t="str">
        <f t="shared" si="9"/>
        <v/>
      </c>
    </row>
    <row r="52" spans="1:12" x14ac:dyDescent="0.25">
      <c r="A52" s="100"/>
      <c r="B52" s="78" t="str">
        <f t="shared" si="0"/>
        <v/>
      </c>
      <c r="C52" s="100" t="str">
        <f t="shared" si="1"/>
        <v/>
      </c>
      <c r="D52" s="101" t="str">
        <f t="shared" si="2"/>
        <v/>
      </c>
      <c r="E52" s="102" t="str">
        <f t="shared" si="3"/>
        <v/>
      </c>
      <c r="F52" s="102" t="str">
        <f t="shared" si="4"/>
        <v/>
      </c>
      <c r="G52" s="103" t="str">
        <f t="shared" si="5"/>
        <v/>
      </c>
      <c r="H52" s="104" t="str">
        <f t="shared" si="6"/>
        <v/>
      </c>
      <c r="I52" s="104" t="str">
        <f t="shared" si="7"/>
        <v/>
      </c>
      <c r="J52" s="104" t="str">
        <f t="shared" si="10"/>
        <v/>
      </c>
      <c r="K52" s="105" t="str">
        <f t="shared" si="8"/>
        <v/>
      </c>
      <c r="L52" s="78" t="str">
        <f t="shared" si="9"/>
        <v/>
      </c>
    </row>
    <row r="53" spans="1:12" x14ac:dyDescent="0.25">
      <c r="A53" s="100"/>
      <c r="B53" s="78" t="str">
        <f t="shared" si="0"/>
        <v/>
      </c>
      <c r="C53" s="100" t="str">
        <f t="shared" si="1"/>
        <v/>
      </c>
      <c r="D53" s="101" t="str">
        <f t="shared" si="2"/>
        <v/>
      </c>
      <c r="E53" s="102" t="str">
        <f t="shared" si="3"/>
        <v/>
      </c>
      <c r="F53" s="102" t="str">
        <f t="shared" si="4"/>
        <v/>
      </c>
      <c r="G53" s="103" t="str">
        <f t="shared" si="5"/>
        <v/>
      </c>
      <c r="H53" s="104" t="str">
        <f t="shared" si="6"/>
        <v/>
      </c>
      <c r="I53" s="104" t="str">
        <f t="shared" si="7"/>
        <v/>
      </c>
      <c r="J53" s="104" t="str">
        <f t="shared" si="10"/>
        <v/>
      </c>
      <c r="K53" s="105" t="str">
        <f t="shared" si="8"/>
        <v/>
      </c>
      <c r="L53" s="78" t="str">
        <f t="shared" si="9"/>
        <v/>
      </c>
    </row>
    <row r="54" spans="1:12" x14ac:dyDescent="0.25">
      <c r="A54" s="100"/>
      <c r="B54" s="78" t="str">
        <f t="shared" ref="B54:B85" si="11">IF($A54="","",INDEX(pjName,MATCH($A54,pjNo,0)))</f>
        <v/>
      </c>
      <c r="C54" s="100" t="str">
        <f t="shared" ref="C54:C85" si="12">IF($A54="","",INDEX(pjStatus,MATCH($A54,pjNo,0)))</f>
        <v/>
      </c>
      <c r="D54" s="101" t="str">
        <f t="shared" ref="D54:D85" si="13">IF($A54="","",COUNTIFS(pjNo,$A54,pjType,"&lt;&gt;Project",pjStatus,"?*"))</f>
        <v/>
      </c>
      <c r="E54" s="102" t="str">
        <f t="shared" ref="E54:E85" si="14">IF($A54="","",INDEX(pjStart,MATCH($A54,pjNo,0)))</f>
        <v/>
      </c>
      <c r="F54" s="102" t="str">
        <f t="shared" ref="F54:F85" si="15">IF($A54="","",INDEX(pjEnd,MATCH($A54,pjNo,0)))</f>
        <v/>
      </c>
      <c r="G54" s="103" t="str">
        <f t="shared" ref="G54:G85" si="16">IF($A54="","",SUMIFS(pjTotHrs,pjNo,$A54,pjType,"&lt;&gt;Project"))</f>
        <v/>
      </c>
      <c r="H54" s="104" t="str">
        <f t="shared" ref="H54:H85" si="17">IF($A54="","",SUMIFS(pjValue,pjNo,$A54,pjType,"&lt;&gt;Project"))</f>
        <v/>
      </c>
      <c r="I54" s="104" t="str">
        <f t="shared" ref="I54:I85" si="18">IF($A54="","",SUMIFS(pjFee,pjNo,$A54,pjType,"&lt;&gt;Project"))</f>
        <v/>
      </c>
      <c r="J54" s="104" t="str">
        <f t="shared" si="10"/>
        <v/>
      </c>
      <c r="K54" s="105" t="str">
        <f t="shared" ref="K54:K85" si="19">IF($A54="","",IF(I54=0,"",H54/I54))</f>
        <v/>
      </c>
      <c r="L54" s="78" t="str">
        <f t="shared" ref="L54:L85" si="20">IF($A54="","",IF(G54=0,"No hours entered",IF(I54=0,"No fee entered",IF(J54&lt;0,"Fee below projected cost","OK"))))</f>
        <v/>
      </c>
    </row>
    <row r="55" spans="1:12" x14ac:dyDescent="0.25">
      <c r="A55" s="100"/>
      <c r="B55" s="78" t="str">
        <f t="shared" si="11"/>
        <v/>
      </c>
      <c r="C55" s="100" t="str">
        <f t="shared" si="12"/>
        <v/>
      </c>
      <c r="D55" s="101" t="str">
        <f t="shared" si="13"/>
        <v/>
      </c>
      <c r="E55" s="102" t="str">
        <f t="shared" si="14"/>
        <v/>
      </c>
      <c r="F55" s="102" t="str">
        <f t="shared" si="15"/>
        <v/>
      </c>
      <c r="G55" s="103" t="str">
        <f t="shared" si="16"/>
        <v/>
      </c>
      <c r="H55" s="104" t="str">
        <f t="shared" si="17"/>
        <v/>
      </c>
      <c r="I55" s="104" t="str">
        <f t="shared" si="18"/>
        <v/>
      </c>
      <c r="J55" s="104" t="str">
        <f t="shared" si="10"/>
        <v/>
      </c>
      <c r="K55" s="105" t="str">
        <f t="shared" si="19"/>
        <v/>
      </c>
      <c r="L55" s="78" t="str">
        <f t="shared" si="20"/>
        <v/>
      </c>
    </row>
    <row r="56" spans="1:12" x14ac:dyDescent="0.25">
      <c r="A56" s="100"/>
      <c r="B56" s="78" t="str">
        <f t="shared" si="11"/>
        <v/>
      </c>
      <c r="C56" s="100" t="str">
        <f t="shared" si="12"/>
        <v/>
      </c>
      <c r="D56" s="101" t="str">
        <f t="shared" si="13"/>
        <v/>
      </c>
      <c r="E56" s="102" t="str">
        <f t="shared" si="14"/>
        <v/>
      </c>
      <c r="F56" s="102" t="str">
        <f t="shared" si="15"/>
        <v/>
      </c>
      <c r="G56" s="103" t="str">
        <f t="shared" si="16"/>
        <v/>
      </c>
      <c r="H56" s="104" t="str">
        <f t="shared" si="17"/>
        <v/>
      </c>
      <c r="I56" s="104" t="str">
        <f t="shared" si="18"/>
        <v/>
      </c>
      <c r="J56" s="104" t="str">
        <f t="shared" si="10"/>
        <v/>
      </c>
      <c r="K56" s="105" t="str">
        <f t="shared" si="19"/>
        <v/>
      </c>
      <c r="L56" s="78" t="str">
        <f t="shared" si="20"/>
        <v/>
      </c>
    </row>
    <row r="57" spans="1:12" x14ac:dyDescent="0.25">
      <c r="A57" s="100"/>
      <c r="B57" s="78" t="str">
        <f t="shared" si="11"/>
        <v/>
      </c>
      <c r="C57" s="100" t="str">
        <f t="shared" si="12"/>
        <v/>
      </c>
      <c r="D57" s="101" t="str">
        <f t="shared" si="13"/>
        <v/>
      </c>
      <c r="E57" s="102" t="str">
        <f t="shared" si="14"/>
        <v/>
      </c>
      <c r="F57" s="102" t="str">
        <f t="shared" si="15"/>
        <v/>
      </c>
      <c r="G57" s="103" t="str">
        <f t="shared" si="16"/>
        <v/>
      </c>
      <c r="H57" s="104" t="str">
        <f t="shared" si="17"/>
        <v/>
      </c>
      <c r="I57" s="104" t="str">
        <f t="shared" si="18"/>
        <v/>
      </c>
      <c r="J57" s="104" t="str">
        <f t="shared" si="10"/>
        <v/>
      </c>
      <c r="K57" s="105" t="str">
        <f t="shared" si="19"/>
        <v/>
      </c>
      <c r="L57" s="78" t="str">
        <f t="shared" si="20"/>
        <v/>
      </c>
    </row>
    <row r="58" spans="1:12" x14ac:dyDescent="0.25">
      <c r="A58" s="100"/>
      <c r="B58" s="78" t="str">
        <f t="shared" si="11"/>
        <v/>
      </c>
      <c r="C58" s="100" t="str">
        <f t="shared" si="12"/>
        <v/>
      </c>
      <c r="D58" s="101" t="str">
        <f t="shared" si="13"/>
        <v/>
      </c>
      <c r="E58" s="102" t="str">
        <f t="shared" si="14"/>
        <v/>
      </c>
      <c r="F58" s="102" t="str">
        <f t="shared" si="15"/>
        <v/>
      </c>
      <c r="G58" s="103" t="str">
        <f t="shared" si="16"/>
        <v/>
      </c>
      <c r="H58" s="104" t="str">
        <f t="shared" si="17"/>
        <v/>
      </c>
      <c r="I58" s="104" t="str">
        <f t="shared" si="18"/>
        <v/>
      </c>
      <c r="J58" s="104" t="str">
        <f t="shared" si="10"/>
        <v/>
      </c>
      <c r="K58" s="105" t="str">
        <f t="shared" si="19"/>
        <v/>
      </c>
      <c r="L58" s="78" t="str">
        <f t="shared" si="20"/>
        <v/>
      </c>
    </row>
    <row r="59" spans="1:12" x14ac:dyDescent="0.25">
      <c r="A59" s="100"/>
      <c r="B59" s="78" t="str">
        <f t="shared" si="11"/>
        <v/>
      </c>
      <c r="C59" s="100" t="str">
        <f t="shared" si="12"/>
        <v/>
      </c>
      <c r="D59" s="101" t="str">
        <f t="shared" si="13"/>
        <v/>
      </c>
      <c r="E59" s="102" t="str">
        <f t="shared" si="14"/>
        <v/>
      </c>
      <c r="F59" s="102" t="str">
        <f t="shared" si="15"/>
        <v/>
      </c>
      <c r="G59" s="103" t="str">
        <f t="shared" si="16"/>
        <v/>
      </c>
      <c r="H59" s="104" t="str">
        <f t="shared" si="17"/>
        <v/>
      </c>
      <c r="I59" s="104" t="str">
        <f t="shared" si="18"/>
        <v/>
      </c>
      <c r="J59" s="104" t="str">
        <f t="shared" si="10"/>
        <v/>
      </c>
      <c r="K59" s="105" t="str">
        <f t="shared" si="19"/>
        <v/>
      </c>
      <c r="L59" s="78" t="str">
        <f t="shared" si="20"/>
        <v/>
      </c>
    </row>
    <row r="60" spans="1:12" x14ac:dyDescent="0.25">
      <c r="A60" s="100"/>
      <c r="B60" s="78" t="str">
        <f t="shared" si="11"/>
        <v/>
      </c>
      <c r="C60" s="100" t="str">
        <f t="shared" si="12"/>
        <v/>
      </c>
      <c r="D60" s="101" t="str">
        <f t="shared" si="13"/>
        <v/>
      </c>
      <c r="E60" s="102" t="str">
        <f t="shared" si="14"/>
        <v/>
      </c>
      <c r="F60" s="102" t="str">
        <f t="shared" si="15"/>
        <v/>
      </c>
      <c r="G60" s="103" t="str">
        <f t="shared" si="16"/>
        <v/>
      </c>
      <c r="H60" s="104" t="str">
        <f t="shared" si="17"/>
        <v/>
      </c>
      <c r="I60" s="104" t="str">
        <f t="shared" si="18"/>
        <v/>
      </c>
      <c r="J60" s="104" t="str">
        <f t="shared" si="10"/>
        <v/>
      </c>
      <c r="K60" s="105" t="str">
        <f t="shared" si="19"/>
        <v/>
      </c>
      <c r="L60" s="78" t="str">
        <f t="shared" si="20"/>
        <v/>
      </c>
    </row>
    <row r="61" spans="1:12" x14ac:dyDescent="0.25">
      <c r="A61" s="100"/>
      <c r="B61" s="78" t="str">
        <f t="shared" si="11"/>
        <v/>
      </c>
      <c r="C61" s="100" t="str">
        <f t="shared" si="12"/>
        <v/>
      </c>
      <c r="D61" s="101" t="str">
        <f t="shared" si="13"/>
        <v/>
      </c>
      <c r="E61" s="102" t="str">
        <f t="shared" si="14"/>
        <v/>
      </c>
      <c r="F61" s="102" t="str">
        <f t="shared" si="15"/>
        <v/>
      </c>
      <c r="G61" s="103" t="str">
        <f t="shared" si="16"/>
        <v/>
      </c>
      <c r="H61" s="104" t="str">
        <f t="shared" si="17"/>
        <v/>
      </c>
      <c r="I61" s="104" t="str">
        <f t="shared" si="18"/>
        <v/>
      </c>
      <c r="J61" s="104" t="str">
        <f t="shared" si="10"/>
        <v/>
      </c>
      <c r="K61" s="105" t="str">
        <f t="shared" si="19"/>
        <v/>
      </c>
      <c r="L61" s="78" t="str">
        <f t="shared" si="20"/>
        <v/>
      </c>
    </row>
    <row r="62" spans="1:12" x14ac:dyDescent="0.25">
      <c r="A62" s="100"/>
      <c r="B62" s="78" t="str">
        <f t="shared" si="11"/>
        <v/>
      </c>
      <c r="C62" s="100" t="str">
        <f t="shared" si="12"/>
        <v/>
      </c>
      <c r="D62" s="101" t="str">
        <f t="shared" si="13"/>
        <v/>
      </c>
      <c r="E62" s="102" t="str">
        <f t="shared" si="14"/>
        <v/>
      </c>
      <c r="F62" s="102" t="str">
        <f t="shared" si="15"/>
        <v/>
      </c>
      <c r="G62" s="103" t="str">
        <f t="shared" si="16"/>
        <v/>
      </c>
      <c r="H62" s="104" t="str">
        <f t="shared" si="17"/>
        <v/>
      </c>
      <c r="I62" s="104" t="str">
        <f t="shared" si="18"/>
        <v/>
      </c>
      <c r="J62" s="104" t="str">
        <f t="shared" si="10"/>
        <v/>
      </c>
      <c r="K62" s="105" t="str">
        <f t="shared" si="19"/>
        <v/>
      </c>
      <c r="L62" s="78" t="str">
        <f t="shared" si="20"/>
        <v/>
      </c>
    </row>
    <row r="63" spans="1:12" x14ac:dyDescent="0.25">
      <c r="A63" s="100"/>
      <c r="B63" s="78" t="str">
        <f t="shared" si="11"/>
        <v/>
      </c>
      <c r="C63" s="100" t="str">
        <f t="shared" si="12"/>
        <v/>
      </c>
      <c r="D63" s="101" t="str">
        <f t="shared" si="13"/>
        <v/>
      </c>
      <c r="E63" s="102" t="str">
        <f t="shared" si="14"/>
        <v/>
      </c>
      <c r="F63" s="102" t="str">
        <f t="shared" si="15"/>
        <v/>
      </c>
      <c r="G63" s="103" t="str">
        <f t="shared" si="16"/>
        <v/>
      </c>
      <c r="H63" s="104" t="str">
        <f t="shared" si="17"/>
        <v/>
      </c>
      <c r="I63" s="104" t="str">
        <f t="shared" si="18"/>
        <v/>
      </c>
      <c r="J63" s="104" t="str">
        <f t="shared" si="10"/>
        <v/>
      </c>
      <c r="K63" s="105" t="str">
        <f t="shared" si="19"/>
        <v/>
      </c>
      <c r="L63" s="78" t="str">
        <f t="shared" si="20"/>
        <v/>
      </c>
    </row>
    <row r="64" spans="1:12" x14ac:dyDescent="0.25">
      <c r="A64" s="100"/>
      <c r="B64" s="78" t="str">
        <f t="shared" si="11"/>
        <v/>
      </c>
      <c r="C64" s="100" t="str">
        <f t="shared" si="12"/>
        <v/>
      </c>
      <c r="D64" s="101" t="str">
        <f t="shared" si="13"/>
        <v/>
      </c>
      <c r="E64" s="102" t="str">
        <f t="shared" si="14"/>
        <v/>
      </c>
      <c r="F64" s="102" t="str">
        <f t="shared" si="15"/>
        <v/>
      </c>
      <c r="G64" s="103" t="str">
        <f t="shared" si="16"/>
        <v/>
      </c>
      <c r="H64" s="104" t="str">
        <f t="shared" si="17"/>
        <v/>
      </c>
      <c r="I64" s="104" t="str">
        <f t="shared" si="18"/>
        <v/>
      </c>
      <c r="J64" s="104" t="str">
        <f t="shared" si="10"/>
        <v/>
      </c>
      <c r="K64" s="105" t="str">
        <f t="shared" si="19"/>
        <v/>
      </c>
      <c r="L64" s="78" t="str">
        <f t="shared" si="20"/>
        <v/>
      </c>
    </row>
    <row r="65" spans="1:12" x14ac:dyDescent="0.25">
      <c r="A65" s="100"/>
      <c r="B65" s="78" t="str">
        <f t="shared" si="11"/>
        <v/>
      </c>
      <c r="C65" s="100" t="str">
        <f t="shared" si="12"/>
        <v/>
      </c>
      <c r="D65" s="101" t="str">
        <f t="shared" si="13"/>
        <v/>
      </c>
      <c r="E65" s="102" t="str">
        <f t="shared" si="14"/>
        <v/>
      </c>
      <c r="F65" s="102" t="str">
        <f t="shared" si="15"/>
        <v/>
      </c>
      <c r="G65" s="103" t="str">
        <f t="shared" si="16"/>
        <v/>
      </c>
      <c r="H65" s="104" t="str">
        <f t="shared" si="17"/>
        <v/>
      </c>
      <c r="I65" s="104" t="str">
        <f t="shared" si="18"/>
        <v/>
      </c>
      <c r="J65" s="104" t="str">
        <f t="shared" si="10"/>
        <v/>
      </c>
      <c r="K65" s="105" t="str">
        <f t="shared" si="19"/>
        <v/>
      </c>
      <c r="L65" s="78" t="str">
        <f t="shared" si="20"/>
        <v/>
      </c>
    </row>
    <row r="66" spans="1:12" x14ac:dyDescent="0.25">
      <c r="A66" s="100"/>
      <c r="B66" s="78" t="str">
        <f t="shared" si="11"/>
        <v/>
      </c>
      <c r="C66" s="100" t="str">
        <f t="shared" si="12"/>
        <v/>
      </c>
      <c r="D66" s="101" t="str">
        <f t="shared" si="13"/>
        <v/>
      </c>
      <c r="E66" s="102" t="str">
        <f t="shared" si="14"/>
        <v/>
      </c>
      <c r="F66" s="102" t="str">
        <f t="shared" si="15"/>
        <v/>
      </c>
      <c r="G66" s="103" t="str">
        <f t="shared" si="16"/>
        <v/>
      </c>
      <c r="H66" s="104" t="str">
        <f t="shared" si="17"/>
        <v/>
      </c>
      <c r="I66" s="104" t="str">
        <f t="shared" si="18"/>
        <v/>
      </c>
      <c r="J66" s="104" t="str">
        <f t="shared" si="10"/>
        <v/>
      </c>
      <c r="K66" s="105" t="str">
        <f t="shared" si="19"/>
        <v/>
      </c>
      <c r="L66" s="78" t="str">
        <f t="shared" si="20"/>
        <v/>
      </c>
    </row>
    <row r="67" spans="1:12" x14ac:dyDescent="0.25">
      <c r="A67" s="100"/>
      <c r="B67" s="78" t="str">
        <f t="shared" si="11"/>
        <v/>
      </c>
      <c r="C67" s="100" t="str">
        <f t="shared" si="12"/>
        <v/>
      </c>
      <c r="D67" s="101" t="str">
        <f t="shared" si="13"/>
        <v/>
      </c>
      <c r="E67" s="102" t="str">
        <f t="shared" si="14"/>
        <v/>
      </c>
      <c r="F67" s="102" t="str">
        <f t="shared" si="15"/>
        <v/>
      </c>
      <c r="G67" s="103" t="str">
        <f t="shared" si="16"/>
        <v/>
      </c>
      <c r="H67" s="104" t="str">
        <f t="shared" si="17"/>
        <v/>
      </c>
      <c r="I67" s="104" t="str">
        <f t="shared" si="18"/>
        <v/>
      </c>
      <c r="J67" s="104" t="str">
        <f t="shared" si="10"/>
        <v/>
      </c>
      <c r="K67" s="105" t="str">
        <f t="shared" si="19"/>
        <v/>
      </c>
      <c r="L67" s="78" t="str">
        <f t="shared" si="20"/>
        <v/>
      </c>
    </row>
    <row r="68" spans="1:12" x14ac:dyDescent="0.25">
      <c r="A68" s="100"/>
      <c r="B68" s="78" t="str">
        <f t="shared" si="11"/>
        <v/>
      </c>
      <c r="C68" s="100" t="str">
        <f t="shared" si="12"/>
        <v/>
      </c>
      <c r="D68" s="101" t="str">
        <f t="shared" si="13"/>
        <v/>
      </c>
      <c r="E68" s="102" t="str">
        <f t="shared" si="14"/>
        <v/>
      </c>
      <c r="F68" s="102" t="str">
        <f t="shared" si="15"/>
        <v/>
      </c>
      <c r="G68" s="103" t="str">
        <f t="shared" si="16"/>
        <v/>
      </c>
      <c r="H68" s="104" t="str">
        <f t="shared" si="17"/>
        <v/>
      </c>
      <c r="I68" s="104" t="str">
        <f t="shared" si="18"/>
        <v/>
      </c>
      <c r="J68" s="104" t="str">
        <f t="shared" si="10"/>
        <v/>
      </c>
      <c r="K68" s="105" t="str">
        <f t="shared" si="19"/>
        <v/>
      </c>
      <c r="L68" s="78" t="str">
        <f t="shared" si="20"/>
        <v/>
      </c>
    </row>
    <row r="69" spans="1:12" x14ac:dyDescent="0.25">
      <c r="A69" s="100"/>
      <c r="B69" s="78" t="str">
        <f t="shared" si="11"/>
        <v/>
      </c>
      <c r="C69" s="100" t="str">
        <f t="shared" si="12"/>
        <v/>
      </c>
      <c r="D69" s="101" t="str">
        <f t="shared" si="13"/>
        <v/>
      </c>
      <c r="E69" s="102" t="str">
        <f t="shared" si="14"/>
        <v/>
      </c>
      <c r="F69" s="102" t="str">
        <f t="shared" si="15"/>
        <v/>
      </c>
      <c r="G69" s="103" t="str">
        <f t="shared" si="16"/>
        <v/>
      </c>
      <c r="H69" s="104" t="str">
        <f t="shared" si="17"/>
        <v/>
      </c>
      <c r="I69" s="104" t="str">
        <f t="shared" si="18"/>
        <v/>
      </c>
      <c r="J69" s="104" t="str">
        <f t="shared" si="10"/>
        <v/>
      </c>
      <c r="K69" s="105" t="str">
        <f t="shared" si="19"/>
        <v/>
      </c>
      <c r="L69" s="78" t="str">
        <f t="shared" si="20"/>
        <v/>
      </c>
    </row>
    <row r="70" spans="1:12" x14ac:dyDescent="0.25">
      <c r="A70" s="100"/>
      <c r="B70" s="78" t="str">
        <f t="shared" si="11"/>
        <v/>
      </c>
      <c r="C70" s="100" t="str">
        <f t="shared" si="12"/>
        <v/>
      </c>
      <c r="D70" s="101" t="str">
        <f t="shared" si="13"/>
        <v/>
      </c>
      <c r="E70" s="102" t="str">
        <f t="shared" si="14"/>
        <v/>
      </c>
      <c r="F70" s="102" t="str">
        <f t="shared" si="15"/>
        <v/>
      </c>
      <c r="G70" s="103" t="str">
        <f t="shared" si="16"/>
        <v/>
      </c>
      <c r="H70" s="104" t="str">
        <f t="shared" si="17"/>
        <v/>
      </c>
      <c r="I70" s="104" t="str">
        <f t="shared" si="18"/>
        <v/>
      </c>
      <c r="J70" s="104" t="str">
        <f t="shared" si="10"/>
        <v/>
      </c>
      <c r="K70" s="105" t="str">
        <f t="shared" si="19"/>
        <v/>
      </c>
      <c r="L70" s="78" t="str">
        <f t="shared" si="20"/>
        <v/>
      </c>
    </row>
    <row r="71" spans="1:12" x14ac:dyDescent="0.25">
      <c r="A71" s="100"/>
      <c r="B71" s="78" t="str">
        <f t="shared" si="11"/>
        <v/>
      </c>
      <c r="C71" s="100" t="str">
        <f t="shared" si="12"/>
        <v/>
      </c>
      <c r="D71" s="101" t="str">
        <f t="shared" si="13"/>
        <v/>
      </c>
      <c r="E71" s="102" t="str">
        <f t="shared" si="14"/>
        <v/>
      </c>
      <c r="F71" s="102" t="str">
        <f t="shared" si="15"/>
        <v/>
      </c>
      <c r="G71" s="103" t="str">
        <f t="shared" si="16"/>
        <v/>
      </c>
      <c r="H71" s="104" t="str">
        <f t="shared" si="17"/>
        <v/>
      </c>
      <c r="I71" s="104" t="str">
        <f t="shared" si="18"/>
        <v/>
      </c>
      <c r="J71" s="104" t="str">
        <f t="shared" si="10"/>
        <v/>
      </c>
      <c r="K71" s="105" t="str">
        <f t="shared" si="19"/>
        <v/>
      </c>
      <c r="L71" s="78" t="str">
        <f t="shared" si="20"/>
        <v/>
      </c>
    </row>
    <row r="72" spans="1:12" x14ac:dyDescent="0.25">
      <c r="A72" s="100"/>
      <c r="B72" s="78" t="str">
        <f t="shared" si="11"/>
        <v/>
      </c>
      <c r="C72" s="100" t="str">
        <f t="shared" si="12"/>
        <v/>
      </c>
      <c r="D72" s="101" t="str">
        <f t="shared" si="13"/>
        <v/>
      </c>
      <c r="E72" s="102" t="str">
        <f t="shared" si="14"/>
        <v/>
      </c>
      <c r="F72" s="102" t="str">
        <f t="shared" si="15"/>
        <v/>
      </c>
      <c r="G72" s="103" t="str">
        <f t="shared" si="16"/>
        <v/>
      </c>
      <c r="H72" s="104" t="str">
        <f t="shared" si="17"/>
        <v/>
      </c>
      <c r="I72" s="104" t="str">
        <f t="shared" si="18"/>
        <v/>
      </c>
      <c r="J72" s="104" t="str">
        <f t="shared" si="10"/>
        <v/>
      </c>
      <c r="K72" s="105" t="str">
        <f t="shared" si="19"/>
        <v/>
      </c>
      <c r="L72" s="78" t="str">
        <f t="shared" si="20"/>
        <v/>
      </c>
    </row>
    <row r="73" spans="1:12" x14ac:dyDescent="0.25">
      <c r="A73" s="100"/>
      <c r="B73" s="78" t="str">
        <f t="shared" si="11"/>
        <v/>
      </c>
      <c r="C73" s="100" t="str">
        <f t="shared" si="12"/>
        <v/>
      </c>
      <c r="D73" s="101" t="str">
        <f t="shared" si="13"/>
        <v/>
      </c>
      <c r="E73" s="102" t="str">
        <f t="shared" si="14"/>
        <v/>
      </c>
      <c r="F73" s="102" t="str">
        <f t="shared" si="15"/>
        <v/>
      </c>
      <c r="G73" s="103" t="str">
        <f t="shared" si="16"/>
        <v/>
      </c>
      <c r="H73" s="104" t="str">
        <f t="shared" si="17"/>
        <v/>
      </c>
      <c r="I73" s="104" t="str">
        <f t="shared" si="18"/>
        <v/>
      </c>
      <c r="J73" s="104" t="str">
        <f t="shared" si="10"/>
        <v/>
      </c>
      <c r="K73" s="105" t="str">
        <f t="shared" si="19"/>
        <v/>
      </c>
      <c r="L73" s="78" t="str">
        <f t="shared" si="20"/>
        <v/>
      </c>
    </row>
    <row r="74" spans="1:12" x14ac:dyDescent="0.25">
      <c r="A74" s="100"/>
      <c r="B74" s="78" t="str">
        <f t="shared" si="11"/>
        <v/>
      </c>
      <c r="C74" s="100" t="str">
        <f t="shared" si="12"/>
        <v/>
      </c>
      <c r="D74" s="101" t="str">
        <f t="shared" si="13"/>
        <v/>
      </c>
      <c r="E74" s="102" t="str">
        <f t="shared" si="14"/>
        <v/>
      </c>
      <c r="F74" s="102" t="str">
        <f t="shared" si="15"/>
        <v/>
      </c>
      <c r="G74" s="103" t="str">
        <f t="shared" si="16"/>
        <v/>
      </c>
      <c r="H74" s="104" t="str">
        <f t="shared" si="17"/>
        <v/>
      </c>
      <c r="I74" s="104" t="str">
        <f t="shared" si="18"/>
        <v/>
      </c>
      <c r="J74" s="104" t="str">
        <f t="shared" si="10"/>
        <v/>
      </c>
      <c r="K74" s="105" t="str">
        <f t="shared" si="19"/>
        <v/>
      </c>
      <c r="L74" s="78" t="str">
        <f t="shared" si="20"/>
        <v/>
      </c>
    </row>
    <row r="75" spans="1:12" x14ac:dyDescent="0.25">
      <c r="A75" s="100"/>
      <c r="B75" s="78" t="str">
        <f t="shared" si="11"/>
        <v/>
      </c>
      <c r="C75" s="100" t="str">
        <f t="shared" si="12"/>
        <v/>
      </c>
      <c r="D75" s="101" t="str">
        <f t="shared" si="13"/>
        <v/>
      </c>
      <c r="E75" s="102" t="str">
        <f t="shared" si="14"/>
        <v/>
      </c>
      <c r="F75" s="102" t="str">
        <f t="shared" si="15"/>
        <v/>
      </c>
      <c r="G75" s="103" t="str">
        <f t="shared" si="16"/>
        <v/>
      </c>
      <c r="H75" s="104" t="str">
        <f t="shared" si="17"/>
        <v/>
      </c>
      <c r="I75" s="104" t="str">
        <f t="shared" si="18"/>
        <v/>
      </c>
      <c r="J75" s="104" t="str">
        <f t="shared" si="10"/>
        <v/>
      </c>
      <c r="K75" s="105" t="str">
        <f t="shared" si="19"/>
        <v/>
      </c>
      <c r="L75" s="78" t="str">
        <f t="shared" si="20"/>
        <v/>
      </c>
    </row>
    <row r="76" spans="1:12" x14ac:dyDescent="0.25">
      <c r="A76" s="100"/>
      <c r="B76" s="78" t="str">
        <f t="shared" si="11"/>
        <v/>
      </c>
      <c r="C76" s="100" t="str">
        <f t="shared" si="12"/>
        <v/>
      </c>
      <c r="D76" s="101" t="str">
        <f t="shared" si="13"/>
        <v/>
      </c>
      <c r="E76" s="102" t="str">
        <f t="shared" si="14"/>
        <v/>
      </c>
      <c r="F76" s="102" t="str">
        <f t="shared" si="15"/>
        <v/>
      </c>
      <c r="G76" s="103" t="str">
        <f t="shared" si="16"/>
        <v/>
      </c>
      <c r="H76" s="104" t="str">
        <f t="shared" si="17"/>
        <v/>
      </c>
      <c r="I76" s="104" t="str">
        <f t="shared" si="18"/>
        <v/>
      </c>
      <c r="J76" s="104" t="str">
        <f t="shared" si="10"/>
        <v/>
      </c>
      <c r="K76" s="105" t="str">
        <f t="shared" si="19"/>
        <v/>
      </c>
      <c r="L76" s="78" t="str">
        <f t="shared" si="20"/>
        <v/>
      </c>
    </row>
    <row r="77" spans="1:12" x14ac:dyDescent="0.25">
      <c r="A77" s="100"/>
      <c r="B77" s="78" t="str">
        <f t="shared" si="11"/>
        <v/>
      </c>
      <c r="C77" s="100" t="str">
        <f t="shared" si="12"/>
        <v/>
      </c>
      <c r="D77" s="101" t="str">
        <f t="shared" si="13"/>
        <v/>
      </c>
      <c r="E77" s="102" t="str">
        <f t="shared" si="14"/>
        <v/>
      </c>
      <c r="F77" s="102" t="str">
        <f t="shared" si="15"/>
        <v/>
      </c>
      <c r="G77" s="103" t="str">
        <f t="shared" si="16"/>
        <v/>
      </c>
      <c r="H77" s="104" t="str">
        <f t="shared" si="17"/>
        <v/>
      </c>
      <c r="I77" s="104" t="str">
        <f t="shared" si="18"/>
        <v/>
      </c>
      <c r="J77" s="104" t="str">
        <f t="shared" si="10"/>
        <v/>
      </c>
      <c r="K77" s="105" t="str">
        <f t="shared" si="19"/>
        <v/>
      </c>
      <c r="L77" s="78" t="str">
        <f t="shared" si="20"/>
        <v/>
      </c>
    </row>
    <row r="78" spans="1:12" x14ac:dyDescent="0.25">
      <c r="A78" s="100"/>
      <c r="B78" s="78" t="str">
        <f t="shared" si="11"/>
        <v/>
      </c>
      <c r="C78" s="100" t="str">
        <f t="shared" si="12"/>
        <v/>
      </c>
      <c r="D78" s="101" t="str">
        <f t="shared" si="13"/>
        <v/>
      </c>
      <c r="E78" s="102" t="str">
        <f t="shared" si="14"/>
        <v/>
      </c>
      <c r="F78" s="102" t="str">
        <f t="shared" si="15"/>
        <v/>
      </c>
      <c r="G78" s="103" t="str">
        <f t="shared" si="16"/>
        <v/>
      </c>
      <c r="H78" s="104" t="str">
        <f t="shared" si="17"/>
        <v/>
      </c>
      <c r="I78" s="104" t="str">
        <f t="shared" si="18"/>
        <v/>
      </c>
      <c r="J78" s="104" t="str">
        <f t="shared" si="10"/>
        <v/>
      </c>
      <c r="K78" s="105" t="str">
        <f t="shared" si="19"/>
        <v/>
      </c>
      <c r="L78" s="78" t="str">
        <f t="shared" si="20"/>
        <v/>
      </c>
    </row>
    <row r="79" spans="1:12" x14ac:dyDescent="0.25">
      <c r="A79" s="100"/>
      <c r="B79" s="78" t="str">
        <f t="shared" si="11"/>
        <v/>
      </c>
      <c r="C79" s="100" t="str">
        <f t="shared" si="12"/>
        <v/>
      </c>
      <c r="D79" s="101" t="str">
        <f t="shared" si="13"/>
        <v/>
      </c>
      <c r="E79" s="102" t="str">
        <f t="shared" si="14"/>
        <v/>
      </c>
      <c r="F79" s="102" t="str">
        <f t="shared" si="15"/>
        <v/>
      </c>
      <c r="G79" s="103" t="str">
        <f t="shared" si="16"/>
        <v/>
      </c>
      <c r="H79" s="104" t="str">
        <f t="shared" si="17"/>
        <v/>
      </c>
      <c r="I79" s="104" t="str">
        <f t="shared" si="18"/>
        <v/>
      </c>
      <c r="J79" s="104" t="str">
        <f t="shared" si="10"/>
        <v/>
      </c>
      <c r="K79" s="105" t="str">
        <f t="shared" si="19"/>
        <v/>
      </c>
      <c r="L79" s="78" t="str">
        <f t="shared" si="20"/>
        <v/>
      </c>
    </row>
    <row r="80" spans="1:12" x14ac:dyDescent="0.25">
      <c r="A80" s="100"/>
      <c r="B80" s="78" t="str">
        <f t="shared" si="11"/>
        <v/>
      </c>
      <c r="C80" s="100" t="str">
        <f t="shared" si="12"/>
        <v/>
      </c>
      <c r="D80" s="101" t="str">
        <f t="shared" si="13"/>
        <v/>
      </c>
      <c r="E80" s="102" t="str">
        <f t="shared" si="14"/>
        <v/>
      </c>
      <c r="F80" s="102" t="str">
        <f t="shared" si="15"/>
        <v/>
      </c>
      <c r="G80" s="103" t="str">
        <f t="shared" si="16"/>
        <v/>
      </c>
      <c r="H80" s="104" t="str">
        <f t="shared" si="17"/>
        <v/>
      </c>
      <c r="I80" s="104" t="str">
        <f t="shared" si="18"/>
        <v/>
      </c>
      <c r="J80" s="104" t="str">
        <f t="shared" si="10"/>
        <v/>
      </c>
      <c r="K80" s="105" t="str">
        <f t="shared" si="19"/>
        <v/>
      </c>
      <c r="L80" s="78" t="str">
        <f t="shared" si="20"/>
        <v/>
      </c>
    </row>
    <row r="81" spans="1:12" x14ac:dyDescent="0.25">
      <c r="A81" s="100"/>
      <c r="B81" s="78" t="str">
        <f t="shared" si="11"/>
        <v/>
      </c>
      <c r="C81" s="100" t="str">
        <f t="shared" si="12"/>
        <v/>
      </c>
      <c r="D81" s="101" t="str">
        <f t="shared" si="13"/>
        <v/>
      </c>
      <c r="E81" s="102" t="str">
        <f t="shared" si="14"/>
        <v/>
      </c>
      <c r="F81" s="102" t="str">
        <f t="shared" si="15"/>
        <v/>
      </c>
      <c r="G81" s="103" t="str">
        <f t="shared" si="16"/>
        <v/>
      </c>
      <c r="H81" s="104" t="str">
        <f t="shared" si="17"/>
        <v/>
      </c>
      <c r="I81" s="104" t="str">
        <f t="shared" si="18"/>
        <v/>
      </c>
      <c r="J81" s="104" t="str">
        <f t="shared" si="10"/>
        <v/>
      </c>
      <c r="K81" s="105" t="str">
        <f t="shared" si="19"/>
        <v/>
      </c>
      <c r="L81" s="78" t="str">
        <f t="shared" si="20"/>
        <v/>
      </c>
    </row>
    <row r="82" spans="1:12" x14ac:dyDescent="0.25">
      <c r="A82" s="100"/>
      <c r="B82" s="78" t="str">
        <f t="shared" si="11"/>
        <v/>
      </c>
      <c r="C82" s="100" t="str">
        <f t="shared" si="12"/>
        <v/>
      </c>
      <c r="D82" s="101" t="str">
        <f t="shared" si="13"/>
        <v/>
      </c>
      <c r="E82" s="102" t="str">
        <f t="shared" si="14"/>
        <v/>
      </c>
      <c r="F82" s="102" t="str">
        <f t="shared" si="15"/>
        <v/>
      </c>
      <c r="G82" s="103" t="str">
        <f t="shared" si="16"/>
        <v/>
      </c>
      <c r="H82" s="104" t="str">
        <f t="shared" si="17"/>
        <v/>
      </c>
      <c r="I82" s="104" t="str">
        <f t="shared" si="18"/>
        <v/>
      </c>
      <c r="J82" s="104" t="str">
        <f t="shared" si="10"/>
        <v/>
      </c>
      <c r="K82" s="105" t="str">
        <f t="shared" si="19"/>
        <v/>
      </c>
      <c r="L82" s="78" t="str">
        <f t="shared" si="20"/>
        <v/>
      </c>
    </row>
    <row r="83" spans="1:12" x14ac:dyDescent="0.25">
      <c r="A83" s="100"/>
      <c r="B83" s="78" t="str">
        <f t="shared" si="11"/>
        <v/>
      </c>
      <c r="C83" s="100" t="str">
        <f t="shared" si="12"/>
        <v/>
      </c>
      <c r="D83" s="101" t="str">
        <f t="shared" si="13"/>
        <v/>
      </c>
      <c r="E83" s="102" t="str">
        <f t="shared" si="14"/>
        <v/>
      </c>
      <c r="F83" s="102" t="str">
        <f t="shared" si="15"/>
        <v/>
      </c>
      <c r="G83" s="103" t="str">
        <f t="shared" si="16"/>
        <v/>
      </c>
      <c r="H83" s="104" t="str">
        <f t="shared" si="17"/>
        <v/>
      </c>
      <c r="I83" s="104" t="str">
        <f t="shared" si="18"/>
        <v/>
      </c>
      <c r="J83" s="104" t="str">
        <f t="shared" si="10"/>
        <v/>
      </c>
      <c r="K83" s="105" t="str">
        <f t="shared" si="19"/>
        <v/>
      </c>
      <c r="L83" s="78" t="str">
        <f t="shared" si="20"/>
        <v/>
      </c>
    </row>
    <row r="84" spans="1:12" x14ac:dyDescent="0.25">
      <c r="A84" s="100"/>
      <c r="B84" s="78" t="str">
        <f t="shared" si="11"/>
        <v/>
      </c>
      <c r="C84" s="100" t="str">
        <f t="shared" si="12"/>
        <v/>
      </c>
      <c r="D84" s="101" t="str">
        <f t="shared" si="13"/>
        <v/>
      </c>
      <c r="E84" s="102" t="str">
        <f t="shared" si="14"/>
        <v/>
      </c>
      <c r="F84" s="102" t="str">
        <f t="shared" si="15"/>
        <v/>
      </c>
      <c r="G84" s="103" t="str">
        <f t="shared" si="16"/>
        <v/>
      </c>
      <c r="H84" s="104" t="str">
        <f t="shared" si="17"/>
        <v/>
      </c>
      <c r="I84" s="104" t="str">
        <f t="shared" si="18"/>
        <v/>
      </c>
      <c r="J84" s="104" t="str">
        <f t="shared" si="10"/>
        <v/>
      </c>
      <c r="K84" s="105" t="str">
        <f t="shared" si="19"/>
        <v/>
      </c>
      <c r="L84" s="78" t="str">
        <f t="shared" si="20"/>
        <v/>
      </c>
    </row>
    <row r="85" spans="1:12" x14ac:dyDescent="0.25">
      <c r="A85" s="100"/>
      <c r="B85" s="78" t="str">
        <f t="shared" si="11"/>
        <v/>
      </c>
      <c r="C85" s="100" t="str">
        <f t="shared" si="12"/>
        <v/>
      </c>
      <c r="D85" s="101" t="str">
        <f t="shared" si="13"/>
        <v/>
      </c>
      <c r="E85" s="102" t="str">
        <f t="shared" si="14"/>
        <v/>
      </c>
      <c r="F85" s="102" t="str">
        <f t="shared" si="15"/>
        <v/>
      </c>
      <c r="G85" s="103" t="str">
        <f t="shared" si="16"/>
        <v/>
      </c>
      <c r="H85" s="104" t="str">
        <f t="shared" si="17"/>
        <v/>
      </c>
      <c r="I85" s="104" t="str">
        <f t="shared" si="18"/>
        <v/>
      </c>
      <c r="J85" s="104" t="str">
        <f t="shared" si="10"/>
        <v/>
      </c>
      <c r="K85" s="105" t="str">
        <f t="shared" si="19"/>
        <v/>
      </c>
      <c r="L85" s="78" t="str">
        <f t="shared" si="20"/>
        <v/>
      </c>
    </row>
    <row r="86" spans="1:12" x14ac:dyDescent="0.25">
      <c r="A86" s="100"/>
      <c r="B86" s="78" t="str">
        <f t="shared" ref="B86:B101" si="21">IF($A86="","",INDEX(pjName,MATCH($A86,pjNo,0)))</f>
        <v/>
      </c>
      <c r="C86" s="100" t="str">
        <f t="shared" ref="C86:C101" si="22">IF($A86="","",INDEX(pjStatus,MATCH($A86,pjNo,0)))</f>
        <v/>
      </c>
      <c r="D86" s="101" t="str">
        <f t="shared" ref="D86:D101" si="23">IF($A86="","",COUNTIFS(pjNo,$A86,pjType,"&lt;&gt;Project",pjStatus,"?*"))</f>
        <v/>
      </c>
      <c r="E86" s="102" t="str">
        <f t="shared" ref="E86:E101" si="24">IF($A86="","",INDEX(pjStart,MATCH($A86,pjNo,0)))</f>
        <v/>
      </c>
      <c r="F86" s="102" t="str">
        <f t="shared" ref="F86:F101" si="25">IF($A86="","",INDEX(pjEnd,MATCH($A86,pjNo,0)))</f>
        <v/>
      </c>
      <c r="G86" s="103" t="str">
        <f t="shared" ref="G86:G101" si="26">IF($A86="","",SUMIFS(pjTotHrs,pjNo,$A86,pjType,"&lt;&gt;Project"))</f>
        <v/>
      </c>
      <c r="H86" s="104" t="str">
        <f t="shared" ref="H86:H101" si="27">IF($A86="","",SUMIFS(pjValue,pjNo,$A86,pjType,"&lt;&gt;Project"))</f>
        <v/>
      </c>
      <c r="I86" s="104" t="str">
        <f t="shared" ref="I86:I101" si="28">IF($A86="","",SUMIFS(pjFee,pjNo,$A86,pjType,"&lt;&gt;Project"))</f>
        <v/>
      </c>
      <c r="J86" s="104" t="str">
        <f t="shared" si="10"/>
        <v/>
      </c>
      <c r="K86" s="105" t="str">
        <f t="shared" ref="K86:K101" si="29">IF($A86="","",IF(I86=0,"",H86/I86))</f>
        <v/>
      </c>
      <c r="L86" s="78" t="str">
        <f t="shared" ref="L86:L101" si="30">IF($A86="","",IF(G86=0,"No hours entered",IF(I86=0,"No fee entered",IF(J86&lt;0,"Fee below projected cost","OK"))))</f>
        <v/>
      </c>
    </row>
    <row r="87" spans="1:12" x14ac:dyDescent="0.25">
      <c r="A87" s="100"/>
      <c r="B87" s="78" t="str">
        <f t="shared" si="21"/>
        <v/>
      </c>
      <c r="C87" s="100" t="str">
        <f t="shared" si="22"/>
        <v/>
      </c>
      <c r="D87" s="101" t="str">
        <f t="shared" si="23"/>
        <v/>
      </c>
      <c r="E87" s="102" t="str">
        <f t="shared" si="24"/>
        <v/>
      </c>
      <c r="F87" s="102" t="str">
        <f t="shared" si="25"/>
        <v/>
      </c>
      <c r="G87" s="103" t="str">
        <f t="shared" si="26"/>
        <v/>
      </c>
      <c r="H87" s="104" t="str">
        <f t="shared" si="27"/>
        <v/>
      </c>
      <c r="I87" s="104" t="str">
        <f t="shared" si="28"/>
        <v/>
      </c>
      <c r="J87" s="104" t="str">
        <f t="shared" ref="J87:J101" si="31">IF($A87="","",I87-H87)</f>
        <v/>
      </c>
      <c r="K87" s="105" t="str">
        <f t="shared" si="29"/>
        <v/>
      </c>
      <c r="L87" s="78" t="str">
        <f t="shared" si="30"/>
        <v/>
      </c>
    </row>
    <row r="88" spans="1:12" x14ac:dyDescent="0.25">
      <c r="A88" s="100"/>
      <c r="B88" s="78" t="str">
        <f t="shared" si="21"/>
        <v/>
      </c>
      <c r="C88" s="100" t="str">
        <f t="shared" si="22"/>
        <v/>
      </c>
      <c r="D88" s="101" t="str">
        <f t="shared" si="23"/>
        <v/>
      </c>
      <c r="E88" s="102" t="str">
        <f t="shared" si="24"/>
        <v/>
      </c>
      <c r="F88" s="102" t="str">
        <f t="shared" si="25"/>
        <v/>
      </c>
      <c r="G88" s="103" t="str">
        <f t="shared" si="26"/>
        <v/>
      </c>
      <c r="H88" s="104" t="str">
        <f t="shared" si="27"/>
        <v/>
      </c>
      <c r="I88" s="104" t="str">
        <f t="shared" si="28"/>
        <v/>
      </c>
      <c r="J88" s="104" t="str">
        <f t="shared" si="31"/>
        <v/>
      </c>
      <c r="K88" s="105" t="str">
        <f t="shared" si="29"/>
        <v/>
      </c>
      <c r="L88" s="78" t="str">
        <f t="shared" si="30"/>
        <v/>
      </c>
    </row>
    <row r="89" spans="1:12" x14ac:dyDescent="0.25">
      <c r="A89" s="100"/>
      <c r="B89" s="78" t="str">
        <f t="shared" si="21"/>
        <v/>
      </c>
      <c r="C89" s="100" t="str">
        <f t="shared" si="22"/>
        <v/>
      </c>
      <c r="D89" s="101" t="str">
        <f t="shared" si="23"/>
        <v/>
      </c>
      <c r="E89" s="102" t="str">
        <f t="shared" si="24"/>
        <v/>
      </c>
      <c r="F89" s="102" t="str">
        <f t="shared" si="25"/>
        <v/>
      </c>
      <c r="G89" s="103" t="str">
        <f t="shared" si="26"/>
        <v/>
      </c>
      <c r="H89" s="104" t="str">
        <f t="shared" si="27"/>
        <v/>
      </c>
      <c r="I89" s="104" t="str">
        <f t="shared" si="28"/>
        <v/>
      </c>
      <c r="J89" s="104" t="str">
        <f t="shared" si="31"/>
        <v/>
      </c>
      <c r="K89" s="105" t="str">
        <f t="shared" si="29"/>
        <v/>
      </c>
      <c r="L89" s="78" t="str">
        <f t="shared" si="30"/>
        <v/>
      </c>
    </row>
    <row r="90" spans="1:12" x14ac:dyDescent="0.25">
      <c r="A90" s="100"/>
      <c r="B90" s="78" t="str">
        <f t="shared" si="21"/>
        <v/>
      </c>
      <c r="C90" s="100" t="str">
        <f t="shared" si="22"/>
        <v/>
      </c>
      <c r="D90" s="101" t="str">
        <f t="shared" si="23"/>
        <v/>
      </c>
      <c r="E90" s="102" t="str">
        <f t="shared" si="24"/>
        <v/>
      </c>
      <c r="F90" s="102" t="str">
        <f t="shared" si="25"/>
        <v/>
      </c>
      <c r="G90" s="103" t="str">
        <f t="shared" si="26"/>
        <v/>
      </c>
      <c r="H90" s="104" t="str">
        <f t="shared" si="27"/>
        <v/>
      </c>
      <c r="I90" s="104" t="str">
        <f t="shared" si="28"/>
        <v/>
      </c>
      <c r="J90" s="104" t="str">
        <f t="shared" si="31"/>
        <v/>
      </c>
      <c r="K90" s="105" t="str">
        <f t="shared" si="29"/>
        <v/>
      </c>
      <c r="L90" s="78" t="str">
        <f t="shared" si="30"/>
        <v/>
      </c>
    </row>
    <row r="91" spans="1:12" x14ac:dyDescent="0.25">
      <c r="A91" s="100"/>
      <c r="B91" s="78" t="str">
        <f t="shared" si="21"/>
        <v/>
      </c>
      <c r="C91" s="100" t="str">
        <f t="shared" si="22"/>
        <v/>
      </c>
      <c r="D91" s="101" t="str">
        <f t="shared" si="23"/>
        <v/>
      </c>
      <c r="E91" s="102" t="str">
        <f t="shared" si="24"/>
        <v/>
      </c>
      <c r="F91" s="102" t="str">
        <f t="shared" si="25"/>
        <v/>
      </c>
      <c r="G91" s="103" t="str">
        <f t="shared" si="26"/>
        <v/>
      </c>
      <c r="H91" s="104" t="str">
        <f t="shared" si="27"/>
        <v/>
      </c>
      <c r="I91" s="104" t="str">
        <f t="shared" si="28"/>
        <v/>
      </c>
      <c r="J91" s="104" t="str">
        <f t="shared" si="31"/>
        <v/>
      </c>
      <c r="K91" s="105" t="str">
        <f t="shared" si="29"/>
        <v/>
      </c>
      <c r="L91" s="78" t="str">
        <f t="shared" si="30"/>
        <v/>
      </c>
    </row>
    <row r="92" spans="1:12" x14ac:dyDescent="0.25">
      <c r="A92" s="100"/>
      <c r="B92" s="78" t="str">
        <f t="shared" si="21"/>
        <v/>
      </c>
      <c r="C92" s="100" t="str">
        <f t="shared" si="22"/>
        <v/>
      </c>
      <c r="D92" s="101" t="str">
        <f t="shared" si="23"/>
        <v/>
      </c>
      <c r="E92" s="102" t="str">
        <f t="shared" si="24"/>
        <v/>
      </c>
      <c r="F92" s="102" t="str">
        <f t="shared" si="25"/>
        <v/>
      </c>
      <c r="G92" s="103" t="str">
        <f t="shared" si="26"/>
        <v/>
      </c>
      <c r="H92" s="104" t="str">
        <f t="shared" si="27"/>
        <v/>
      </c>
      <c r="I92" s="104" t="str">
        <f t="shared" si="28"/>
        <v/>
      </c>
      <c r="J92" s="104" t="str">
        <f t="shared" si="31"/>
        <v/>
      </c>
      <c r="K92" s="105" t="str">
        <f t="shared" si="29"/>
        <v/>
      </c>
      <c r="L92" s="78" t="str">
        <f t="shared" si="30"/>
        <v/>
      </c>
    </row>
    <row r="93" spans="1:12" x14ac:dyDescent="0.25">
      <c r="A93" s="100"/>
      <c r="B93" s="78" t="str">
        <f t="shared" si="21"/>
        <v/>
      </c>
      <c r="C93" s="100" t="str">
        <f t="shared" si="22"/>
        <v/>
      </c>
      <c r="D93" s="101" t="str">
        <f t="shared" si="23"/>
        <v/>
      </c>
      <c r="E93" s="102" t="str">
        <f t="shared" si="24"/>
        <v/>
      </c>
      <c r="F93" s="102" t="str">
        <f t="shared" si="25"/>
        <v/>
      </c>
      <c r="G93" s="103" t="str">
        <f t="shared" si="26"/>
        <v/>
      </c>
      <c r="H93" s="104" t="str">
        <f t="shared" si="27"/>
        <v/>
      </c>
      <c r="I93" s="104" t="str">
        <f t="shared" si="28"/>
        <v/>
      </c>
      <c r="J93" s="104" t="str">
        <f t="shared" si="31"/>
        <v/>
      </c>
      <c r="K93" s="105" t="str">
        <f t="shared" si="29"/>
        <v/>
      </c>
      <c r="L93" s="78" t="str">
        <f t="shared" si="30"/>
        <v/>
      </c>
    </row>
    <row r="94" spans="1:12" x14ac:dyDescent="0.25">
      <c r="A94" s="100"/>
      <c r="B94" s="78" t="str">
        <f t="shared" si="21"/>
        <v/>
      </c>
      <c r="C94" s="100" t="str">
        <f t="shared" si="22"/>
        <v/>
      </c>
      <c r="D94" s="101" t="str">
        <f t="shared" si="23"/>
        <v/>
      </c>
      <c r="E94" s="102" t="str">
        <f t="shared" si="24"/>
        <v/>
      </c>
      <c r="F94" s="102" t="str">
        <f t="shared" si="25"/>
        <v/>
      </c>
      <c r="G94" s="103" t="str">
        <f t="shared" si="26"/>
        <v/>
      </c>
      <c r="H94" s="104" t="str">
        <f t="shared" si="27"/>
        <v/>
      </c>
      <c r="I94" s="104" t="str">
        <f t="shared" si="28"/>
        <v/>
      </c>
      <c r="J94" s="104" t="str">
        <f t="shared" si="31"/>
        <v/>
      </c>
      <c r="K94" s="105" t="str">
        <f t="shared" si="29"/>
        <v/>
      </c>
      <c r="L94" s="78" t="str">
        <f t="shared" si="30"/>
        <v/>
      </c>
    </row>
    <row r="95" spans="1:12" x14ac:dyDescent="0.25">
      <c r="A95" s="100"/>
      <c r="B95" s="78" t="str">
        <f t="shared" si="21"/>
        <v/>
      </c>
      <c r="C95" s="100" t="str">
        <f t="shared" si="22"/>
        <v/>
      </c>
      <c r="D95" s="101" t="str">
        <f t="shared" si="23"/>
        <v/>
      </c>
      <c r="E95" s="102" t="str">
        <f t="shared" si="24"/>
        <v/>
      </c>
      <c r="F95" s="102" t="str">
        <f t="shared" si="25"/>
        <v/>
      </c>
      <c r="G95" s="103" t="str">
        <f t="shared" si="26"/>
        <v/>
      </c>
      <c r="H95" s="104" t="str">
        <f t="shared" si="27"/>
        <v/>
      </c>
      <c r="I95" s="104" t="str">
        <f t="shared" si="28"/>
        <v/>
      </c>
      <c r="J95" s="104" t="str">
        <f t="shared" si="31"/>
        <v/>
      </c>
      <c r="K95" s="105" t="str">
        <f t="shared" si="29"/>
        <v/>
      </c>
      <c r="L95" s="78" t="str">
        <f t="shared" si="30"/>
        <v/>
      </c>
    </row>
    <row r="96" spans="1:12" x14ac:dyDescent="0.25">
      <c r="A96" s="100"/>
      <c r="B96" s="78" t="str">
        <f t="shared" si="21"/>
        <v/>
      </c>
      <c r="C96" s="100" t="str">
        <f t="shared" si="22"/>
        <v/>
      </c>
      <c r="D96" s="101" t="str">
        <f t="shared" si="23"/>
        <v/>
      </c>
      <c r="E96" s="102" t="str">
        <f t="shared" si="24"/>
        <v/>
      </c>
      <c r="F96" s="102" t="str">
        <f t="shared" si="25"/>
        <v/>
      </c>
      <c r="G96" s="103" t="str">
        <f t="shared" si="26"/>
        <v/>
      </c>
      <c r="H96" s="104" t="str">
        <f t="shared" si="27"/>
        <v/>
      </c>
      <c r="I96" s="104" t="str">
        <f t="shared" si="28"/>
        <v/>
      </c>
      <c r="J96" s="104" t="str">
        <f t="shared" si="31"/>
        <v/>
      </c>
      <c r="K96" s="105" t="str">
        <f t="shared" si="29"/>
        <v/>
      </c>
      <c r="L96" s="78" t="str">
        <f t="shared" si="30"/>
        <v/>
      </c>
    </row>
    <row r="97" spans="1:12" x14ac:dyDescent="0.25">
      <c r="A97" s="100"/>
      <c r="B97" s="78" t="str">
        <f t="shared" si="21"/>
        <v/>
      </c>
      <c r="C97" s="100" t="str">
        <f t="shared" si="22"/>
        <v/>
      </c>
      <c r="D97" s="101" t="str">
        <f t="shared" si="23"/>
        <v/>
      </c>
      <c r="E97" s="102" t="str">
        <f t="shared" si="24"/>
        <v/>
      </c>
      <c r="F97" s="102" t="str">
        <f t="shared" si="25"/>
        <v/>
      </c>
      <c r="G97" s="103" t="str">
        <f t="shared" si="26"/>
        <v/>
      </c>
      <c r="H97" s="104" t="str">
        <f t="shared" si="27"/>
        <v/>
      </c>
      <c r="I97" s="104" t="str">
        <f t="shared" si="28"/>
        <v/>
      </c>
      <c r="J97" s="104" t="str">
        <f t="shared" si="31"/>
        <v/>
      </c>
      <c r="K97" s="105" t="str">
        <f t="shared" si="29"/>
        <v/>
      </c>
      <c r="L97" s="78" t="str">
        <f t="shared" si="30"/>
        <v/>
      </c>
    </row>
    <row r="98" spans="1:12" x14ac:dyDescent="0.25">
      <c r="A98" s="100"/>
      <c r="B98" s="78" t="str">
        <f t="shared" si="21"/>
        <v/>
      </c>
      <c r="C98" s="100" t="str">
        <f t="shared" si="22"/>
        <v/>
      </c>
      <c r="D98" s="101" t="str">
        <f t="shared" si="23"/>
        <v/>
      </c>
      <c r="E98" s="102" t="str">
        <f t="shared" si="24"/>
        <v/>
      </c>
      <c r="F98" s="102" t="str">
        <f t="shared" si="25"/>
        <v/>
      </c>
      <c r="G98" s="103" t="str">
        <f t="shared" si="26"/>
        <v/>
      </c>
      <c r="H98" s="104" t="str">
        <f t="shared" si="27"/>
        <v/>
      </c>
      <c r="I98" s="104" t="str">
        <f t="shared" si="28"/>
        <v/>
      </c>
      <c r="J98" s="104" t="str">
        <f t="shared" si="31"/>
        <v/>
      </c>
      <c r="K98" s="105" t="str">
        <f t="shared" si="29"/>
        <v/>
      </c>
      <c r="L98" s="78" t="str">
        <f t="shared" si="30"/>
        <v/>
      </c>
    </row>
    <row r="99" spans="1:12" x14ac:dyDescent="0.25">
      <c r="A99" s="100"/>
      <c r="B99" s="78" t="str">
        <f t="shared" si="21"/>
        <v/>
      </c>
      <c r="C99" s="100" t="str">
        <f t="shared" si="22"/>
        <v/>
      </c>
      <c r="D99" s="101" t="str">
        <f t="shared" si="23"/>
        <v/>
      </c>
      <c r="E99" s="102" t="str">
        <f t="shared" si="24"/>
        <v/>
      </c>
      <c r="F99" s="102" t="str">
        <f t="shared" si="25"/>
        <v/>
      </c>
      <c r="G99" s="103" t="str">
        <f t="shared" si="26"/>
        <v/>
      </c>
      <c r="H99" s="104" t="str">
        <f t="shared" si="27"/>
        <v/>
      </c>
      <c r="I99" s="104" t="str">
        <f t="shared" si="28"/>
        <v/>
      </c>
      <c r="J99" s="104" t="str">
        <f t="shared" si="31"/>
        <v/>
      </c>
      <c r="K99" s="105" t="str">
        <f t="shared" si="29"/>
        <v/>
      </c>
      <c r="L99" s="78" t="str">
        <f t="shared" si="30"/>
        <v/>
      </c>
    </row>
    <row r="100" spans="1:12" x14ac:dyDescent="0.25">
      <c r="A100" s="100"/>
      <c r="B100" s="78" t="str">
        <f t="shared" si="21"/>
        <v/>
      </c>
      <c r="C100" s="100" t="str">
        <f t="shared" si="22"/>
        <v/>
      </c>
      <c r="D100" s="101" t="str">
        <f t="shared" si="23"/>
        <v/>
      </c>
      <c r="E100" s="102" t="str">
        <f t="shared" si="24"/>
        <v/>
      </c>
      <c r="F100" s="102" t="str">
        <f t="shared" si="25"/>
        <v/>
      </c>
      <c r="G100" s="103" t="str">
        <f t="shared" si="26"/>
        <v/>
      </c>
      <c r="H100" s="104" t="str">
        <f t="shared" si="27"/>
        <v/>
      </c>
      <c r="I100" s="104" t="str">
        <f t="shared" si="28"/>
        <v/>
      </c>
      <c r="J100" s="104" t="str">
        <f t="shared" si="31"/>
        <v/>
      </c>
      <c r="K100" s="105" t="str">
        <f t="shared" si="29"/>
        <v/>
      </c>
      <c r="L100" s="78" t="str">
        <f t="shared" si="30"/>
        <v/>
      </c>
    </row>
    <row r="101" spans="1:12" x14ac:dyDescent="0.25">
      <c r="A101" s="100"/>
      <c r="B101" s="78" t="str">
        <f t="shared" si="21"/>
        <v/>
      </c>
      <c r="C101" s="100" t="str">
        <f t="shared" si="22"/>
        <v/>
      </c>
      <c r="D101" s="101" t="str">
        <f t="shared" si="23"/>
        <v/>
      </c>
      <c r="E101" s="102" t="str">
        <f t="shared" si="24"/>
        <v/>
      </c>
      <c r="F101" s="102" t="str">
        <f t="shared" si="25"/>
        <v/>
      </c>
      <c r="G101" s="103" t="str">
        <f t="shared" si="26"/>
        <v/>
      </c>
      <c r="H101" s="104" t="str">
        <f t="shared" si="27"/>
        <v/>
      </c>
      <c r="I101" s="104" t="str">
        <f t="shared" si="28"/>
        <v/>
      </c>
      <c r="J101" s="104" t="str">
        <f t="shared" si="31"/>
        <v/>
      </c>
      <c r="K101" s="105" t="str">
        <f t="shared" si="29"/>
        <v/>
      </c>
      <c r="L101" s="78" t="str">
        <f t="shared" si="30"/>
        <v/>
      </c>
    </row>
  </sheetData>
  <conditionalFormatting sqref="G6:H9">
    <cfRule type="expression" dxfId="5" priority="4">
      <formula>AND($E6&gt;0,$G6&gt;=0)</formula>
    </cfRule>
    <cfRule type="expression" dxfId="4" priority="5">
      <formula>AND($E6&gt;0,$G6&lt;0)</formula>
    </cfRule>
  </conditionalFormatting>
  <conditionalFormatting sqref="J22:K101">
    <cfRule type="expression" dxfId="3" priority="6">
      <formula>AND($A22&lt;&gt;"",$H22&gt;0,$J22&gt;=0)</formula>
    </cfRule>
    <cfRule type="expression" dxfId="2" priority="7">
      <formula>AND($A22&lt;&gt;"",$H22&gt;0,$J22&lt;0)</formula>
    </cfRule>
  </conditionalFormatting>
  <conditionalFormatting sqref="L22:L101">
    <cfRule type="expression" dxfId="1" priority="2">
      <formula>$L22="OK"</formula>
    </cfRule>
    <cfRule type="expression" dxfId="0" priority="3">
      <formula>AND($L22&lt;&gt;"",$L22&lt;&gt;"OK")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Dashboard</vt:lpstr>
      <vt:lpstr>Assumptions</vt:lpstr>
      <vt:lpstr>Projects</vt:lpstr>
      <vt:lpstr>Timeline</vt:lpstr>
      <vt:lpstr>Forecast</vt:lpstr>
      <vt:lpstr>Economics</vt:lpstr>
      <vt:lpstr>PhaseList</vt:lpstr>
      <vt:lpstr>pjEnd</vt:lpstr>
      <vt:lpstr>pjFee</vt:lpstr>
      <vt:lpstr>pjName</vt:lpstr>
      <vt:lpstr>pjNo</vt:lpstr>
      <vt:lpstr>pjPhase</vt:lpstr>
      <vt:lpstr>pjStart</vt:lpstr>
      <vt:lpstr>pjStatus</vt:lpstr>
      <vt:lpstr>pjTotDir</vt:lpstr>
      <vt:lpstr>pjTotHrs</vt:lpstr>
      <vt:lpstr>pjTotMid</vt:lpstr>
      <vt:lpstr>pjTotPD</vt:lpstr>
      <vt:lpstr>pjTotPr</vt:lpstr>
      <vt:lpstr>pjTotSD</vt:lpstr>
      <vt:lpstr>pjType</vt:lpstr>
      <vt:lpstr>pjValue</vt:lpstr>
      <vt:lpstr>pjWeight</vt:lpstr>
      <vt:lpstr>pjWk</vt:lpstr>
      <vt:lpstr>StaffList</vt:lpstr>
      <vt:lpstr>tlLevel</vt:lpstr>
      <vt:lpstr>tlNo</vt:lpstr>
      <vt:lpstr>tlPhase</vt:lpstr>
      <vt:lpstr>tlPlaced</vt:lpstr>
      <vt:lpstr>tlPool</vt:lpstr>
      <vt:lpstr>tlSrc</vt:lpstr>
      <vt:lpstr>tlStaff</vt:lpstr>
      <vt:lpstr>tlWeight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2026-10-13T07:17:58Z</dcterms:created>
  <dcterms:modified xsi:type="dcterms:W3CDTF">2026-10-13T07:17:58Z</dcterms:modified>
</cp:coreProperties>
</file>