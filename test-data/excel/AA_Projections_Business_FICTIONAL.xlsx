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B5191F78-713C-48A1-B501-F8D1BE467C46}" xr6:coauthVersionLast="47" xr6:coauthVersionMax="47" xr10:uidLastSave="{00000000-0000-0000-0000-000000000000}"/>
  <bookViews>
    <workbookView xWindow="1155" yWindow="1110" windowWidth="27150" windowHeight="13515" xr2:uid="{54089338-9205-40C2-A5E9-AF96E0325157}"/>
  </bookViews>
  <sheets>
    <sheet name="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8" i="4" l="1"/>
  <c r="K109" i="4"/>
  <c r="K23" i="4"/>
  <c r="B10" i="4"/>
  <c r="F17" i="4"/>
  <c r="E17" i="4"/>
  <c r="E16" i="4"/>
  <c r="F14" i="4"/>
  <c r="E14" i="4"/>
  <c r="F12" i="4"/>
  <c r="E12" i="4"/>
  <c r="F7" i="4"/>
  <c r="E7" i="4"/>
  <c r="E2" i="4"/>
  <c r="P125" i="4" a="1"/>
  <c r="P125" i="4" s="1"/>
  <c r="J126" i="4"/>
  <c r="P112" i="4" a="1"/>
  <c r="P112" i="4" s="1"/>
  <c r="P123" i="4" a="1"/>
  <c r="P123" i="4" s="1"/>
  <c r="P124" i="4" a="1"/>
  <c r="P124" i="4" s="1"/>
  <c r="V9" i="4"/>
  <c r="V10" i="4"/>
  <c r="V11" i="4"/>
  <c r="V12" i="4"/>
  <c r="V13" i="4"/>
  <c r="V14" i="4"/>
  <c r="V15" i="4"/>
  <c r="V17" i="4"/>
  <c r="N122" i="4"/>
  <c r="V5" i="4"/>
  <c r="O122" i="4"/>
  <c r="P122" i="4" s="1"/>
  <c r="M119" i="4"/>
  <c r="N119" i="4" s="1"/>
  <c r="O119" i="4" s="1"/>
  <c r="P119" i="4" s="1"/>
  <c r="T18" i="4"/>
  <c r="V4" i="4"/>
  <c r="V6" i="4"/>
  <c r="V7" i="4"/>
  <c r="V8" i="4"/>
  <c r="P118" i="4"/>
  <c r="L109" i="4"/>
  <c r="P133" i="4"/>
  <c r="P134" i="4"/>
  <c r="P132" i="4"/>
  <c r="P23" i="4"/>
  <c r="P64" i="4"/>
  <c r="K126" i="4" l="1"/>
  <c r="F19" i="4"/>
  <c r="F20" i="4" s="1"/>
  <c r="V18" i="4"/>
  <c r="M109" i="4"/>
  <c r="N109" i="4"/>
  <c r="O109" i="4"/>
  <c r="P116" i="4" l="1"/>
  <c r="L104" i="4"/>
  <c r="L101" i="4"/>
  <c r="L106" i="4"/>
  <c r="M106" i="4" s="1"/>
  <c r="N106" i="4" s="1"/>
  <c r="O106" i="4" s="1"/>
  <c r="L89" i="4"/>
  <c r="L126" i="4" s="1"/>
  <c r="P98" i="4"/>
  <c r="P126" i="4" s="1"/>
  <c r="B11" i="4" l="1"/>
  <c r="E11" i="4" s="1"/>
  <c r="M104" i="4"/>
  <c r="M126" i="4" s="1"/>
  <c r="N104" i="4"/>
  <c r="N126" i="4" s="1"/>
  <c r="D24" i="4" l="1"/>
  <c r="N128" i="4"/>
  <c r="L128" i="4"/>
  <c r="M128" i="4"/>
  <c r="E18" i="4"/>
  <c r="B12" i="4"/>
  <c r="C24" i="4" s="1"/>
  <c r="O104" i="4"/>
  <c r="O126" i="4" s="1"/>
  <c r="O128" i="4" l="1"/>
  <c r="E19" i="4"/>
  <c r="E20" i="4" s="1"/>
  <c r="Y2" i="4" l="1"/>
  <c r="Y7" i="4" s="1"/>
  <c r="D25" i="4"/>
  <c r="D26" i="4" s="1"/>
  <c r="C25" i="4"/>
  <c r="C26" i="4" s="1"/>
  <c r="Y3" i="4" l="1"/>
  <c r="Y4" i="4" s="1"/>
  <c r="Y8" i="4"/>
  <c r="D27" i="4"/>
  <c r="D28" i="4" s="1"/>
  <c r="D29" i="4" s="1"/>
  <c r="D30" i="4"/>
  <c r="Y5" i="4" l="1"/>
  <c r="Y6" i="4" s="1"/>
  <c r="Y9" i="4" l="1"/>
  <c r="Y10" i="4" s="1"/>
  <c r="Y11" i="4"/>
  <c r="Y1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<sst xmlns="http://schemas.openxmlformats.org/spreadsheetml/2006/main" count="334" uniqueCount="283">
  <si>
    <t>Staffing</t>
  </si>
  <si>
    <t>Salary</t>
  </si>
  <si>
    <t>Software</t>
  </si>
  <si>
    <t>Legal</t>
  </si>
  <si>
    <t>Total Annual</t>
  </si>
  <si>
    <t>Total Monthly</t>
  </si>
  <si>
    <t>Corp Taxes</t>
  </si>
  <si>
    <t>Payroll Taxes (6.4% Social Security / 1.45% Medicare)</t>
  </si>
  <si>
    <t>Rent</t>
  </si>
  <si>
    <t>Utilities</t>
  </si>
  <si>
    <t>Computers</t>
  </si>
  <si>
    <t>Revenue</t>
  </si>
  <si>
    <t>Net Earnings</t>
  </si>
  <si>
    <t>Net Profit Margin</t>
  </si>
  <si>
    <t>Target Multiplier</t>
  </si>
  <si>
    <t>% Utilized</t>
  </si>
  <si>
    <t># of Billable Staff</t>
  </si>
  <si>
    <t>Breakeven: OP  EX + Salaries</t>
  </si>
  <si>
    <t>Remaining Contract</t>
  </si>
  <si>
    <t>Total OP EX</t>
  </si>
  <si>
    <t>Monthly</t>
  </si>
  <si>
    <t>Annual</t>
  </si>
  <si>
    <t>Total Potential Billing</t>
  </si>
  <si>
    <t>OP EX per employee</t>
  </si>
  <si>
    <t>100% Billable</t>
  </si>
  <si>
    <t>75% Billable</t>
  </si>
  <si>
    <t>Hours</t>
  </si>
  <si>
    <t>Mixed Rate</t>
  </si>
  <si>
    <t>Vehicle</t>
  </si>
  <si>
    <t>Office General Expenses</t>
  </si>
  <si>
    <t>After Taxes (40%)</t>
  </si>
  <si>
    <t>N</t>
  </si>
  <si>
    <t>City Taxes</t>
  </si>
  <si>
    <t>Project #</t>
  </si>
  <si>
    <t>Total Contract</t>
  </si>
  <si>
    <t>Cost per hour</t>
  </si>
  <si>
    <t>2025 Actuals</t>
  </si>
  <si>
    <t>Profit+ Bonuses+ Growth after reinvest to business fund (6mo overhead)</t>
  </si>
  <si>
    <t>target multiplier x3.75</t>
  </si>
  <si>
    <t>Health Benefits</t>
  </si>
  <si>
    <t>4 Op Ex Month Investment Fund</t>
  </si>
  <si>
    <t>Bonus at % 5</t>
  </si>
  <si>
    <t>Total OP EX per hour</t>
  </si>
  <si>
    <t>Q1 2026 Billing</t>
  </si>
  <si>
    <t>Q2 2026 Billing</t>
  </si>
  <si>
    <t>Q3 2026 Billing</t>
  </si>
  <si>
    <t>Q4 2026 Billing</t>
  </si>
  <si>
    <t>To bill after 2026</t>
  </si>
  <si>
    <t>.</t>
  </si>
  <si>
    <t>Non Labor Overhead</t>
  </si>
  <si>
    <t>cost per day</t>
  </si>
  <si>
    <t>2026 OP EX</t>
  </si>
  <si>
    <t>2026 Signed Revenue</t>
  </si>
  <si>
    <t>2026-2027 Pending Projects</t>
  </si>
  <si>
    <t>2026 Profit Margin</t>
  </si>
  <si>
    <t>2026  Revenue-Utilization Method</t>
  </si>
  <si>
    <t>Notes</t>
  </si>
  <si>
    <t>For CA</t>
  </si>
  <si>
    <t>Fee</t>
  </si>
  <si>
    <t>% of Winning</t>
  </si>
  <si>
    <t>Projected Fee</t>
  </si>
  <si>
    <t>Accounting</t>
  </si>
  <si>
    <t>Insurance</t>
  </si>
  <si>
    <t>Business Travel</t>
  </si>
  <si>
    <t>Office Meals</t>
  </si>
  <si>
    <t>Book Keeping and CPA Services</t>
  </si>
  <si>
    <t>Client</t>
  </si>
  <si>
    <t>India Team</t>
  </si>
  <si>
    <t>Headcount</t>
  </si>
  <si>
    <t>Parker Kowalski</t>
  </si>
  <si>
    <t>Harper</t>
  </si>
  <si>
    <t>Devon</t>
  </si>
  <si>
    <t>Elliot</t>
  </si>
  <si>
    <t>Riley</t>
  </si>
  <si>
    <t>Blair</t>
  </si>
  <si>
    <t>Sasha</t>
  </si>
  <si>
    <t>Copperfield Terrace</t>
  </si>
  <si>
    <t>Foundry Workshop</t>
  </si>
  <si>
    <t>Whitby Pavilion</t>
  </si>
  <si>
    <t>Riverbend Creative Office</t>
  </si>
  <si>
    <t>Brightline Studio</t>
  </si>
  <si>
    <t>Eastvale Community Center</t>
  </si>
  <si>
    <t>Tamarack Pavilion</t>
  </si>
  <si>
    <t>Inlet Development</t>
  </si>
  <si>
    <t>Silverlake Row Garden</t>
  </si>
  <si>
    <t>Mariner Terrace</t>
  </si>
  <si>
    <t>Parallax Properties</t>
  </si>
  <si>
    <t>Willowmere Mobility Hub</t>
  </si>
  <si>
    <t>Northgate Trail</t>
  </si>
  <si>
    <t>Thornbury Trail</t>
  </si>
  <si>
    <t>Riverbend Streetscape</t>
  </si>
  <si>
    <t>Linden Village</t>
  </si>
  <si>
    <t>Ridgeview Arts Center</t>
  </si>
  <si>
    <t>Westfield Partners</t>
  </si>
  <si>
    <t>Eastvale Residences</t>
  </si>
  <si>
    <t>Tidewater Partners</t>
  </si>
  <si>
    <t>Sunset Mesa Elementary School</t>
  </si>
  <si>
    <t>Foundry Architects</t>
  </si>
  <si>
    <t>Oakhurst Plaza</t>
  </si>
  <si>
    <t>Cedar Arts Center</t>
  </si>
  <si>
    <t>Hearth Holdings</t>
  </si>
  <si>
    <t>Juniper Master Plan</t>
  </si>
  <si>
    <t>Zephyr Townhomes</t>
  </si>
  <si>
    <t>Nimbus Housing Trust</t>
  </si>
  <si>
    <t>Summit Ridge Campus Plan</t>
  </si>
  <si>
    <t>Redstone Senior Housing</t>
  </si>
  <si>
    <t>Willowmere Library</t>
  </si>
  <si>
    <t>Thornbury Pavilion</t>
  </si>
  <si>
    <t>Bluestone Studio</t>
  </si>
  <si>
    <t>Clearwater Garden</t>
  </si>
  <si>
    <t>Redwood Row Properties</t>
  </si>
  <si>
    <t>Alder Community Center</t>
  </si>
  <si>
    <t>Lakeshore Courtyard</t>
  </si>
  <si>
    <t>Brightline Architects</t>
  </si>
  <si>
    <t>Tamarack Lofts</t>
  </si>
  <si>
    <t>Granary Planning</t>
  </si>
  <si>
    <t>Ironwood Community Center</t>
  </si>
  <si>
    <t>Corvid Capital</t>
  </si>
  <si>
    <t>Marigold Housing</t>
  </si>
  <si>
    <t>Thornbury Garden</t>
  </si>
  <si>
    <t>Stonebridge Lofts</t>
  </si>
  <si>
    <t>Keystone Architects</t>
  </si>
  <si>
    <t>Bluebell Elementary School</t>
  </si>
  <si>
    <t>Pacifica Associates</t>
  </si>
  <si>
    <t>Copperfield Pavilion</t>
  </si>
  <si>
    <t>Orchard Hill Workshop</t>
  </si>
  <si>
    <t>Thornbury Mobility Hub</t>
  </si>
  <si>
    <t>Maple Hollow Courtyard</t>
  </si>
  <si>
    <t>Zenith Architects</t>
  </si>
  <si>
    <t>Sandpiper Streetscape</t>
  </si>
  <si>
    <t>Tamarack Community Center</t>
  </si>
  <si>
    <t>Brightline Design Group</t>
  </si>
  <si>
    <t>Whitby Roof Deck</t>
  </si>
  <si>
    <t>Lumen Properties</t>
  </si>
  <si>
    <t>Pinecrest Trail</t>
  </si>
  <si>
    <t>Tidewater Architects</t>
  </si>
  <si>
    <t>Orchard Trail</t>
  </si>
  <si>
    <t>Crestline Studio</t>
  </si>
  <si>
    <t>Thornbury Senior Housing</t>
  </si>
  <si>
    <t>Tessellate Properties</t>
  </si>
  <si>
    <t>Sierra Creative Office</t>
  </si>
  <si>
    <t>Foundry Partners</t>
  </si>
  <si>
    <t>Marigold Promenade</t>
  </si>
  <si>
    <t>Lattice Studio</t>
  </si>
  <si>
    <t>Northgate Mobility Hub</t>
  </si>
  <si>
    <t>Juniper Creative Office</t>
  </si>
  <si>
    <t>Lumen Partners</t>
  </si>
  <si>
    <t>Sandpiper Roof Deck</t>
  </si>
  <si>
    <t>Northwind Foundation</t>
  </si>
  <si>
    <t>Kestrel Commons</t>
  </si>
  <si>
    <t>Glenmoor Commons</t>
  </si>
  <si>
    <t>Oakhurst Housing</t>
  </si>
  <si>
    <t>Meridian Workshop</t>
  </si>
  <si>
    <t>Tamarack Commons</t>
  </si>
  <si>
    <t>Sandpiper Plaza</t>
  </si>
  <si>
    <t>Fieldwork Foundation</t>
  </si>
  <si>
    <t>Stonebridge Pavilion</t>
  </si>
  <si>
    <t>Keystone Housing Trust</t>
  </si>
  <si>
    <t>Pinecrest Master Plan</t>
  </si>
  <si>
    <t>Hollis Village</t>
  </si>
  <si>
    <t>Highcrest Creative Office</t>
  </si>
  <si>
    <t>Harbor Community Center</t>
  </si>
  <si>
    <t>Ashford Housing</t>
  </si>
  <si>
    <t>Cobalt Properties</t>
  </si>
  <si>
    <t>Saltmarsh Village</t>
  </si>
  <si>
    <t>Halcyon Planning</t>
  </si>
  <si>
    <t>Quarry Pavilion</t>
  </si>
  <si>
    <t>Lattice Planning</t>
  </si>
  <si>
    <t>Ironwood Courtyard</t>
  </si>
  <si>
    <t>Hearth Design Group</t>
  </si>
  <si>
    <t>Coralwood Promenade</t>
  </si>
  <si>
    <t>Thornbury Campus Plan</t>
  </si>
  <si>
    <t>Delta Fern Foundation</t>
  </si>
  <si>
    <t>Fairhaven Senior Housing</t>
  </si>
  <si>
    <t>Hearth Studio</t>
  </si>
  <si>
    <t>Bluebell Courtyard</t>
  </si>
  <si>
    <t>Glenmoor Trail</t>
  </si>
  <si>
    <t>Meridian Studio</t>
  </si>
  <si>
    <t>Kestrel Village</t>
  </si>
  <si>
    <t>Birch Promenade</t>
  </si>
  <si>
    <t>Ember Architects</t>
  </si>
  <si>
    <t>Summit Ridge Creative Office</t>
  </si>
  <si>
    <t>Fieldwork Associates</t>
  </si>
  <si>
    <t>Fairhaven Creative Office</t>
  </si>
  <si>
    <t>Larkspur Townhomes</t>
  </si>
  <si>
    <t>Tamarack Housing</t>
  </si>
  <si>
    <t>Yellowpine Studio</t>
  </si>
  <si>
    <t>Bluebell Community Center</t>
  </si>
  <si>
    <t>Bluestone Holdings</t>
  </si>
  <si>
    <t>Upland Village</t>
  </si>
  <si>
    <t>Vantage Capital</t>
  </si>
  <si>
    <t>Linden Elementary School</t>
  </si>
  <si>
    <t>Bluestone Workshop</t>
  </si>
  <si>
    <t>Maple Hollow Arts Center</t>
  </si>
  <si>
    <t>Atlas Grove Studio</t>
  </si>
  <si>
    <t>Driftwood Housing</t>
  </si>
  <si>
    <t>Zephyr Garden</t>
  </si>
  <si>
    <t>Laurel Park Pavilion</t>
  </si>
  <si>
    <t>Northwind Holdings</t>
  </si>
  <si>
    <t>Yarrow Streetscape</t>
  </si>
  <si>
    <t>Quill Design Group</t>
  </si>
  <si>
    <t>Juniper Terrace</t>
  </si>
  <si>
    <t>Summit Ridge Village</t>
  </si>
  <si>
    <t>Sierra Terrace</t>
  </si>
  <si>
    <t>Brightline Planning</t>
  </si>
  <si>
    <t>Fairhaven Village</t>
  </si>
  <si>
    <t>Sablewood Collaborative</t>
  </si>
  <si>
    <t>Canyon Vista Park</t>
  </si>
  <si>
    <t>Linden Mobility Hub</t>
  </si>
  <si>
    <t>Fieldwork Studio</t>
  </si>
  <si>
    <t>Copperfield Elementary School</t>
  </si>
  <si>
    <t>Beacon Collaborative</t>
  </si>
  <si>
    <t>Glenmoor Pavilion</t>
  </si>
  <si>
    <t>Yellowpine Properties</t>
  </si>
  <si>
    <t>Orchard Commons</t>
  </si>
  <si>
    <t>Harbor Campus Plan</t>
  </si>
  <si>
    <t>Mosaic Holdings</t>
  </si>
  <si>
    <t>Bluebell Campus Plan</t>
  </si>
  <si>
    <t>Harbor Mobility Hub</t>
  </si>
  <si>
    <t>Summit Ridge Townhomes</t>
  </si>
  <si>
    <t>Coralwood Library</t>
  </si>
  <si>
    <t>Arbor Collaborative</t>
  </si>
  <si>
    <t>Laurel Park Garden</t>
  </si>
  <si>
    <t>Beacon Workshop</t>
  </si>
  <si>
    <t>Mariner Library</t>
  </si>
  <si>
    <t>Arbor Studio</t>
  </si>
  <si>
    <t>Zephyr Creative Office</t>
  </si>
  <si>
    <t>Lattice Holdings</t>
  </si>
  <si>
    <t>Copperfield Garden</t>
  </si>
  <si>
    <t>Saltmarsh Mobility Hub</t>
  </si>
  <si>
    <t>Upland Terrace</t>
  </si>
  <si>
    <t>Redwood Row Holdings</t>
  </si>
  <si>
    <t>Silverlake Row Senior Housing</t>
  </si>
  <si>
    <t>Pinecrest Elementary School</t>
  </si>
  <si>
    <t>Sablewood Partners</t>
  </si>
  <si>
    <t>Glenmoor Library</t>
  </si>
  <si>
    <t>Wren Master Plan</t>
  </si>
  <si>
    <t>Coralwood Mobility Hub</t>
  </si>
  <si>
    <t>Mariner Courtyard</t>
  </si>
  <si>
    <t>Whitby Arts Center</t>
  </si>
  <si>
    <t>Nimbus Collaborative</t>
  </si>
  <si>
    <t>Driftwood Park</t>
  </si>
  <si>
    <t>Northwind Associates</t>
  </si>
  <si>
    <t>Bayside Community Center</t>
  </si>
  <si>
    <t>Parallax Development</t>
  </si>
  <si>
    <t>Marigold Park</t>
  </si>
  <si>
    <t>Willowmere Trail</t>
  </si>
  <si>
    <t>Pebble Creek Courtyard</t>
  </si>
  <si>
    <t>Ironwood Village</t>
  </si>
  <si>
    <t>Arbor Workshop</t>
  </si>
  <si>
    <t>Saltmarsh Master Plan</t>
  </si>
  <si>
    <t>Westbury Elementary School</t>
  </si>
  <si>
    <t>Brightline Foundation</t>
  </si>
  <si>
    <t>Riverbend Master Plan</t>
  </si>
  <si>
    <t>Inlet Associates</t>
  </si>
  <si>
    <t>Bayside Lofts</t>
  </si>
  <si>
    <t>Inlet Partners</t>
  </si>
  <si>
    <t>Cypress Point Campus Plan</t>
  </si>
  <si>
    <t>Hollis Campus Plan</t>
  </si>
  <si>
    <t>Delta Fern Holdings</t>
  </si>
  <si>
    <t>Riverbend Roof Deck</t>
  </si>
  <si>
    <t>Juniper Lane Associates</t>
  </si>
  <si>
    <t>Wren Arts Center</t>
  </si>
  <si>
    <t>Kestrel Master Plan</t>
  </si>
  <si>
    <t>Halcyon Design Group</t>
  </si>
  <si>
    <t>Hawthorne Glen Senior Housing</t>
  </si>
  <si>
    <t>Granary Housing Trust</t>
  </si>
  <si>
    <t>Northgate Courtyard</t>
  </si>
  <si>
    <t>Ridgeview Lofts</t>
  </si>
  <si>
    <t>Birch Roof Deck</t>
  </si>
  <si>
    <t>Highcrest Courtyard</t>
  </si>
  <si>
    <t>Vantage Holdings</t>
  </si>
  <si>
    <t>Stonebridge Streetscape</t>
  </si>
  <si>
    <t>Umbra Collaborative</t>
  </si>
  <si>
    <t>Saltmarsh Terrace</t>
  </si>
  <si>
    <t>Redwood Row Partners</t>
  </si>
  <si>
    <t>Verdant Courtyard</t>
  </si>
  <si>
    <t>Marigold Plaza</t>
  </si>
  <si>
    <t>Arbor Planning</t>
  </si>
  <si>
    <t>Meadow Townhomes</t>
  </si>
  <si>
    <t>Atlas Grove Associates</t>
  </si>
  <si>
    <t>PK Take Home</t>
  </si>
  <si>
    <t>PK Take Home + Business Account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</si>
</sst>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1" fillId="4" borderId="1" xfId="0" applyFont="1" applyFill="1" applyBorder="1"/>
    <xf numFmtId="2" fontId="1" fillId="4" borderId="1" xfId="0" applyNumberFormat="1" applyFont="1" applyFill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3" borderId="1" xfId="0" applyFill="1" applyBorder="1"/>
    <xf numFmtId="4" fontId="0" fillId="0" borderId="1" xfId="0" applyNumberFormat="1" applyBorder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6" fontId="0" fillId="0" borderId="1" xfId="0" applyNumberFormat="1" applyBorder="1"/>
    <xf numFmtId="0" fontId="0" fillId="3" borderId="4" xfId="0" applyFill="1" applyBorder="1" applyAlignment="1">
      <alignment horizontal="center"/>
    </xf>
    <xf numFmtId="0" fontId="0" fillId="2" borderId="1" xfId="0" applyFill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1" fillId="0" borderId="4" xfId="0" applyNumberFormat="1" applyFont="1" applyBorder="1"/>
    <xf numFmtId="1" fontId="1" fillId="0" borderId="0" xfId="0" applyNumberFormat="1" applyFont="1" applyAlignment="1">
      <alignment wrapText="1"/>
    </xf>
    <xf numFmtId="43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wrapText="1"/>
    </xf>
    <xf numFmtId="0" fontId="0" fillId="0" borderId="5" xfId="0" applyBorder="1"/>
    <xf numFmtId="0" fontId="2" fillId="6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5" xfId="0" applyFont="1" applyBorder="1"/>
    <xf numFmtId="164" fontId="0" fillId="0" borderId="5" xfId="0" applyNumberForma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9" fontId="0" fillId="0" borderId="1" xfId="0" applyNumberFormat="1" applyBorder="1"/>
    <xf numFmtId="165" fontId="0" fillId="7" borderId="0" xfId="0" applyNumberFormat="1" applyFill="1"/>
    <xf numFmtId="0" fontId="0" fillId="0" borderId="11" xfId="0" applyBorder="1" applyAlignment="1">
      <alignment wrapText="1"/>
    </xf>
    <xf numFmtId="165" fontId="0" fillId="3" borderId="0" xfId="0" applyNumberFormat="1" applyFill="1" applyAlignment="1">
      <alignment horizontal="center"/>
    </xf>
    <xf numFmtId="8" fontId="0" fillId="0" borderId="12" xfId="0" applyNumberFormat="1" applyBorder="1" applyAlignment="1">
      <alignment wrapText="1"/>
    </xf>
    <xf numFmtId="0" fontId="5" fillId="0" borderId="0" xfId="0" applyFont="1"/>
    <xf numFmtId="164" fontId="5" fillId="0" borderId="5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5" fontId="5" fillId="0" borderId="0" xfId="0" applyNumberFormat="1" applyFont="1"/>
    <xf numFmtId="0" fontId="0" fillId="0" borderId="5" xfId="0" applyBorder="1" applyAlignment="1">
      <alignment horizontal="left"/>
    </xf>
    <xf numFmtId="0" fontId="6" fillId="0" borderId="0" xfId="0" applyFont="1"/>
    <xf numFmtId="0" fontId="6" fillId="0" borderId="5" xfId="0" applyFont="1" applyBorder="1"/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9" fontId="0" fillId="0" borderId="6" xfId="0" applyNumberFormat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164" fontId="0" fillId="0" borderId="1" xfId="0" applyNumberFormat="1" applyBorder="1" applyAlignment="1">
      <alignment horizontal="right"/>
    </xf>
    <xf numFmtId="164" fontId="0" fillId="0" borderId="9" xfId="0" applyNumberFormat="1" applyBorder="1" applyAlignment="1">
      <alignment wrapText="1"/>
    </xf>
    <xf numFmtId="164" fontId="0" fillId="0" borderId="10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quotePrefix="1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11" xfId="0" quotePrefix="1" applyBorder="1" applyAlignment="1">
      <alignment wrapText="1"/>
    </xf>
    <xf numFmtId="0" fontId="6" fillId="0" borderId="5" xfId="0" quotePrefix="1" applyFont="1" applyBorder="1"/>
    <xf numFmtId="0" fontId="4" fillId="0" borderId="1" xfId="0" quotePrefix="1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/>
    <xf numFmtId="0" fontId="0" fillId="0" borderId="5" xfId="0" quotePrefix="1" applyBorder="1" applyAlignment="1">
      <alignment horizontal="left"/>
    </xf>
    <xf numFmtId="0" fontId="0" fillId="0" borderId="0" xfId="0" quotePrefix="1"/>
    <xf numFmtId="0" fontId="0" fillId="0" borderId="5" xfId="0" quotePrefix="1" applyBorder="1"/>
    <xf numFmtId="0" fontId="6" fillId="0" borderId="1" xfId="0" quotePrefix="1" applyFont="1" applyBorder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0168-5051-4390-8395-DF03E1CF996D}">
  <dimension ref="A1:BA190"/>
  <sheetViews>
    <sheetView tabSelected="1" zoomScale="90" zoomScaleNormal="90" workbookViewId="0">
      <pane ySplit="1" topLeftCell="A2" activePane="bottomLeft" state="frozen"/>
      <selection activeCell="H1" sqref="H1"/>
      <selection pane="bottomLeft" activeCell="H31" activeCellId="6" sqref="G89:H89 G87:H87 G84:H84 G76:H76 G77:H77 G35:H35 G31:H31"/>
    </sheetView>
  </sheetViews>
  <sheetFormatPr defaultRowHeight="15" x14ac:dyDescent="0.25"/>
  <cols>
    <col min="1" max="1" width="22.7109375" customWidth="1"/>
    <col min="2" max="2" width="20.85546875" bestFit="1" customWidth="1"/>
    <col min="3" max="3" width="14.85546875" bestFit="1" customWidth="1"/>
    <col min="4" max="4" width="53.140625" bestFit="1" customWidth="1"/>
    <col min="5" max="5" width="26.28515625" customWidth="1"/>
    <col min="6" max="6" width="12.5703125" customWidth="1"/>
    <col min="8" max="8" width="59.5703125" bestFit="1" customWidth="1"/>
    <col min="9" max="9" width="59.5703125" customWidth="1"/>
    <col min="10" max="10" width="16.140625" bestFit="1" customWidth="1"/>
    <col min="11" max="11" width="18.5703125" bestFit="1" customWidth="1"/>
    <col min="12" max="15" width="18.5703125" customWidth="1"/>
    <col min="16" max="16" width="21" bestFit="1" customWidth="1"/>
    <col min="17" max="17" width="26" bestFit="1" customWidth="1"/>
    <col min="18" max="18" width="19.5703125" customWidth="1"/>
    <col min="19" max="19" width="37" bestFit="1" customWidth="1"/>
    <col min="20" max="20" width="14" bestFit="1" customWidth="1"/>
    <col min="21" max="22" width="14" customWidth="1"/>
    <col min="23" max="23" width="3.85546875" customWidth="1"/>
    <col min="24" max="24" width="42.5703125" bestFit="1" customWidth="1"/>
    <col min="25" max="25" width="14.28515625" bestFit="1" customWidth="1"/>
    <col min="26" max="26" width="5" customWidth="1"/>
    <col min="27" max="27" width="13.85546875" bestFit="1" customWidth="1"/>
    <col min="28" max="28" width="16" bestFit="1" customWidth="1"/>
    <col min="29" max="30" width="9.5703125" customWidth="1"/>
    <col min="31" max="31" width="26.28515625" bestFit="1" customWidth="1"/>
    <col min="32" max="32" width="17" customWidth="1"/>
    <col min="33" max="33" width="11.140625" bestFit="1" customWidth="1"/>
  </cols>
  <sheetData>
    <row r="1" spans="1:53" x14ac:dyDescent="0.25">
      <c r="A1" s="97">
        <v>2026</v>
      </c>
      <c r="B1" s="97"/>
      <c r="C1" s="5"/>
      <c r="D1" s="6" t="s">
        <v>51</v>
      </c>
      <c r="E1" s="6"/>
      <c r="F1" s="6"/>
      <c r="G1" s="5" t="s">
        <v>33</v>
      </c>
      <c r="H1" s="7" t="s">
        <v>52</v>
      </c>
      <c r="I1" s="7" t="s">
        <v>66</v>
      </c>
      <c r="J1" s="22" t="s">
        <v>34</v>
      </c>
      <c r="K1" s="7" t="s">
        <v>18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22" t="s">
        <v>56</v>
      </c>
      <c r="R1" s="30"/>
      <c r="S1" s="22" t="s">
        <v>53</v>
      </c>
      <c r="T1" s="22"/>
      <c r="U1" s="22"/>
      <c r="V1" s="22"/>
      <c r="W1" s="5"/>
      <c r="X1" s="98" t="s">
        <v>54</v>
      </c>
      <c r="Y1" s="98"/>
      <c r="Z1" s="8" t="s">
        <v>31</v>
      </c>
      <c r="AA1" s="51"/>
      <c r="AB1" s="33"/>
      <c r="AE1" s="95"/>
      <c r="AF1" s="95"/>
      <c r="AG1" s="95"/>
    </row>
    <row r="2" spans="1:53" x14ac:dyDescent="0.25">
      <c r="A2" s="5" t="s">
        <v>0</v>
      </c>
      <c r="B2" s="5" t="s">
        <v>1</v>
      </c>
      <c r="C2" s="5"/>
      <c r="D2" s="5" t="s">
        <v>2</v>
      </c>
      <c r="E2" s="9">
        <f>4700*7</f>
        <v>32900</v>
      </c>
      <c r="F2" s="9">
        <v>0</v>
      </c>
      <c r="G2" s="78">
        <v>2106</v>
      </c>
      <c r="H2" s="102" t="s">
        <v>76</v>
      </c>
      <c r="I2" s="102" t="s">
        <v>77</v>
      </c>
      <c r="J2" s="63"/>
      <c r="K2" s="63"/>
      <c r="N2" s="64"/>
      <c r="O2" s="65"/>
      <c r="P2" s="66"/>
      <c r="Q2" s="5"/>
      <c r="R2" s="58"/>
      <c r="S2" s="59"/>
      <c r="T2" s="9" t="s">
        <v>58</v>
      </c>
      <c r="U2" t="s">
        <v>59</v>
      </c>
      <c r="V2" s="9" t="s">
        <v>60</v>
      </c>
      <c r="W2" s="5"/>
      <c r="X2" s="5" t="s">
        <v>11</v>
      </c>
      <c r="Y2" s="9">
        <f>SUM(L126:O126)</f>
        <v>2753475</v>
      </c>
      <c r="Z2" s="10"/>
      <c r="AA2" s="5"/>
      <c r="AB2" s="10"/>
      <c r="AF2" s="26"/>
      <c r="AG2" s="26"/>
    </row>
    <row r="3" spans="1:53" x14ac:dyDescent="0.25">
      <c r="A3" s="99" t="s">
        <v>69</v>
      </c>
      <c r="B3" s="92">
        <v>100000</v>
      </c>
      <c r="C3" s="9"/>
      <c r="D3" s="5" t="s">
        <v>6</v>
      </c>
      <c r="E3" s="9">
        <v>1100</v>
      </c>
      <c r="F3" s="9">
        <v>1100</v>
      </c>
      <c r="G3" s="78">
        <v>2117</v>
      </c>
      <c r="H3" s="102" t="s">
        <v>78</v>
      </c>
      <c r="I3" s="79"/>
      <c r="J3" s="63"/>
      <c r="K3" s="63"/>
      <c r="N3" s="64"/>
      <c r="O3" s="65"/>
      <c r="P3" s="66"/>
      <c r="Q3" s="5"/>
      <c r="R3" s="81"/>
      <c r="S3" s="82"/>
      <c r="T3" s="83"/>
      <c r="U3" s="87"/>
      <c r="V3" s="83"/>
      <c r="W3" s="5"/>
      <c r="X3" s="5" t="s">
        <v>17</v>
      </c>
      <c r="Y3" s="9">
        <f>D26</f>
        <v>1144320</v>
      </c>
      <c r="Z3" s="5"/>
      <c r="AA3" s="5"/>
      <c r="AB3" s="10"/>
      <c r="AF3" s="26"/>
      <c r="AG3" s="26"/>
    </row>
    <row r="4" spans="1:53" x14ac:dyDescent="0.25">
      <c r="A4" s="100" t="s">
        <v>70</v>
      </c>
      <c r="B4" s="93">
        <v>80000</v>
      </c>
      <c r="C4" s="9"/>
      <c r="D4" s="5" t="s">
        <v>62</v>
      </c>
      <c r="E4" s="9">
        <v>52700</v>
      </c>
      <c r="F4" s="9">
        <v>52700</v>
      </c>
      <c r="G4" s="78">
        <v>2118</v>
      </c>
      <c r="H4" s="102" t="s">
        <v>79</v>
      </c>
      <c r="I4" s="102" t="s">
        <v>80</v>
      </c>
      <c r="J4" s="63"/>
      <c r="K4" s="63"/>
      <c r="N4" s="64"/>
      <c r="O4" s="65"/>
      <c r="P4" s="66"/>
      <c r="Q4" s="5"/>
      <c r="R4" s="81">
        <v>2588</v>
      </c>
      <c r="S4" s="103" t="s">
        <v>81</v>
      </c>
      <c r="T4" s="13">
        <v>49000</v>
      </c>
      <c r="U4" s="88">
        <v>0.2</v>
      </c>
      <c r="V4" s="83">
        <f t="shared" ref="V4:V5" si="0">T4*U4</f>
        <v>9800</v>
      </c>
      <c r="W4" s="5"/>
      <c r="X4" s="5" t="s">
        <v>12</v>
      </c>
      <c r="Y4" s="9">
        <f>Y2-Y3</f>
        <v>1609155</v>
      </c>
      <c r="Z4" s="5"/>
      <c r="AA4" s="13"/>
      <c r="AB4" s="18"/>
      <c r="AC4" s="25"/>
      <c r="AD4" s="25"/>
      <c r="AF4" s="26"/>
      <c r="AG4" s="26"/>
    </row>
    <row r="5" spans="1:53" x14ac:dyDescent="0.25">
      <c r="A5" s="100" t="s">
        <v>71</v>
      </c>
      <c r="B5" s="93">
        <v>140000</v>
      </c>
      <c r="C5" s="9"/>
      <c r="D5" s="5" t="s">
        <v>63</v>
      </c>
      <c r="E5" s="91">
        <v>20700</v>
      </c>
      <c r="F5" s="91">
        <v>20700</v>
      </c>
      <c r="G5" s="78">
        <v>2120</v>
      </c>
      <c r="H5" s="102" t="s">
        <v>82</v>
      </c>
      <c r="I5" s="102" t="s">
        <v>83</v>
      </c>
      <c r="J5" s="63"/>
      <c r="K5" s="63"/>
      <c r="N5" s="64"/>
      <c r="O5" s="65"/>
      <c r="P5" s="66"/>
      <c r="Q5" s="5"/>
      <c r="R5" s="81">
        <v>2593</v>
      </c>
      <c r="S5" s="103" t="s">
        <v>84</v>
      </c>
      <c r="T5" s="13">
        <v>212500</v>
      </c>
      <c r="U5" s="88">
        <v>0.5</v>
      </c>
      <c r="V5" s="83">
        <f t="shared" si="0"/>
        <v>106250</v>
      </c>
      <c r="W5" s="5"/>
      <c r="X5" s="5" t="s">
        <v>30</v>
      </c>
      <c r="Y5" s="9">
        <f>Y4*0.6</f>
        <v>965493</v>
      </c>
      <c r="Z5" s="5"/>
      <c r="AA5" s="5"/>
      <c r="AB5" s="10"/>
      <c r="AC5" s="25"/>
      <c r="AD5" s="25"/>
      <c r="AF5" s="26"/>
      <c r="AG5" s="26"/>
    </row>
    <row r="6" spans="1:53" x14ac:dyDescent="0.25">
      <c r="A6" s="100" t="s">
        <v>72</v>
      </c>
      <c r="B6" s="93">
        <v>75000</v>
      </c>
      <c r="C6" s="9"/>
      <c r="D6" s="5" t="s">
        <v>64</v>
      </c>
      <c r="E6" s="91">
        <v>5400</v>
      </c>
      <c r="F6" s="91">
        <v>5400</v>
      </c>
      <c r="G6" s="78">
        <v>2124</v>
      </c>
      <c r="H6" s="102" t="s">
        <v>85</v>
      </c>
      <c r="I6" s="102" t="s">
        <v>86</v>
      </c>
      <c r="J6" s="63"/>
      <c r="K6" s="63"/>
      <c r="N6" s="64"/>
      <c r="O6" s="65"/>
      <c r="P6" s="66"/>
      <c r="Q6" s="5"/>
      <c r="R6" s="81">
        <v>2676</v>
      </c>
      <c r="S6" s="103" t="s">
        <v>87</v>
      </c>
      <c r="T6" s="13">
        <v>856000</v>
      </c>
      <c r="U6" s="88">
        <v>0.5</v>
      </c>
      <c r="V6" s="83">
        <f>T6*U6</f>
        <v>428000</v>
      </c>
      <c r="W6" s="5"/>
      <c r="X6" s="14" t="s">
        <v>13</v>
      </c>
      <c r="Y6" s="15">
        <f>Y5/Y2</f>
        <v>0.35064527551548497</v>
      </c>
      <c r="Z6" s="5"/>
      <c r="AA6" s="5"/>
      <c r="AB6" s="10"/>
      <c r="AC6" s="25"/>
    </row>
    <row r="7" spans="1:53" x14ac:dyDescent="0.25">
      <c r="A7" s="101" t="s">
        <v>73</v>
      </c>
      <c r="B7" s="94">
        <v>75000</v>
      </c>
      <c r="C7" s="9"/>
      <c r="D7" s="5" t="s">
        <v>65</v>
      </c>
      <c r="E7" s="91">
        <f>2600*12</f>
        <v>31200</v>
      </c>
      <c r="F7" s="91">
        <f>2600*12</f>
        <v>31200</v>
      </c>
      <c r="G7" s="78">
        <v>2126</v>
      </c>
      <c r="H7" s="102" t="s">
        <v>88</v>
      </c>
      <c r="I7" s="79"/>
      <c r="J7" s="63"/>
      <c r="K7" s="63"/>
      <c r="N7" s="64"/>
      <c r="O7" s="65"/>
      <c r="P7" s="66"/>
      <c r="Q7" s="5"/>
      <c r="R7" s="43">
        <v>2678</v>
      </c>
      <c r="S7" s="104" t="s">
        <v>89</v>
      </c>
      <c r="T7" s="43">
        <v>427000</v>
      </c>
      <c r="U7" s="86">
        <v>0.9</v>
      </c>
      <c r="V7" s="83">
        <f>T7*U7</f>
        <v>384300</v>
      </c>
      <c r="W7" s="5"/>
      <c r="X7" s="5" t="s">
        <v>14</v>
      </c>
      <c r="Y7" s="23">
        <f>Y2/B11</f>
        <v>3.6002549686192467</v>
      </c>
      <c r="Z7" s="5"/>
      <c r="AA7" s="5"/>
      <c r="AB7" s="5"/>
    </row>
    <row r="8" spans="1:53" ht="17.25" customHeight="1" x14ac:dyDescent="0.25">
      <c r="A8" s="101" t="s">
        <v>74</v>
      </c>
      <c r="B8" s="94">
        <v>90000</v>
      </c>
      <c r="C8" s="17"/>
      <c r="D8" s="5" t="s">
        <v>32</v>
      </c>
      <c r="E8" s="9">
        <v>8700</v>
      </c>
      <c r="F8" s="9">
        <v>8700</v>
      </c>
      <c r="G8">
        <v>2129</v>
      </c>
      <c r="H8" s="105" t="s">
        <v>90</v>
      </c>
      <c r="I8" s="102" t="s">
        <v>86</v>
      </c>
      <c r="J8" s="54">
        <v>173500</v>
      </c>
      <c r="K8" s="54">
        <v>70500</v>
      </c>
      <c r="L8" s="53"/>
      <c r="M8" s="53"/>
      <c r="N8" s="53"/>
      <c r="O8" s="53"/>
      <c r="P8" s="54">
        <v>0</v>
      </c>
      <c r="Q8" s="5"/>
      <c r="R8" s="81">
        <v>2682</v>
      </c>
      <c r="S8" s="103" t="s">
        <v>91</v>
      </c>
      <c r="T8" s="84">
        <v>355500</v>
      </c>
      <c r="U8" s="88">
        <v>0.1</v>
      </c>
      <c r="V8" s="83">
        <f>T8*U8</f>
        <v>35550</v>
      </c>
      <c r="W8" s="5"/>
      <c r="X8" s="20" t="s">
        <v>40</v>
      </c>
      <c r="Y8" s="9">
        <f>D26*0.33</f>
        <v>377625.60000000003</v>
      </c>
      <c r="Z8" s="5"/>
      <c r="AA8" s="5"/>
      <c r="AB8" s="10"/>
      <c r="AC8" s="25"/>
    </row>
    <row r="9" spans="1:53" ht="15" customHeight="1" x14ac:dyDescent="0.25">
      <c r="A9" s="101" t="s">
        <v>75</v>
      </c>
      <c r="B9" s="94">
        <v>140000</v>
      </c>
      <c r="C9" s="18"/>
      <c r="D9" s="5" t="s">
        <v>28</v>
      </c>
      <c r="E9" s="9">
        <v>2900</v>
      </c>
      <c r="F9" s="9">
        <v>2900</v>
      </c>
      <c r="G9">
        <v>2142</v>
      </c>
      <c r="H9" s="102" t="s">
        <v>92</v>
      </c>
      <c r="I9" s="102" t="s">
        <v>93</v>
      </c>
      <c r="J9" s="63"/>
      <c r="K9" s="63"/>
      <c r="N9" s="64"/>
      <c r="O9" s="65"/>
      <c r="P9" s="66"/>
      <c r="Q9" s="8"/>
      <c r="V9" s="83">
        <f t="shared" ref="V9:V17" si="1">T9*U9</f>
        <v>0</v>
      </c>
      <c r="W9" s="5"/>
      <c r="X9" s="20" t="s">
        <v>37</v>
      </c>
      <c r="Y9" s="9">
        <f>Y5-Y8</f>
        <v>587867.39999999991</v>
      </c>
      <c r="Z9" s="5"/>
    </row>
    <row r="10" spans="1:53" x14ac:dyDescent="0.25">
      <c r="A10" s="69" t="s">
        <v>67</v>
      </c>
      <c r="B10" s="71">
        <f>5400*12</f>
        <v>64800</v>
      </c>
      <c r="C10" s="5"/>
      <c r="D10" s="5" t="s">
        <v>29</v>
      </c>
      <c r="E10" s="9">
        <v>25400</v>
      </c>
      <c r="F10" s="9">
        <v>25400</v>
      </c>
      <c r="G10">
        <v>2144</v>
      </c>
      <c r="H10" s="102" t="s">
        <v>94</v>
      </c>
      <c r="I10" s="102" t="s">
        <v>95</v>
      </c>
      <c r="J10" s="63"/>
      <c r="K10" s="63"/>
      <c r="N10" s="64"/>
      <c r="O10" s="65"/>
      <c r="P10" s="66"/>
      <c r="Q10" s="5"/>
      <c r="R10" s="81"/>
      <c r="S10" s="82"/>
      <c r="T10" s="85"/>
      <c r="U10" s="86"/>
      <c r="V10" s="83">
        <f t="shared" si="1"/>
        <v>0</v>
      </c>
      <c r="W10" s="5"/>
      <c r="X10" s="105" t="s">
        <v>281</v>
      </c>
      <c r="Y10" s="31">
        <f>B3+Y9</f>
        <v>687867.39999999991</v>
      </c>
      <c r="Z10" s="5"/>
    </row>
    <row r="11" spans="1:53" x14ac:dyDescent="0.25">
      <c r="A11" s="19" t="s">
        <v>4</v>
      </c>
      <c r="B11" s="17">
        <f>SUM(B3:B10)</f>
        <v>764800</v>
      </c>
      <c r="C11" s="5"/>
      <c r="D11" s="20" t="s">
        <v>7</v>
      </c>
      <c r="E11" s="21">
        <f>(B11-B5)*0.1</f>
        <v>62480</v>
      </c>
      <c r="F11" s="21">
        <v>0</v>
      </c>
      <c r="G11">
        <v>2151</v>
      </c>
      <c r="H11" s="102" t="s">
        <v>96</v>
      </c>
      <c r="I11" s="102" t="s">
        <v>97</v>
      </c>
      <c r="J11" s="63"/>
      <c r="K11" s="63"/>
      <c r="N11" s="64"/>
      <c r="O11" s="65"/>
      <c r="P11" s="66"/>
      <c r="Q11" s="5"/>
      <c r="R11" s="43"/>
      <c r="S11" s="43"/>
      <c r="T11" s="43"/>
      <c r="U11" s="86"/>
      <c r="V11" s="83">
        <f t="shared" si="1"/>
        <v>0</v>
      </c>
      <c r="W11" s="5"/>
      <c r="X11" s="105" t="s">
        <v>282</v>
      </c>
      <c r="Y11" s="31">
        <f>B3+Y5</f>
        <v>1065493</v>
      </c>
      <c r="Z11" s="5"/>
    </row>
    <row r="12" spans="1:53" x14ac:dyDescent="0.25">
      <c r="A12" s="19" t="s">
        <v>5</v>
      </c>
      <c r="B12" s="18">
        <f>B11/12</f>
        <v>63733.333333333336</v>
      </c>
      <c r="C12" s="9"/>
      <c r="D12" s="20" t="s">
        <v>8</v>
      </c>
      <c r="E12" s="21">
        <f>2900*12</f>
        <v>34800</v>
      </c>
      <c r="F12" s="21">
        <f>2900*12</f>
        <v>34800</v>
      </c>
      <c r="G12">
        <v>2154</v>
      </c>
      <c r="H12" s="102" t="s">
        <v>98</v>
      </c>
      <c r="I12" s="102" t="s">
        <v>83</v>
      </c>
      <c r="J12" s="63"/>
      <c r="K12" s="63"/>
      <c r="N12" s="64"/>
      <c r="O12" s="65"/>
      <c r="P12" s="66"/>
      <c r="Q12" s="5"/>
      <c r="R12" s="43"/>
      <c r="S12" s="13"/>
      <c r="T12" s="13"/>
      <c r="U12" s="86"/>
      <c r="V12" s="83">
        <f t="shared" si="1"/>
        <v>0</v>
      </c>
      <c r="W12" s="5"/>
      <c r="X12" s="5"/>
      <c r="Y12" s="9"/>
      <c r="Z12" s="5"/>
      <c r="AA12" s="5"/>
      <c r="AB12" s="5"/>
      <c r="AH12" s="9"/>
      <c r="AI12" s="9"/>
      <c r="AJ12" s="9"/>
      <c r="AK12" s="9"/>
      <c r="AL12" s="9"/>
      <c r="AM12" s="9"/>
      <c r="AN12" s="9"/>
      <c r="AO12" s="9"/>
      <c r="AP12" s="9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5"/>
      <c r="B13" s="5"/>
      <c r="C13" s="5"/>
      <c r="D13" s="20" t="s">
        <v>10</v>
      </c>
      <c r="E13" s="21">
        <v>7300</v>
      </c>
      <c r="F13" s="17">
        <v>0</v>
      </c>
      <c r="G13">
        <v>2158</v>
      </c>
      <c r="H13" s="102" t="s">
        <v>99</v>
      </c>
      <c r="I13" s="102" t="s">
        <v>100</v>
      </c>
      <c r="J13" s="63"/>
      <c r="K13" s="63"/>
      <c r="N13" s="64"/>
      <c r="O13" s="65"/>
      <c r="P13" s="66"/>
      <c r="Q13" s="5"/>
      <c r="R13" s="81">
        <v>2611</v>
      </c>
      <c r="S13" s="106" t="s">
        <v>101</v>
      </c>
      <c r="T13" s="13">
        <v>155000</v>
      </c>
      <c r="U13" s="86">
        <v>0.9</v>
      </c>
      <c r="V13" s="83">
        <f t="shared" si="1"/>
        <v>139500</v>
      </c>
      <c r="W13" s="5"/>
      <c r="X13" s="5"/>
      <c r="Y13" s="5"/>
      <c r="Z13" s="5"/>
      <c r="AA13" s="5"/>
      <c r="AB13" s="5"/>
      <c r="AE13" s="5"/>
      <c r="AF13" s="9"/>
      <c r="AG13" s="9"/>
    </row>
    <row r="14" spans="1:53" x14ac:dyDescent="0.25">
      <c r="A14" s="5" t="s">
        <v>68</v>
      </c>
      <c r="B14" s="5">
        <v>8</v>
      </c>
      <c r="C14" s="5"/>
      <c r="D14" s="20" t="s">
        <v>9</v>
      </c>
      <c r="E14" s="21">
        <f>400*12</f>
        <v>4800</v>
      </c>
      <c r="F14" s="21">
        <f>400*12</f>
        <v>4800</v>
      </c>
      <c r="G14">
        <v>2161</v>
      </c>
      <c r="H14" s="102" t="s">
        <v>102</v>
      </c>
      <c r="I14" s="102" t="s">
        <v>103</v>
      </c>
      <c r="J14" s="63"/>
      <c r="K14" s="63"/>
      <c r="N14" s="64"/>
      <c r="O14" s="65"/>
      <c r="P14" s="66"/>
      <c r="Q14" s="5"/>
      <c r="R14" s="43">
        <v>2690</v>
      </c>
      <c r="S14" s="106" t="s">
        <v>104</v>
      </c>
      <c r="T14" s="13">
        <v>128500</v>
      </c>
      <c r="U14" s="86">
        <v>0.4</v>
      </c>
      <c r="V14" s="83">
        <f t="shared" si="1"/>
        <v>51400</v>
      </c>
      <c r="W14" s="5"/>
      <c r="X14" s="5"/>
      <c r="Y14" s="10"/>
      <c r="Z14" s="5"/>
      <c r="AA14" s="5"/>
      <c r="AB14" s="5"/>
    </row>
    <row r="15" spans="1:53" x14ac:dyDescent="0.25">
      <c r="A15" s="5"/>
      <c r="B15" s="5"/>
      <c r="D15" s="5" t="s">
        <v>3</v>
      </c>
      <c r="E15" s="9">
        <v>1700</v>
      </c>
      <c r="F15" s="9">
        <v>1700</v>
      </c>
      <c r="G15">
        <v>2163</v>
      </c>
      <c r="H15" s="102" t="s">
        <v>105</v>
      </c>
      <c r="I15" s="102" t="s">
        <v>83</v>
      </c>
      <c r="J15" s="63"/>
      <c r="K15" s="63"/>
      <c r="N15" s="64"/>
      <c r="O15" s="65"/>
      <c r="P15" s="66"/>
      <c r="Q15" s="5"/>
      <c r="R15">
        <v>2692</v>
      </c>
      <c r="S15" s="107" t="s">
        <v>106</v>
      </c>
      <c r="T15">
        <v>119000</v>
      </c>
      <c r="V15" s="83">
        <f t="shared" si="1"/>
        <v>0</v>
      </c>
      <c r="W15" s="5"/>
      <c r="X15" s="5"/>
      <c r="Y15" s="5"/>
      <c r="Z15" s="5"/>
      <c r="AA15" s="5"/>
      <c r="AB15" s="5"/>
      <c r="AC15" s="5"/>
    </row>
    <row r="16" spans="1:53" x14ac:dyDescent="0.25">
      <c r="A16" s="5"/>
      <c r="B16" s="5"/>
      <c r="D16" s="5" t="s">
        <v>39</v>
      </c>
      <c r="E16" s="9">
        <f>7*500*12</f>
        <v>42000</v>
      </c>
      <c r="F16" s="2">
        <v>0</v>
      </c>
      <c r="G16">
        <v>2172</v>
      </c>
      <c r="H16" s="102" t="s">
        <v>107</v>
      </c>
      <c r="I16" s="102" t="s">
        <v>108</v>
      </c>
      <c r="J16" s="63"/>
      <c r="K16" s="63"/>
      <c r="N16" s="64"/>
      <c r="O16" s="65"/>
      <c r="P16" s="66"/>
      <c r="Q16" s="8"/>
      <c r="R16" s="43"/>
      <c r="S16" s="77"/>
      <c r="T16" s="13"/>
      <c r="U16" s="88"/>
      <c r="V16" s="83"/>
      <c r="W16" s="5"/>
      <c r="X16" s="5"/>
      <c r="Y16" s="5">
        <f>Y11/Y2</f>
        <v>0.38696301945723133</v>
      </c>
      <c r="Z16" s="5"/>
      <c r="AA16" s="5"/>
      <c r="AB16" s="5"/>
      <c r="AF16" s="26"/>
    </row>
    <row r="17" spans="1:32" x14ac:dyDescent="0.25">
      <c r="A17" s="5"/>
      <c r="B17" s="5"/>
      <c r="D17" s="5" t="s">
        <v>61</v>
      </c>
      <c r="E17" s="9">
        <f>600*12</f>
        <v>7200</v>
      </c>
      <c r="F17" s="9">
        <f>600*12</f>
        <v>7200</v>
      </c>
      <c r="G17">
        <v>2175</v>
      </c>
      <c r="H17" s="102" t="s">
        <v>109</v>
      </c>
      <c r="I17" s="102" t="s">
        <v>110</v>
      </c>
      <c r="J17" s="63"/>
      <c r="K17" s="63"/>
      <c r="N17" s="64"/>
      <c r="O17" s="65"/>
      <c r="P17" s="66"/>
      <c r="Q17" s="5"/>
      <c r="R17" s="43">
        <v>2698</v>
      </c>
      <c r="S17" s="106" t="s">
        <v>111</v>
      </c>
      <c r="T17" s="13">
        <v>78000</v>
      </c>
      <c r="U17" s="88">
        <v>1</v>
      </c>
      <c r="V17" s="83">
        <f t="shared" si="1"/>
        <v>78000</v>
      </c>
      <c r="W17" s="5"/>
      <c r="X17" s="5"/>
      <c r="Y17" s="5"/>
      <c r="Z17" s="5"/>
      <c r="AA17" s="5"/>
      <c r="AB17" s="5"/>
    </row>
    <row r="18" spans="1:32" x14ac:dyDescent="0.25">
      <c r="A18" s="5"/>
      <c r="B18" s="5"/>
      <c r="D18" s="5" t="s">
        <v>41</v>
      </c>
      <c r="E18" s="9">
        <f>B11*0.05</f>
        <v>38240</v>
      </c>
      <c r="F18" s="2">
        <v>0</v>
      </c>
      <c r="G18">
        <v>2176</v>
      </c>
      <c r="H18" s="105" t="s">
        <v>112</v>
      </c>
      <c r="I18" s="105" t="s">
        <v>113</v>
      </c>
      <c r="J18" s="54">
        <v>89000</v>
      </c>
      <c r="K18" s="54">
        <v>21500</v>
      </c>
      <c r="L18" s="53"/>
      <c r="M18" s="53"/>
      <c r="N18" s="53"/>
      <c r="O18" s="53"/>
      <c r="P18" s="54">
        <v>0</v>
      </c>
      <c r="Q18" s="5"/>
      <c r="R18" s="43"/>
      <c r="S18" s="77"/>
      <c r="T18" s="89">
        <f>SUM(T3:T17)</f>
        <v>2380500</v>
      </c>
      <c r="U18" s="13"/>
      <c r="V18" s="89">
        <f>SUM(V3:V17)</f>
        <v>1232800</v>
      </c>
      <c r="W18" s="5"/>
      <c r="X18" s="5"/>
      <c r="Y18" s="5"/>
      <c r="Z18" s="5"/>
      <c r="AA18" s="5"/>
      <c r="AB18" s="5"/>
    </row>
    <row r="19" spans="1:32" x14ac:dyDescent="0.25">
      <c r="B19" s="90"/>
      <c r="D19" s="19" t="s">
        <v>4</v>
      </c>
      <c r="E19" s="17">
        <f>SUM(E2:E18)</f>
        <v>379520</v>
      </c>
      <c r="F19" s="2">
        <f>SUM(F2:F18)</f>
        <v>196600</v>
      </c>
      <c r="G19">
        <v>2177</v>
      </c>
      <c r="H19" s="102" t="s">
        <v>114</v>
      </c>
      <c r="I19" s="102" t="s">
        <v>115</v>
      </c>
      <c r="J19" s="63"/>
      <c r="K19" s="63"/>
      <c r="N19" s="64"/>
      <c r="O19" s="65"/>
      <c r="P19" s="66"/>
      <c r="Q19" s="5"/>
      <c r="S19" s="50"/>
      <c r="T19" s="5"/>
      <c r="U19" s="5"/>
      <c r="V19" s="5"/>
      <c r="W19" s="5"/>
      <c r="X19" s="5"/>
      <c r="Y19" s="10"/>
      <c r="Z19" s="5"/>
      <c r="AA19" s="5"/>
      <c r="AB19" s="5"/>
    </row>
    <row r="20" spans="1:32" x14ac:dyDescent="0.25">
      <c r="B20" s="90"/>
      <c r="D20" s="19" t="s">
        <v>5</v>
      </c>
      <c r="E20" s="17">
        <f>E19/12</f>
        <v>31626.666666666668</v>
      </c>
      <c r="F20" s="2">
        <f>F19/12</f>
        <v>16383.333333333334</v>
      </c>
      <c r="G20">
        <v>2178</v>
      </c>
      <c r="H20" s="105" t="s">
        <v>116</v>
      </c>
      <c r="I20" s="105" t="s">
        <v>117</v>
      </c>
      <c r="J20" s="54">
        <v>203500</v>
      </c>
      <c r="K20" s="54">
        <v>377000</v>
      </c>
      <c r="L20" s="53">
        <v>22500</v>
      </c>
      <c r="M20" s="53">
        <v>22500</v>
      </c>
      <c r="N20" s="53">
        <v>22500</v>
      </c>
      <c r="O20" s="53">
        <v>22500</v>
      </c>
      <c r="P20" s="54"/>
      <c r="Q20" s="5"/>
      <c r="S20" s="50"/>
      <c r="T20" s="5"/>
      <c r="U20" s="5"/>
      <c r="V20" s="5"/>
      <c r="W20" s="5"/>
      <c r="X20" s="5"/>
      <c r="Y20" s="5"/>
      <c r="Z20" s="5"/>
      <c r="AA20" s="5"/>
      <c r="AB20" s="5"/>
      <c r="AF20" s="26"/>
    </row>
    <row r="21" spans="1:32" x14ac:dyDescent="0.25">
      <c r="B21" s="90"/>
      <c r="D21" s="1"/>
      <c r="E21" s="2"/>
      <c r="F21" s="2"/>
      <c r="G21">
        <v>2180</v>
      </c>
      <c r="H21" s="102" t="s">
        <v>118</v>
      </c>
      <c r="I21" s="102" t="s">
        <v>93</v>
      </c>
      <c r="J21" s="73"/>
      <c r="K21" s="73"/>
      <c r="L21" s="72"/>
      <c r="M21" s="72"/>
      <c r="N21" s="73"/>
      <c r="O21" s="74"/>
      <c r="P21" s="75"/>
      <c r="Q21" s="5"/>
      <c r="S21" s="50"/>
      <c r="T21" s="5"/>
      <c r="U21" s="5"/>
      <c r="V21" s="5"/>
      <c r="W21" s="5"/>
      <c r="X21" s="5"/>
      <c r="Y21" s="5"/>
      <c r="Z21" s="5"/>
      <c r="AA21" s="5"/>
      <c r="AB21" s="5"/>
    </row>
    <row r="22" spans="1:32" x14ac:dyDescent="0.25">
      <c r="B22" s="27" t="s">
        <v>19</v>
      </c>
      <c r="C22" s="32"/>
      <c r="D22" s="28"/>
      <c r="E22" s="2"/>
      <c r="F22" s="2"/>
      <c r="G22">
        <v>2187</v>
      </c>
      <c r="H22" s="102" t="s">
        <v>119</v>
      </c>
      <c r="I22" s="102" t="s">
        <v>83</v>
      </c>
      <c r="J22" s="73"/>
      <c r="K22" s="73"/>
      <c r="L22" s="72"/>
      <c r="M22" s="72"/>
      <c r="N22" s="73"/>
      <c r="O22" s="74"/>
      <c r="P22" s="75"/>
      <c r="Q22" s="5"/>
      <c r="S22" s="50"/>
      <c r="T22" s="5"/>
      <c r="U22" s="5"/>
      <c r="V22" s="5"/>
      <c r="W22" s="5"/>
      <c r="X22" s="5"/>
      <c r="Y22" s="5"/>
      <c r="Z22" s="5"/>
      <c r="AA22" s="5"/>
      <c r="AB22" s="5"/>
    </row>
    <row r="23" spans="1:32" x14ac:dyDescent="0.25">
      <c r="C23" t="s">
        <v>20</v>
      </c>
      <c r="D23" s="5" t="s">
        <v>21</v>
      </c>
      <c r="E23" s="2"/>
      <c r="F23" s="2"/>
      <c r="G23">
        <v>2190</v>
      </c>
      <c r="H23" s="105" t="s">
        <v>120</v>
      </c>
      <c r="I23" s="105" t="s">
        <v>121</v>
      </c>
      <c r="J23" s="54">
        <v>77500</v>
      </c>
      <c r="K23" s="54">
        <f>J23-64000</f>
        <v>13500</v>
      </c>
      <c r="L23" s="53"/>
      <c r="M23" s="53"/>
      <c r="N23" s="53"/>
      <c r="O23" s="53"/>
      <c r="P23" s="54">
        <f>K23</f>
        <v>13500</v>
      </c>
      <c r="Q23" s="8"/>
      <c r="S23" s="50"/>
      <c r="T23" s="5"/>
      <c r="U23" s="5"/>
      <c r="V23" s="5"/>
      <c r="W23" s="5"/>
      <c r="X23" s="5"/>
      <c r="Y23" s="5"/>
      <c r="Z23" s="5"/>
      <c r="AA23" s="5"/>
      <c r="AB23" s="5"/>
    </row>
    <row r="24" spans="1:32" x14ac:dyDescent="0.25">
      <c r="B24" s="5" t="s">
        <v>0</v>
      </c>
      <c r="C24" s="10">
        <f>B12</f>
        <v>63733.333333333336</v>
      </c>
      <c r="D24" s="17">
        <f>B11</f>
        <v>764800</v>
      </c>
      <c r="E24" s="2"/>
      <c r="F24" s="2"/>
      <c r="G24">
        <v>2194</v>
      </c>
      <c r="H24" s="102" t="s">
        <v>122</v>
      </c>
      <c r="I24" s="102" t="s">
        <v>123</v>
      </c>
      <c r="J24" s="73"/>
      <c r="K24" s="73"/>
      <c r="L24" s="72"/>
      <c r="M24" s="72"/>
      <c r="N24" s="73"/>
      <c r="O24" s="74"/>
      <c r="P24" s="75"/>
      <c r="Q24" s="5"/>
      <c r="S24" s="50"/>
      <c r="T24" s="5"/>
      <c r="U24" s="5"/>
      <c r="V24" s="5"/>
      <c r="W24" s="5"/>
      <c r="X24" s="5"/>
      <c r="Z24" s="5"/>
      <c r="AA24" s="5"/>
      <c r="AB24" s="5"/>
    </row>
    <row r="25" spans="1:32" x14ac:dyDescent="0.25">
      <c r="B25" s="5" t="s">
        <v>49</v>
      </c>
      <c r="C25" s="9">
        <f>E20</f>
        <v>31626.666666666668</v>
      </c>
      <c r="D25" s="17">
        <f>E19</f>
        <v>379520</v>
      </c>
      <c r="E25" s="2"/>
      <c r="F25" s="2"/>
      <c r="G25">
        <v>2199</v>
      </c>
      <c r="H25" s="102" t="s">
        <v>124</v>
      </c>
      <c r="I25" s="102" t="s">
        <v>125</v>
      </c>
      <c r="J25" s="73"/>
      <c r="K25" s="73"/>
      <c r="L25" s="72"/>
      <c r="M25" s="72"/>
      <c r="N25" s="73"/>
      <c r="O25" s="74"/>
      <c r="P25" s="75"/>
      <c r="Q25" s="5"/>
      <c r="S25" s="62"/>
      <c r="T25" s="5"/>
      <c r="U25" s="5"/>
      <c r="V25" s="5"/>
      <c r="W25" s="5"/>
      <c r="X25" s="5"/>
      <c r="Y25" s="5"/>
      <c r="Z25" s="5"/>
      <c r="AA25" s="5"/>
      <c r="AB25" s="5"/>
    </row>
    <row r="26" spans="1:32" x14ac:dyDescent="0.25">
      <c r="B26" s="5" t="s">
        <v>42</v>
      </c>
      <c r="C26" s="10">
        <f>SUM(C24:C25)</f>
        <v>95360</v>
      </c>
      <c r="D26" s="17">
        <f>SUM(D24:D25)</f>
        <v>1144320</v>
      </c>
      <c r="E26" s="26"/>
      <c r="F26" s="2"/>
      <c r="G26">
        <v>2202</v>
      </c>
      <c r="H26" s="102" t="s">
        <v>126</v>
      </c>
      <c r="I26" s="102" t="s">
        <v>93</v>
      </c>
      <c r="J26" s="73"/>
      <c r="K26" s="73"/>
      <c r="L26" s="72"/>
      <c r="M26" s="72"/>
      <c r="N26" s="73"/>
      <c r="O26" s="74"/>
      <c r="P26" s="75"/>
      <c r="Q26" s="5"/>
      <c r="T26" s="5"/>
      <c r="U26" s="5"/>
      <c r="V26" s="5"/>
      <c r="W26" s="5"/>
      <c r="X26" s="5"/>
      <c r="Y26" s="5"/>
      <c r="Z26" s="5"/>
    </row>
    <row r="27" spans="1:32" x14ac:dyDescent="0.25">
      <c r="B27" t="s">
        <v>23</v>
      </c>
      <c r="C27" s="26"/>
      <c r="D27" s="2">
        <f>D26/6</f>
        <v>190720</v>
      </c>
      <c r="E27" s="2"/>
      <c r="F27" s="2"/>
      <c r="G27">
        <v>2206</v>
      </c>
      <c r="H27" s="102" t="s">
        <v>127</v>
      </c>
      <c r="I27" s="102" t="s">
        <v>128</v>
      </c>
      <c r="J27" s="73"/>
      <c r="K27" s="73"/>
      <c r="L27" s="72"/>
      <c r="M27" s="72"/>
      <c r="N27" s="73"/>
      <c r="O27" s="74"/>
      <c r="P27" s="75"/>
      <c r="Q27" s="5"/>
      <c r="U27" s="5"/>
      <c r="V27" s="5"/>
      <c r="W27" s="5"/>
      <c r="X27" s="5"/>
      <c r="Y27" s="5"/>
      <c r="Z27" s="5"/>
    </row>
    <row r="28" spans="1:32" x14ac:dyDescent="0.25">
      <c r="B28" t="s">
        <v>35</v>
      </c>
      <c r="C28" s="26"/>
      <c r="D28" s="2">
        <f>D27/2080</f>
        <v>91.692307692307693</v>
      </c>
      <c r="E28" s="2"/>
      <c r="F28" s="2"/>
      <c r="G28">
        <v>2214</v>
      </c>
      <c r="H28" s="102" t="s">
        <v>129</v>
      </c>
      <c r="I28" s="102" t="s">
        <v>128</v>
      </c>
      <c r="J28" s="73"/>
      <c r="K28" s="73"/>
      <c r="L28" s="72"/>
      <c r="M28" s="72"/>
      <c r="N28" s="73"/>
      <c r="O28" s="74"/>
      <c r="P28" s="75"/>
      <c r="Q28" s="5"/>
      <c r="U28" s="5"/>
      <c r="V28" s="5"/>
      <c r="W28" s="5"/>
      <c r="X28" s="5"/>
      <c r="Y28" s="5"/>
      <c r="Z28" s="5"/>
    </row>
    <row r="29" spans="1:32" x14ac:dyDescent="0.25">
      <c r="B29" t="s">
        <v>38</v>
      </c>
      <c r="C29" s="26"/>
      <c r="D29" s="2">
        <f>D28*3.75</f>
        <v>343.84615384615387</v>
      </c>
      <c r="E29" s="2"/>
      <c r="F29" s="2"/>
      <c r="G29">
        <v>2219</v>
      </c>
      <c r="H29" s="102" t="s">
        <v>130</v>
      </c>
      <c r="I29" s="102" t="s">
        <v>131</v>
      </c>
      <c r="J29" s="73"/>
      <c r="K29" s="73"/>
      <c r="L29" s="72"/>
      <c r="M29" s="72"/>
      <c r="N29" s="73"/>
      <c r="O29" s="74"/>
      <c r="P29" s="75"/>
      <c r="Q29" s="5"/>
      <c r="U29" s="5"/>
      <c r="V29" s="5"/>
      <c r="W29" s="5"/>
      <c r="X29" s="5"/>
      <c r="Y29" s="5"/>
      <c r="Z29" s="5"/>
    </row>
    <row r="30" spans="1:32" x14ac:dyDescent="0.25">
      <c r="B30" s="29" t="s">
        <v>50</v>
      </c>
      <c r="C30" s="29"/>
      <c r="D30" s="70">
        <f>D26/277</f>
        <v>4131.1191335740068</v>
      </c>
      <c r="E30" s="2"/>
      <c r="F30" s="2"/>
      <c r="G30">
        <v>2231</v>
      </c>
      <c r="H30" s="102" t="s">
        <v>132</v>
      </c>
      <c r="I30" s="102" t="s">
        <v>133</v>
      </c>
      <c r="J30" s="73"/>
      <c r="K30" s="73"/>
      <c r="L30" s="72"/>
      <c r="M30" s="72"/>
      <c r="N30" s="73"/>
      <c r="O30" s="74"/>
      <c r="P30" s="75"/>
      <c r="Q30" s="5"/>
      <c r="U30" s="5"/>
      <c r="V30" s="5"/>
      <c r="W30" s="5"/>
      <c r="X30" s="5"/>
      <c r="Y30" s="5"/>
      <c r="Z30" s="5"/>
    </row>
    <row r="31" spans="1:32" x14ac:dyDescent="0.25">
      <c r="B31" s="29"/>
      <c r="C31" s="29"/>
      <c r="D31" s="29"/>
      <c r="E31" s="2"/>
      <c r="F31" s="2"/>
      <c r="G31">
        <v>2232</v>
      </c>
      <c r="H31" s="108" t="s">
        <v>134</v>
      </c>
      <c r="I31" s="108" t="s">
        <v>135</v>
      </c>
      <c r="J31" s="73"/>
      <c r="K31" s="73"/>
      <c r="L31" s="72"/>
      <c r="M31" s="72"/>
      <c r="N31" s="73"/>
      <c r="O31" s="74"/>
      <c r="P31" s="75"/>
      <c r="Q31" s="8"/>
      <c r="W31" s="5"/>
      <c r="X31" s="5"/>
      <c r="Y31" s="5"/>
      <c r="Z31" s="5"/>
    </row>
    <row r="32" spans="1:32" x14ac:dyDescent="0.25">
      <c r="B32" s="29"/>
      <c r="C32" s="29"/>
      <c r="D32" s="29"/>
      <c r="E32" s="2"/>
      <c r="F32" s="2"/>
      <c r="G32">
        <v>2240</v>
      </c>
      <c r="H32" s="102" t="s">
        <v>136</v>
      </c>
      <c r="I32" s="102" t="s">
        <v>137</v>
      </c>
      <c r="J32" s="73"/>
      <c r="K32" s="73"/>
      <c r="L32" s="72"/>
      <c r="M32" s="72"/>
      <c r="N32" s="73"/>
      <c r="O32" s="74"/>
      <c r="P32" s="75"/>
      <c r="Q32" s="8"/>
      <c r="W32" s="5"/>
      <c r="X32" s="5"/>
      <c r="Y32" s="5"/>
      <c r="Z32" s="5"/>
    </row>
    <row r="33" spans="2:34" x14ac:dyDescent="0.25">
      <c r="B33" s="29"/>
      <c r="C33" s="29"/>
      <c r="D33" s="29"/>
      <c r="E33" s="2"/>
      <c r="F33" s="2"/>
      <c r="G33">
        <v>2251</v>
      </c>
      <c r="H33" s="102" t="s">
        <v>138</v>
      </c>
      <c r="I33" s="102" t="s">
        <v>139</v>
      </c>
      <c r="J33" s="73"/>
      <c r="K33" s="73"/>
      <c r="L33" s="72"/>
      <c r="M33" s="72"/>
      <c r="N33" s="73"/>
      <c r="O33" s="74"/>
      <c r="P33" s="75"/>
      <c r="Q33" s="8"/>
      <c r="W33" s="5"/>
      <c r="X33" s="5"/>
      <c r="Y33" s="5"/>
      <c r="Z33" s="5"/>
    </row>
    <row r="34" spans="2:34" x14ac:dyDescent="0.25">
      <c r="B34" s="29"/>
      <c r="C34" s="29"/>
      <c r="D34" s="29"/>
      <c r="E34" s="2"/>
      <c r="F34" s="2"/>
      <c r="G34">
        <v>2254</v>
      </c>
      <c r="H34" s="102" t="s">
        <v>140</v>
      </c>
      <c r="I34" s="102" t="s">
        <v>141</v>
      </c>
      <c r="J34" s="73"/>
      <c r="K34" s="73"/>
      <c r="L34" s="72"/>
      <c r="M34" s="72"/>
      <c r="N34" s="73"/>
      <c r="O34" s="74"/>
      <c r="P34" s="75"/>
      <c r="Q34" s="8"/>
      <c r="W34" s="5"/>
      <c r="X34" s="5"/>
      <c r="Y34" s="5"/>
      <c r="Z34" s="5"/>
    </row>
    <row r="35" spans="2:34" x14ac:dyDescent="0.25">
      <c r="B35" s="29"/>
      <c r="C35" s="29"/>
      <c r="D35" s="29"/>
      <c r="E35" s="2"/>
      <c r="F35" s="2"/>
      <c r="G35">
        <v>2256</v>
      </c>
      <c r="H35" s="105" t="s">
        <v>142</v>
      </c>
      <c r="I35" s="105" t="s">
        <v>143</v>
      </c>
      <c r="J35" s="54">
        <v>401500</v>
      </c>
      <c r="K35" s="54">
        <v>401500</v>
      </c>
      <c r="L35" s="53">
        <v>21500</v>
      </c>
      <c r="M35" s="53"/>
      <c r="N35" s="53"/>
      <c r="O35" s="53"/>
      <c r="P35" s="53">
        <v>50000</v>
      </c>
      <c r="Q35" s="8"/>
      <c r="W35" s="5"/>
      <c r="X35" s="5"/>
      <c r="Y35" s="5"/>
      <c r="Z35" s="5"/>
    </row>
    <row r="36" spans="2:34" x14ac:dyDescent="0.25">
      <c r="C36" s="26"/>
      <c r="D36" s="2"/>
      <c r="E36" s="2"/>
      <c r="F36" s="2"/>
      <c r="G36">
        <v>2258</v>
      </c>
      <c r="H36" s="102" t="s">
        <v>144</v>
      </c>
      <c r="I36" s="102" t="s">
        <v>133</v>
      </c>
      <c r="J36" s="73"/>
      <c r="K36" s="73"/>
      <c r="L36" s="72"/>
      <c r="M36" s="72"/>
      <c r="N36" s="73"/>
      <c r="O36" s="74"/>
      <c r="P36" s="75"/>
      <c r="Q36" s="8"/>
      <c r="W36" s="5"/>
      <c r="X36" s="5"/>
      <c r="Y36" s="5"/>
      <c r="Z36" s="5"/>
    </row>
    <row r="37" spans="2:34" x14ac:dyDescent="0.25">
      <c r="C37" s="26"/>
      <c r="D37" s="2"/>
      <c r="E37" s="2"/>
      <c r="F37" s="2"/>
      <c r="G37">
        <v>2259</v>
      </c>
      <c r="H37" s="108" t="s">
        <v>145</v>
      </c>
      <c r="I37" s="108" t="s">
        <v>146</v>
      </c>
      <c r="J37" s="73"/>
      <c r="K37" s="73"/>
      <c r="L37" s="72"/>
      <c r="M37" s="72"/>
      <c r="N37" s="73"/>
      <c r="O37" s="74"/>
      <c r="P37" s="75"/>
      <c r="Q37" s="8"/>
      <c r="W37" s="5"/>
      <c r="X37" s="5"/>
      <c r="Y37" s="5"/>
      <c r="Z37" s="5"/>
    </row>
    <row r="38" spans="2:34" x14ac:dyDescent="0.25">
      <c r="C38" s="26"/>
      <c r="D38" s="2"/>
      <c r="E38" s="2"/>
      <c r="F38" s="2"/>
      <c r="G38" s="78">
        <v>2278</v>
      </c>
      <c r="H38" s="109" t="s">
        <v>147</v>
      </c>
      <c r="I38" s="109" t="s">
        <v>148</v>
      </c>
      <c r="J38" s="80">
        <v>158500</v>
      </c>
      <c r="K38" s="80">
        <v>123500</v>
      </c>
      <c r="L38" s="80" t="s">
        <v>48</v>
      </c>
      <c r="M38" s="80"/>
      <c r="N38" s="80"/>
      <c r="O38" s="80"/>
      <c r="P38" s="80">
        <v>123500</v>
      </c>
      <c r="Q38" s="8"/>
      <c r="W38" s="5"/>
      <c r="X38" s="5"/>
      <c r="Y38" s="5"/>
      <c r="Z38" s="5"/>
    </row>
    <row r="39" spans="2:34" x14ac:dyDescent="0.25">
      <c r="C39" s="26"/>
      <c r="D39" s="2"/>
      <c r="E39" s="2"/>
      <c r="F39" s="2"/>
      <c r="G39" s="78">
        <v>2283</v>
      </c>
      <c r="H39" s="102" t="s">
        <v>149</v>
      </c>
      <c r="I39" s="102" t="s">
        <v>133</v>
      </c>
      <c r="J39" s="73"/>
      <c r="K39" s="73"/>
      <c r="L39" s="72"/>
      <c r="M39" s="72"/>
      <c r="N39" s="73"/>
      <c r="O39" s="74"/>
      <c r="P39" s="75"/>
      <c r="Q39" s="8"/>
      <c r="W39" s="5"/>
      <c r="X39" s="5"/>
      <c r="Y39" s="5"/>
      <c r="Z39" s="5"/>
    </row>
    <row r="40" spans="2:34" x14ac:dyDescent="0.25">
      <c r="C40" s="26"/>
      <c r="D40" s="2"/>
      <c r="E40" s="2"/>
      <c r="F40" s="2"/>
      <c r="G40" s="78">
        <v>2286</v>
      </c>
      <c r="H40" s="102" t="s">
        <v>150</v>
      </c>
      <c r="I40" s="79"/>
      <c r="J40" s="73"/>
      <c r="K40" s="73"/>
      <c r="L40" s="72"/>
      <c r="M40" s="72"/>
      <c r="N40" s="73"/>
      <c r="O40" s="74"/>
      <c r="P40" s="75"/>
      <c r="Q40" s="8"/>
      <c r="W40" s="5"/>
      <c r="X40" s="5"/>
      <c r="Y40" s="5"/>
      <c r="Z40" s="5"/>
    </row>
    <row r="41" spans="2:34" x14ac:dyDescent="0.25">
      <c r="C41" s="26"/>
      <c r="D41" s="2"/>
      <c r="E41" s="2"/>
      <c r="F41" s="2"/>
      <c r="G41" s="78">
        <v>2289</v>
      </c>
      <c r="H41" s="102" t="s">
        <v>151</v>
      </c>
      <c r="I41" s="102" t="s">
        <v>152</v>
      </c>
      <c r="J41" s="73"/>
      <c r="K41" s="73"/>
      <c r="L41" s="72"/>
      <c r="M41" s="72"/>
      <c r="N41" s="73"/>
      <c r="O41" s="74"/>
      <c r="P41" s="75"/>
      <c r="Q41" s="8"/>
      <c r="W41" s="5"/>
      <c r="X41" s="5"/>
      <c r="Y41" s="5"/>
      <c r="Z41" s="5"/>
    </row>
    <row r="42" spans="2:34" x14ac:dyDescent="0.25">
      <c r="C42" s="26"/>
      <c r="D42" s="2"/>
      <c r="E42" s="2"/>
      <c r="F42" s="2"/>
      <c r="G42" s="78">
        <v>2294</v>
      </c>
      <c r="H42" s="102" t="s">
        <v>153</v>
      </c>
      <c r="I42" s="102" t="s">
        <v>143</v>
      </c>
      <c r="J42" s="73"/>
      <c r="K42" s="73"/>
      <c r="L42" s="72"/>
      <c r="M42" s="72"/>
      <c r="N42" s="73"/>
      <c r="O42" s="74"/>
      <c r="P42" s="75"/>
      <c r="Q42" s="8"/>
      <c r="W42" s="5"/>
      <c r="X42" s="5"/>
      <c r="Y42" s="5"/>
      <c r="Z42" s="5"/>
    </row>
    <row r="43" spans="2:34" x14ac:dyDescent="0.25">
      <c r="C43" s="26"/>
      <c r="D43" s="2"/>
      <c r="E43" s="2"/>
      <c r="F43" s="2"/>
      <c r="G43" s="78">
        <v>2297</v>
      </c>
      <c r="H43" s="102" t="s">
        <v>154</v>
      </c>
      <c r="I43" s="102" t="s">
        <v>155</v>
      </c>
      <c r="J43" s="73"/>
      <c r="K43" s="73"/>
      <c r="L43" s="72"/>
      <c r="M43" s="72"/>
      <c r="N43" s="73"/>
      <c r="O43" s="74"/>
      <c r="P43" s="75"/>
      <c r="Q43" s="8"/>
      <c r="W43" s="5"/>
      <c r="X43" s="5"/>
      <c r="Y43" s="5"/>
      <c r="Z43" s="5"/>
    </row>
    <row r="44" spans="2:34" x14ac:dyDescent="0.25">
      <c r="C44" s="26"/>
      <c r="D44" s="2"/>
      <c r="E44" s="2"/>
      <c r="F44" s="2"/>
      <c r="G44" s="78">
        <v>2304</v>
      </c>
      <c r="H44" s="102" t="s">
        <v>156</v>
      </c>
      <c r="I44" s="102" t="s">
        <v>117</v>
      </c>
      <c r="J44" s="73"/>
      <c r="K44" s="73"/>
      <c r="L44" s="72"/>
      <c r="M44" s="72"/>
      <c r="N44" s="73"/>
      <c r="O44" s="74"/>
      <c r="P44" s="75"/>
      <c r="Q44" s="8"/>
      <c r="W44" s="5"/>
      <c r="X44" s="5"/>
      <c r="Y44" s="5"/>
      <c r="Z44" s="5"/>
    </row>
    <row r="45" spans="2:34" x14ac:dyDescent="0.25">
      <c r="C45" s="26"/>
      <c r="D45" s="2"/>
      <c r="E45" s="2"/>
      <c r="F45" s="2"/>
      <c r="G45" s="78">
        <v>2305</v>
      </c>
      <c r="H45" s="102" t="s">
        <v>89</v>
      </c>
      <c r="I45" s="102" t="s">
        <v>157</v>
      </c>
      <c r="J45" s="73"/>
      <c r="K45" s="73"/>
      <c r="L45" s="72"/>
      <c r="M45" s="72"/>
      <c r="N45" s="73"/>
      <c r="O45" s="74"/>
      <c r="P45" s="75"/>
      <c r="Q45" s="8"/>
      <c r="W45" s="5"/>
      <c r="X45" s="5"/>
      <c r="Y45" s="5"/>
      <c r="Z45" s="5"/>
    </row>
    <row r="46" spans="2:34" x14ac:dyDescent="0.25">
      <c r="C46" s="26"/>
      <c r="D46" s="2"/>
      <c r="E46" s="2"/>
      <c r="F46" s="2"/>
      <c r="G46" s="78">
        <v>2306</v>
      </c>
      <c r="H46" s="102" t="s">
        <v>158</v>
      </c>
      <c r="I46" s="102" t="s">
        <v>117</v>
      </c>
      <c r="J46" s="73"/>
      <c r="K46" s="73"/>
      <c r="L46" s="72"/>
      <c r="M46" s="72"/>
      <c r="N46" s="73"/>
      <c r="O46" s="74"/>
      <c r="P46" s="75"/>
      <c r="Q46" s="8"/>
      <c r="W46" s="17"/>
      <c r="X46" s="17"/>
      <c r="Y46" s="17"/>
      <c r="Z46" s="17"/>
      <c r="AA46" s="17"/>
      <c r="AB46" s="18"/>
      <c r="AC46" s="5"/>
      <c r="AD46" s="5"/>
      <c r="AE46" s="5"/>
      <c r="AF46" s="5"/>
      <c r="AG46" s="5"/>
      <c r="AH46" s="5"/>
    </row>
    <row r="47" spans="2:34" x14ac:dyDescent="0.25">
      <c r="C47" s="26"/>
      <c r="D47" s="2"/>
      <c r="E47" s="2"/>
      <c r="F47" s="2"/>
      <c r="G47" s="78">
        <v>2309</v>
      </c>
      <c r="H47" s="102" t="s">
        <v>159</v>
      </c>
      <c r="I47" s="102" t="s">
        <v>117</v>
      </c>
      <c r="J47" s="63"/>
      <c r="K47" s="63"/>
      <c r="N47" s="64"/>
      <c r="O47" s="65"/>
      <c r="P47" s="66"/>
      <c r="Q47" s="68"/>
      <c r="R47" s="28"/>
      <c r="X47" s="5"/>
      <c r="Y47" s="5"/>
    </row>
    <row r="48" spans="2:34" x14ac:dyDescent="0.25">
      <c r="C48" s="26"/>
      <c r="D48" s="2"/>
      <c r="E48" s="2"/>
      <c r="F48" s="2"/>
      <c r="G48" s="78">
        <v>2310</v>
      </c>
      <c r="H48" s="102" t="s">
        <v>160</v>
      </c>
      <c r="I48" s="102" t="s">
        <v>152</v>
      </c>
      <c r="J48" s="63"/>
      <c r="K48" s="63"/>
      <c r="N48" s="64"/>
      <c r="O48" s="65"/>
      <c r="P48" s="66"/>
      <c r="Q48" s="76"/>
      <c r="R48" s="26"/>
    </row>
    <row r="49" spans="3:22" x14ac:dyDescent="0.25">
      <c r="C49" s="26"/>
      <c r="D49" s="2"/>
      <c r="E49" s="2"/>
      <c r="F49" s="2"/>
      <c r="G49" s="78">
        <v>2319</v>
      </c>
      <c r="H49" s="102" t="s">
        <v>161</v>
      </c>
      <c r="I49" s="102" t="s">
        <v>117</v>
      </c>
      <c r="J49" s="63"/>
      <c r="K49" s="63"/>
      <c r="N49" s="64"/>
      <c r="O49" s="65"/>
      <c r="P49" s="66"/>
      <c r="Q49" s="76"/>
    </row>
    <row r="50" spans="3:22" x14ac:dyDescent="0.25">
      <c r="C50" s="26"/>
      <c r="D50" s="2"/>
      <c r="E50" s="2"/>
      <c r="F50" s="2"/>
      <c r="G50" s="78">
        <v>2320</v>
      </c>
      <c r="H50" s="102" t="s">
        <v>162</v>
      </c>
      <c r="I50" s="102" t="s">
        <v>163</v>
      </c>
      <c r="J50" s="63"/>
      <c r="K50" s="63"/>
      <c r="N50" s="64"/>
      <c r="O50" s="65"/>
      <c r="P50" s="66"/>
      <c r="Q50" s="76"/>
      <c r="R50" s="26"/>
    </row>
    <row r="51" spans="3:22" x14ac:dyDescent="0.25">
      <c r="C51" s="26"/>
      <c r="D51" s="2"/>
      <c r="E51" s="2"/>
      <c r="F51" s="2"/>
      <c r="G51" s="78">
        <v>2326</v>
      </c>
      <c r="H51" s="102" t="s">
        <v>164</v>
      </c>
      <c r="I51" s="102" t="s">
        <v>165</v>
      </c>
      <c r="J51" s="63"/>
      <c r="K51" s="63"/>
      <c r="N51" s="64"/>
      <c r="O51" s="65"/>
      <c r="P51" s="66"/>
      <c r="Q51" s="76"/>
      <c r="R51" s="26"/>
    </row>
    <row r="52" spans="3:22" x14ac:dyDescent="0.25">
      <c r="C52" s="26"/>
      <c r="D52" s="2"/>
      <c r="E52" s="2"/>
      <c r="F52" s="2"/>
      <c r="G52" s="78">
        <v>2327</v>
      </c>
      <c r="H52" s="102" t="s">
        <v>166</v>
      </c>
      <c r="I52" s="102" t="s">
        <v>167</v>
      </c>
      <c r="J52" s="63"/>
      <c r="K52" s="63"/>
      <c r="N52" s="64"/>
      <c r="O52" s="65"/>
      <c r="P52" s="66"/>
      <c r="Q52" s="76"/>
      <c r="R52" s="26"/>
    </row>
    <row r="53" spans="3:22" x14ac:dyDescent="0.25">
      <c r="C53" s="26"/>
      <c r="D53" s="2"/>
      <c r="E53" s="2"/>
      <c r="F53" s="2"/>
      <c r="G53" s="78">
        <v>2328</v>
      </c>
      <c r="H53" s="102" t="s">
        <v>168</v>
      </c>
      <c r="I53" s="102" t="s">
        <v>169</v>
      </c>
      <c r="J53" s="63"/>
      <c r="K53" s="63"/>
      <c r="N53" s="64"/>
      <c r="O53" s="65"/>
      <c r="P53" s="66"/>
      <c r="Q53" s="76"/>
    </row>
    <row r="54" spans="3:22" x14ac:dyDescent="0.25">
      <c r="C54" s="26"/>
      <c r="D54" s="2"/>
      <c r="E54" s="2"/>
      <c r="F54" s="2"/>
      <c r="G54" s="78">
        <v>2330</v>
      </c>
      <c r="H54" s="102" t="s">
        <v>170</v>
      </c>
      <c r="I54" s="102" t="s">
        <v>169</v>
      </c>
      <c r="J54" s="63"/>
      <c r="K54" s="63"/>
      <c r="N54" s="64"/>
      <c r="O54" s="65"/>
      <c r="P54" s="66"/>
      <c r="Q54" s="76"/>
    </row>
    <row r="55" spans="3:22" x14ac:dyDescent="0.25">
      <c r="C55" s="26"/>
      <c r="D55" s="2"/>
      <c r="E55" s="2"/>
      <c r="F55" s="2"/>
      <c r="G55" s="78">
        <v>2338</v>
      </c>
      <c r="H55" s="102" t="s">
        <v>171</v>
      </c>
      <c r="I55" s="102" t="s">
        <v>172</v>
      </c>
      <c r="J55" s="63"/>
      <c r="K55" s="63"/>
      <c r="N55" s="64"/>
      <c r="O55" s="65"/>
      <c r="P55" s="66"/>
      <c r="Q55" s="76"/>
      <c r="S55" s="36"/>
      <c r="T55" s="36"/>
    </row>
    <row r="56" spans="3:22" x14ac:dyDescent="0.25">
      <c r="C56" s="26"/>
      <c r="D56" s="2"/>
      <c r="E56" s="2"/>
      <c r="F56" s="2"/>
      <c r="G56" s="78">
        <v>2348</v>
      </c>
      <c r="H56" s="105" t="s">
        <v>173</v>
      </c>
      <c r="I56" s="105" t="s">
        <v>174</v>
      </c>
      <c r="J56" s="54">
        <v>60500</v>
      </c>
      <c r="K56" s="54">
        <v>9500</v>
      </c>
      <c r="L56" s="53"/>
      <c r="M56" s="53"/>
      <c r="N56" s="54"/>
      <c r="O56" s="54"/>
      <c r="P56" s="54">
        <v>9500</v>
      </c>
      <c r="Q56" s="76"/>
      <c r="S56" s="37"/>
    </row>
    <row r="57" spans="3:22" x14ac:dyDescent="0.25">
      <c r="C57" s="26"/>
      <c r="D57" s="2"/>
      <c r="E57" s="2"/>
      <c r="F57" s="2"/>
      <c r="G57" s="78">
        <v>2354</v>
      </c>
      <c r="H57" s="102" t="s">
        <v>175</v>
      </c>
      <c r="I57" s="79"/>
      <c r="J57" s="63"/>
      <c r="K57" s="63"/>
      <c r="N57" s="64"/>
      <c r="O57" s="65"/>
      <c r="P57" s="66"/>
      <c r="Q57" s="76"/>
      <c r="R57" s="36"/>
    </row>
    <row r="58" spans="3:22" x14ac:dyDescent="0.25">
      <c r="C58" s="26"/>
      <c r="D58" s="2"/>
      <c r="E58" s="2"/>
      <c r="F58" s="2"/>
      <c r="G58" s="78">
        <v>2355</v>
      </c>
      <c r="H58" s="102" t="s">
        <v>176</v>
      </c>
      <c r="I58" s="102" t="s">
        <v>177</v>
      </c>
      <c r="J58" s="63"/>
      <c r="K58" s="63"/>
      <c r="N58" s="64"/>
      <c r="O58" s="65"/>
      <c r="P58" s="66"/>
      <c r="Q58" s="76"/>
      <c r="R58" s="37"/>
      <c r="S58" s="24"/>
    </row>
    <row r="59" spans="3:22" x14ac:dyDescent="0.25">
      <c r="C59" s="26"/>
      <c r="D59" s="2"/>
      <c r="E59" s="2"/>
      <c r="F59" s="2"/>
      <c r="G59" s="78">
        <v>2358</v>
      </c>
      <c r="H59" s="102" t="s">
        <v>178</v>
      </c>
      <c r="I59" s="79"/>
      <c r="J59" s="63"/>
      <c r="K59" s="63"/>
      <c r="N59" s="64"/>
      <c r="O59" s="65"/>
      <c r="P59" s="66"/>
      <c r="Q59" s="76"/>
      <c r="S59" s="24"/>
    </row>
    <row r="60" spans="3:22" x14ac:dyDescent="0.25">
      <c r="C60" s="26"/>
      <c r="D60" s="2"/>
      <c r="E60" s="2"/>
      <c r="F60" s="2"/>
      <c r="G60" s="78">
        <v>2361</v>
      </c>
      <c r="H60" s="102" t="s">
        <v>179</v>
      </c>
      <c r="I60" s="102" t="s">
        <v>180</v>
      </c>
      <c r="J60" s="63"/>
      <c r="K60" s="63"/>
      <c r="N60" s="64"/>
      <c r="O60" s="65"/>
      <c r="P60" s="66"/>
      <c r="Q60" s="76"/>
      <c r="R60" s="45"/>
      <c r="S60" s="24"/>
      <c r="U60" s="36"/>
      <c r="V60" s="36"/>
    </row>
    <row r="61" spans="3:22" x14ac:dyDescent="0.25">
      <c r="C61" s="26"/>
      <c r="D61" s="2"/>
      <c r="E61" s="2"/>
      <c r="F61" s="2"/>
      <c r="G61" s="78">
        <v>2362</v>
      </c>
      <c r="H61" s="102" t="s">
        <v>181</v>
      </c>
      <c r="I61" s="102" t="s">
        <v>182</v>
      </c>
      <c r="J61" s="63"/>
      <c r="K61" s="63"/>
      <c r="N61" s="64"/>
      <c r="O61" s="65"/>
      <c r="P61" s="66"/>
      <c r="Q61" s="76"/>
      <c r="R61" s="45"/>
      <c r="S61" s="2"/>
    </row>
    <row r="62" spans="3:22" x14ac:dyDescent="0.25">
      <c r="C62" s="26"/>
      <c r="D62" s="2"/>
      <c r="E62" s="2"/>
      <c r="F62" s="2"/>
      <c r="G62" s="78">
        <v>2365</v>
      </c>
      <c r="H62" s="102" t="s">
        <v>183</v>
      </c>
      <c r="I62" s="102" t="s">
        <v>86</v>
      </c>
      <c r="J62" s="54">
        <v>68000</v>
      </c>
      <c r="K62" s="63"/>
      <c r="N62" s="64"/>
      <c r="O62" s="65"/>
      <c r="P62" s="66"/>
      <c r="Q62" s="76"/>
      <c r="R62" s="45"/>
      <c r="S62" s="2"/>
    </row>
    <row r="63" spans="3:22" x14ac:dyDescent="0.25">
      <c r="C63" s="26"/>
      <c r="D63" s="2"/>
      <c r="E63" s="2"/>
      <c r="F63" s="2"/>
      <c r="G63" s="78">
        <v>2368</v>
      </c>
      <c r="H63" s="102" t="s">
        <v>184</v>
      </c>
      <c r="I63" s="102" t="s">
        <v>77</v>
      </c>
      <c r="J63" s="63"/>
      <c r="K63" s="63"/>
      <c r="N63" s="64"/>
      <c r="O63" s="65"/>
      <c r="P63" s="66"/>
      <c r="Q63" s="76"/>
      <c r="R63" s="40"/>
    </row>
    <row r="64" spans="3:22" x14ac:dyDescent="0.25">
      <c r="C64" s="26"/>
      <c r="D64" s="2"/>
      <c r="E64" s="2"/>
      <c r="F64" s="2"/>
      <c r="G64" s="78">
        <v>2370</v>
      </c>
      <c r="H64" s="105" t="s">
        <v>185</v>
      </c>
      <c r="I64" s="105" t="s">
        <v>186</v>
      </c>
      <c r="J64" s="54">
        <v>54000</v>
      </c>
      <c r="K64" s="54"/>
      <c r="N64" s="55"/>
      <c r="O64" s="53"/>
      <c r="P64" s="53">
        <f>K64/3</f>
        <v>0</v>
      </c>
      <c r="Q64" s="76"/>
      <c r="R64" s="40"/>
      <c r="S64" s="1"/>
    </row>
    <row r="65" spans="1:20" x14ac:dyDescent="0.25">
      <c r="C65" s="26"/>
      <c r="D65" s="2"/>
      <c r="E65" s="2"/>
      <c r="F65" s="2"/>
      <c r="G65" s="78">
        <v>2382</v>
      </c>
      <c r="H65" s="102" t="s">
        <v>187</v>
      </c>
      <c r="I65" s="102" t="s">
        <v>188</v>
      </c>
      <c r="J65" s="63"/>
      <c r="K65" s="63"/>
      <c r="N65" s="64"/>
      <c r="O65" s="65"/>
      <c r="P65" s="66"/>
      <c r="Q65" s="12"/>
      <c r="S65" s="1"/>
    </row>
    <row r="66" spans="1:20" x14ac:dyDescent="0.25">
      <c r="C66" s="26"/>
      <c r="D66" s="2"/>
      <c r="E66" s="2"/>
      <c r="F66" s="2"/>
      <c r="G66" s="78">
        <v>2393</v>
      </c>
      <c r="H66" s="102" t="s">
        <v>189</v>
      </c>
      <c r="I66" s="102" t="s">
        <v>190</v>
      </c>
      <c r="J66" s="63"/>
      <c r="K66" s="63"/>
      <c r="N66" s="64"/>
      <c r="O66" s="65"/>
      <c r="P66" s="66"/>
      <c r="Q66" s="60"/>
      <c r="R66" s="1"/>
    </row>
    <row r="67" spans="1:20" x14ac:dyDescent="0.25">
      <c r="C67" s="26"/>
      <c r="D67" s="2"/>
      <c r="E67" s="2"/>
      <c r="F67" s="2"/>
      <c r="G67">
        <v>2402</v>
      </c>
      <c r="H67" s="108" t="s">
        <v>191</v>
      </c>
      <c r="I67" s="108" t="s">
        <v>192</v>
      </c>
      <c r="J67" s="63"/>
      <c r="K67" s="63"/>
      <c r="N67" s="64"/>
      <c r="O67" s="65"/>
      <c r="P67" s="66"/>
      <c r="R67" s="1"/>
    </row>
    <row r="68" spans="1:20" x14ac:dyDescent="0.25">
      <c r="C68" s="26"/>
      <c r="D68" s="2"/>
      <c r="E68" s="2"/>
      <c r="F68" s="2"/>
      <c r="G68" s="78">
        <v>2409</v>
      </c>
      <c r="H68" s="102" t="s">
        <v>193</v>
      </c>
      <c r="I68" s="102" t="s">
        <v>194</v>
      </c>
      <c r="J68" s="63"/>
      <c r="K68" s="63"/>
      <c r="N68" s="64"/>
      <c r="O68" s="65"/>
      <c r="P68" s="66"/>
      <c r="Q68" s="32"/>
    </row>
    <row r="69" spans="1:20" x14ac:dyDescent="0.25">
      <c r="C69" s="26"/>
      <c r="D69" s="2"/>
      <c r="E69" s="2"/>
      <c r="F69" s="2"/>
      <c r="G69" s="78">
        <v>2412</v>
      </c>
      <c r="H69" s="102" t="s">
        <v>195</v>
      </c>
      <c r="I69" s="102" t="s">
        <v>188</v>
      </c>
      <c r="J69" s="63"/>
      <c r="K69" s="63"/>
      <c r="N69" s="64"/>
      <c r="O69" s="65"/>
      <c r="P69" s="66"/>
    </row>
    <row r="70" spans="1:20" x14ac:dyDescent="0.25">
      <c r="C70" s="26"/>
      <c r="D70" s="2"/>
      <c r="E70" s="2"/>
      <c r="F70" s="2"/>
      <c r="G70" s="78">
        <v>2419</v>
      </c>
      <c r="H70" s="102" t="s">
        <v>196</v>
      </c>
      <c r="I70" s="102" t="s">
        <v>117</v>
      </c>
      <c r="J70" s="63"/>
      <c r="K70" s="63"/>
      <c r="N70" s="64"/>
      <c r="O70" s="65"/>
      <c r="P70" s="66"/>
    </row>
    <row r="71" spans="1:20" x14ac:dyDescent="0.25">
      <c r="C71" s="26"/>
      <c r="D71" s="2"/>
      <c r="E71" s="2"/>
      <c r="F71" s="2"/>
      <c r="G71" s="78">
        <v>2425</v>
      </c>
      <c r="H71" s="102" t="s">
        <v>197</v>
      </c>
      <c r="I71" s="102" t="s">
        <v>198</v>
      </c>
      <c r="J71" s="63"/>
      <c r="K71" s="63"/>
      <c r="N71" s="64"/>
      <c r="O71" s="65"/>
      <c r="P71" s="66"/>
    </row>
    <row r="72" spans="1:20" x14ac:dyDescent="0.25">
      <c r="C72" s="26"/>
      <c r="D72" s="2"/>
      <c r="E72" s="2"/>
      <c r="F72" s="36"/>
      <c r="G72" s="78">
        <v>2447</v>
      </c>
      <c r="H72" s="102" t="s">
        <v>199</v>
      </c>
      <c r="I72" s="102" t="s">
        <v>200</v>
      </c>
      <c r="J72" s="63"/>
      <c r="K72" s="63"/>
      <c r="N72" s="64"/>
      <c r="O72" s="65"/>
      <c r="P72" s="66"/>
    </row>
    <row r="73" spans="1:20" x14ac:dyDescent="0.25">
      <c r="C73" s="26"/>
      <c r="D73" s="2"/>
      <c r="E73" s="2"/>
      <c r="F73" s="37"/>
      <c r="G73" s="78">
        <v>2452</v>
      </c>
      <c r="H73" s="102" t="s">
        <v>201</v>
      </c>
      <c r="I73" s="102" t="s">
        <v>141</v>
      </c>
      <c r="J73" s="63"/>
      <c r="K73" s="63"/>
      <c r="N73" s="64"/>
      <c r="O73" s="65"/>
      <c r="P73" s="66"/>
    </row>
    <row r="74" spans="1:20" x14ac:dyDescent="0.25">
      <c r="A74" s="36"/>
      <c r="B74" s="36"/>
      <c r="C74" s="36"/>
      <c r="D74" s="36"/>
      <c r="E74" s="36"/>
      <c r="G74">
        <v>2458</v>
      </c>
      <c r="H74" s="108" t="s">
        <v>202</v>
      </c>
      <c r="I74" s="108" t="s">
        <v>77</v>
      </c>
      <c r="J74" s="63"/>
      <c r="K74" s="63"/>
      <c r="N74" s="64"/>
      <c r="O74" s="65"/>
      <c r="P74" s="66"/>
    </row>
    <row r="75" spans="1:20" x14ac:dyDescent="0.25">
      <c r="A75" s="96"/>
      <c r="B75" s="96"/>
      <c r="D75" s="37"/>
      <c r="E75" s="37"/>
      <c r="G75" s="78">
        <v>2459</v>
      </c>
      <c r="H75" s="102" t="s">
        <v>203</v>
      </c>
      <c r="I75" s="102" t="s">
        <v>204</v>
      </c>
      <c r="J75" s="63"/>
      <c r="K75" s="63"/>
      <c r="N75" s="64"/>
      <c r="O75" s="65"/>
      <c r="P75" s="66"/>
    </row>
    <row r="76" spans="1:20" x14ac:dyDescent="0.25">
      <c r="G76">
        <v>2469</v>
      </c>
      <c r="H76" s="105" t="s">
        <v>205</v>
      </c>
      <c r="I76" s="105" t="s">
        <v>206</v>
      </c>
      <c r="J76" s="54">
        <v>86500</v>
      </c>
      <c r="K76" s="54"/>
      <c r="L76" s="56"/>
      <c r="M76" s="56"/>
      <c r="N76" s="53"/>
      <c r="O76" s="53"/>
      <c r="P76" s="61">
        <v>19000</v>
      </c>
      <c r="S76" s="36"/>
      <c r="T76" s="36"/>
    </row>
    <row r="77" spans="1:20" x14ac:dyDescent="0.25">
      <c r="G77">
        <v>2470</v>
      </c>
      <c r="H77" s="105" t="s">
        <v>207</v>
      </c>
      <c r="I77" s="105" t="s">
        <v>133</v>
      </c>
      <c r="J77" s="54">
        <v>100500</v>
      </c>
      <c r="K77" s="54"/>
      <c r="L77" s="56"/>
      <c r="M77" s="53"/>
      <c r="N77" s="53"/>
      <c r="O77" s="53"/>
      <c r="P77" s="56">
        <v>11000</v>
      </c>
      <c r="S77" s="37"/>
    </row>
    <row r="78" spans="1:20" x14ac:dyDescent="0.25">
      <c r="G78" s="78">
        <v>2471</v>
      </c>
      <c r="H78" s="102" t="s">
        <v>208</v>
      </c>
      <c r="I78" s="102" t="s">
        <v>209</v>
      </c>
      <c r="J78" s="63"/>
      <c r="K78" s="63"/>
      <c r="N78" s="64"/>
      <c r="O78" s="65"/>
      <c r="P78" s="66"/>
      <c r="R78" s="36"/>
    </row>
    <row r="79" spans="1:20" x14ac:dyDescent="0.25">
      <c r="G79" s="78">
        <v>2476</v>
      </c>
      <c r="H79" s="102" t="s">
        <v>210</v>
      </c>
      <c r="I79" s="102" t="s">
        <v>211</v>
      </c>
      <c r="J79" s="63"/>
      <c r="K79" s="63"/>
      <c r="N79" s="64"/>
      <c r="O79" s="65"/>
      <c r="P79" s="66"/>
      <c r="R79" s="37"/>
      <c r="S79" s="24"/>
    </row>
    <row r="80" spans="1:20" x14ac:dyDescent="0.25">
      <c r="G80" s="78">
        <v>2480</v>
      </c>
      <c r="H80" s="102" t="s">
        <v>212</v>
      </c>
      <c r="I80" s="102" t="s">
        <v>213</v>
      </c>
      <c r="J80" s="63"/>
      <c r="K80" s="63"/>
      <c r="N80" s="64"/>
      <c r="O80" s="65"/>
      <c r="P80" s="66"/>
      <c r="S80" s="24"/>
    </row>
    <row r="81" spans="1:30" x14ac:dyDescent="0.25">
      <c r="G81" s="78">
        <v>2481</v>
      </c>
      <c r="H81" s="102" t="s">
        <v>214</v>
      </c>
      <c r="I81" s="102" t="s">
        <v>143</v>
      </c>
      <c r="J81" s="63"/>
      <c r="K81" s="63"/>
      <c r="N81" s="64"/>
      <c r="O81" s="65"/>
      <c r="P81" s="66"/>
      <c r="R81" s="45"/>
      <c r="S81" s="24"/>
      <c r="U81" s="36"/>
      <c r="V81" s="36"/>
    </row>
    <row r="82" spans="1:30" x14ac:dyDescent="0.25">
      <c r="G82" s="78">
        <v>2483</v>
      </c>
      <c r="H82" s="102" t="s">
        <v>215</v>
      </c>
      <c r="I82" s="102" t="s">
        <v>216</v>
      </c>
      <c r="J82" s="63"/>
      <c r="K82" s="63"/>
      <c r="N82" s="64"/>
      <c r="O82" s="65"/>
      <c r="P82" s="66"/>
      <c r="R82" s="45"/>
      <c r="S82" s="2"/>
    </row>
    <row r="83" spans="1:30" x14ac:dyDescent="0.25">
      <c r="F83" s="38"/>
      <c r="G83" s="78">
        <v>2488</v>
      </c>
      <c r="H83" s="102" t="s">
        <v>217</v>
      </c>
      <c r="I83" s="102" t="s">
        <v>133</v>
      </c>
      <c r="J83" s="63"/>
      <c r="K83" s="63"/>
      <c r="N83" s="64"/>
      <c r="O83" s="65"/>
      <c r="P83" s="66"/>
      <c r="R83" s="45"/>
      <c r="S83" s="2"/>
    </row>
    <row r="84" spans="1:30" x14ac:dyDescent="0.25">
      <c r="F84" s="38"/>
      <c r="G84">
        <v>2489</v>
      </c>
      <c r="H84" s="105" t="s">
        <v>218</v>
      </c>
      <c r="I84" s="105" t="s">
        <v>169</v>
      </c>
      <c r="J84" s="54">
        <v>221000</v>
      </c>
      <c r="K84" s="54">
        <v>211500</v>
      </c>
      <c r="L84" s="56">
        <v>47000</v>
      </c>
      <c r="M84" s="53">
        <v>51500</v>
      </c>
      <c r="N84" s="53">
        <v>0</v>
      </c>
      <c r="O84" s="53"/>
      <c r="P84" s="56">
        <v>33000</v>
      </c>
      <c r="R84" s="40"/>
    </row>
    <row r="85" spans="1:30" x14ac:dyDescent="0.25">
      <c r="D85" s="38"/>
      <c r="E85" s="38"/>
      <c r="F85" s="38"/>
      <c r="G85">
        <v>2490</v>
      </c>
      <c r="H85" s="108" t="s">
        <v>219</v>
      </c>
      <c r="I85" s="108" t="s">
        <v>200</v>
      </c>
      <c r="J85" s="63"/>
      <c r="K85" s="63"/>
      <c r="N85" s="64"/>
      <c r="O85" s="65"/>
      <c r="P85" s="66"/>
      <c r="R85" s="40"/>
      <c r="S85" s="1"/>
    </row>
    <row r="86" spans="1:30" x14ac:dyDescent="0.25">
      <c r="D86" s="38"/>
      <c r="E86" s="38"/>
      <c r="F86" s="38"/>
      <c r="G86">
        <v>2492</v>
      </c>
      <c r="H86" s="105" t="s">
        <v>220</v>
      </c>
      <c r="I86" s="105" t="s">
        <v>221</v>
      </c>
      <c r="J86" s="54">
        <v>16500</v>
      </c>
      <c r="K86" s="54">
        <v>16500</v>
      </c>
      <c r="L86" s="56">
        <v>8500</v>
      </c>
      <c r="M86" s="53"/>
      <c r="N86" s="53"/>
      <c r="O86" s="53"/>
      <c r="P86" s="61">
        <v>0</v>
      </c>
      <c r="S86" s="1"/>
    </row>
    <row r="87" spans="1:30" x14ac:dyDescent="0.25">
      <c r="D87" s="38"/>
      <c r="E87" s="38"/>
      <c r="G87">
        <v>2494</v>
      </c>
      <c r="H87" s="105" t="s">
        <v>222</v>
      </c>
      <c r="I87" s="105" t="s">
        <v>223</v>
      </c>
      <c r="J87" s="54">
        <v>118000</v>
      </c>
      <c r="K87" s="54">
        <v>118000</v>
      </c>
      <c r="L87" s="56"/>
      <c r="M87" s="53">
        <v>23500</v>
      </c>
      <c r="N87" s="53">
        <v>23500</v>
      </c>
      <c r="O87" s="53">
        <v>12000</v>
      </c>
      <c r="P87" s="61">
        <v>19000</v>
      </c>
      <c r="Q87" s="36"/>
      <c r="R87" s="1"/>
    </row>
    <row r="88" spans="1:30" x14ac:dyDescent="0.25">
      <c r="D88" s="38"/>
      <c r="E88" s="38"/>
      <c r="F88" s="1"/>
      <c r="G88" s="78">
        <v>2497</v>
      </c>
      <c r="H88" s="102" t="s">
        <v>224</v>
      </c>
      <c r="I88" s="102" t="s">
        <v>225</v>
      </c>
      <c r="J88" s="63"/>
      <c r="K88" s="63"/>
      <c r="N88" s="64"/>
      <c r="O88" s="65"/>
      <c r="P88" s="66"/>
      <c r="Q88" s="37"/>
      <c r="R88" s="1"/>
    </row>
    <row r="89" spans="1:30" ht="12" customHeight="1" x14ac:dyDescent="0.25">
      <c r="F89" s="1"/>
      <c r="G89">
        <v>2499</v>
      </c>
      <c r="H89" s="108" t="s">
        <v>226</v>
      </c>
      <c r="I89" s="108" t="s">
        <v>227</v>
      </c>
      <c r="J89" s="63">
        <v>154500</v>
      </c>
      <c r="K89" s="63">
        <v>130500</v>
      </c>
      <c r="L89" s="64">
        <f>K89/5</f>
        <v>26100</v>
      </c>
      <c r="M89" s="65">
        <v>26000</v>
      </c>
      <c r="N89" s="65">
        <v>26000</v>
      </c>
      <c r="O89" s="65">
        <v>26000</v>
      </c>
      <c r="P89" s="66">
        <v>26000</v>
      </c>
      <c r="AD89" s="5"/>
    </row>
    <row r="90" spans="1:30" x14ac:dyDescent="0.25">
      <c r="D90" s="1"/>
      <c r="E90" s="1"/>
      <c r="G90">
        <v>2506</v>
      </c>
      <c r="H90" s="108" t="s">
        <v>228</v>
      </c>
      <c r="I90" s="108" t="s">
        <v>152</v>
      </c>
      <c r="J90" s="63"/>
      <c r="K90" s="63"/>
      <c r="N90" s="64"/>
      <c r="O90" s="65"/>
      <c r="P90" s="66"/>
      <c r="Q90" s="45"/>
      <c r="W90" s="36"/>
      <c r="X90" s="36"/>
      <c r="Y90" s="36"/>
      <c r="Z90" s="36"/>
    </row>
    <row r="91" spans="1:30" x14ac:dyDescent="0.25">
      <c r="A91" s="1"/>
      <c r="B91" s="1"/>
      <c r="D91" s="1"/>
      <c r="E91" s="1"/>
      <c r="G91" s="78">
        <v>2516</v>
      </c>
      <c r="H91" s="109" t="s">
        <v>229</v>
      </c>
      <c r="I91" s="109" t="s">
        <v>225</v>
      </c>
      <c r="J91" s="54">
        <v>350500</v>
      </c>
      <c r="K91" s="56">
        <v>27500</v>
      </c>
      <c r="L91" s="56">
        <v>27500</v>
      </c>
      <c r="M91" s="53"/>
      <c r="N91" s="53"/>
      <c r="O91" s="53"/>
      <c r="P91" s="61"/>
      <c r="Q91" s="45"/>
      <c r="W91" s="37"/>
      <c r="X91" s="37"/>
      <c r="Y91" s="42"/>
      <c r="Z91" s="96"/>
      <c r="AA91" s="96"/>
    </row>
    <row r="92" spans="1:30" x14ac:dyDescent="0.25">
      <c r="A92" s="1"/>
      <c r="B92" s="1"/>
      <c r="F92" s="41"/>
      <c r="G92" s="78">
        <v>2528</v>
      </c>
      <c r="H92" s="110" t="s">
        <v>230</v>
      </c>
      <c r="I92" s="110" t="s">
        <v>231</v>
      </c>
      <c r="J92" s="63"/>
      <c r="K92" s="63"/>
      <c r="N92" s="64"/>
      <c r="O92" s="65"/>
      <c r="P92" s="66"/>
      <c r="Q92" s="45"/>
      <c r="X92" s="24"/>
      <c r="Z92" s="43"/>
      <c r="AA92" s="26"/>
      <c r="AB92" s="25"/>
    </row>
    <row r="93" spans="1:30" x14ac:dyDescent="0.25">
      <c r="F93" s="36"/>
      <c r="G93" s="78">
        <v>2529</v>
      </c>
      <c r="H93" s="102" t="s">
        <v>232</v>
      </c>
      <c r="I93" s="102" t="s">
        <v>200</v>
      </c>
      <c r="J93" s="63"/>
      <c r="K93" s="63"/>
      <c r="N93" s="64"/>
      <c r="O93" s="65"/>
      <c r="P93" s="66"/>
      <c r="Q93" s="40"/>
      <c r="X93" s="24"/>
      <c r="Z93" s="43"/>
      <c r="AA93" s="26"/>
    </row>
    <row r="94" spans="1:30" x14ac:dyDescent="0.25">
      <c r="E94" s="41"/>
      <c r="F94" s="37"/>
      <c r="G94" s="78">
        <v>2534</v>
      </c>
      <c r="H94" s="102" t="s">
        <v>233</v>
      </c>
      <c r="I94" s="102" t="s">
        <v>234</v>
      </c>
      <c r="J94" s="63"/>
      <c r="K94" s="63"/>
      <c r="N94" s="64"/>
      <c r="O94" s="65"/>
      <c r="P94" s="66"/>
      <c r="Q94" s="40"/>
      <c r="X94" s="24"/>
      <c r="Z94" s="43"/>
      <c r="AA94" s="26"/>
    </row>
    <row r="95" spans="1:30" x14ac:dyDescent="0.25">
      <c r="A95" s="36"/>
      <c r="B95" s="36"/>
      <c r="C95" s="36"/>
      <c r="D95" s="36"/>
      <c r="E95" s="36"/>
      <c r="F95" s="24"/>
      <c r="G95">
        <v>2536</v>
      </c>
      <c r="H95" s="108" t="s">
        <v>235</v>
      </c>
      <c r="I95" s="108" t="s">
        <v>200</v>
      </c>
      <c r="J95" s="63">
        <v>96000</v>
      </c>
      <c r="K95" s="63">
        <v>48000</v>
      </c>
      <c r="L95" s="64">
        <v>19000</v>
      </c>
      <c r="M95" s="65">
        <v>29000</v>
      </c>
      <c r="N95" s="65"/>
      <c r="O95" s="65"/>
      <c r="P95" s="66"/>
      <c r="W95" s="1"/>
      <c r="X95" s="46"/>
      <c r="Z95" s="43"/>
      <c r="AA95" s="3"/>
    </row>
    <row r="96" spans="1:30" x14ac:dyDescent="0.25">
      <c r="A96" s="96"/>
      <c r="B96" s="96"/>
      <c r="D96" s="37"/>
      <c r="E96" s="37"/>
      <c r="F96" s="24"/>
      <c r="G96">
        <v>2537</v>
      </c>
      <c r="H96" s="108" t="s">
        <v>236</v>
      </c>
      <c r="I96" s="108" t="s">
        <v>152</v>
      </c>
      <c r="J96" s="63"/>
      <c r="K96" s="63"/>
      <c r="N96" s="64"/>
      <c r="O96" s="65"/>
      <c r="P96" s="66"/>
      <c r="Q96" s="1"/>
      <c r="X96" s="47"/>
      <c r="AA96" s="26"/>
    </row>
    <row r="97" spans="2:27" x14ac:dyDescent="0.25">
      <c r="E97" s="24"/>
      <c r="F97" s="24"/>
      <c r="G97" s="78">
        <v>2542</v>
      </c>
      <c r="H97" s="102" t="s">
        <v>237</v>
      </c>
      <c r="I97" s="102" t="s">
        <v>117</v>
      </c>
      <c r="J97" s="63"/>
      <c r="K97" s="63"/>
      <c r="N97" s="64"/>
      <c r="O97" s="65"/>
      <c r="P97" s="66"/>
      <c r="Q97" s="1"/>
      <c r="AA97" s="26"/>
    </row>
    <row r="98" spans="2:27" x14ac:dyDescent="0.25">
      <c r="B98" s="24"/>
      <c r="E98" s="24"/>
      <c r="F98" s="24"/>
      <c r="G98">
        <v>2545</v>
      </c>
      <c r="H98" s="108" t="s">
        <v>238</v>
      </c>
      <c r="I98" s="108" t="s">
        <v>174</v>
      </c>
      <c r="J98" s="63">
        <v>13500</v>
      </c>
      <c r="K98" s="63">
        <v>31500</v>
      </c>
      <c r="L98" s="64"/>
      <c r="M98" s="65"/>
      <c r="N98" s="65"/>
      <c r="O98" s="65">
        <v>13500</v>
      </c>
      <c r="P98" s="66">
        <f>K98-O98</f>
        <v>18000</v>
      </c>
      <c r="AA98" s="26"/>
    </row>
    <row r="99" spans="2:27" x14ac:dyDescent="0.25">
      <c r="B99" s="24"/>
      <c r="E99" s="24"/>
      <c r="F99" s="24"/>
      <c r="G99" s="78">
        <v>2547</v>
      </c>
      <c r="H99" s="102" t="s">
        <v>239</v>
      </c>
      <c r="I99" s="107" t="s">
        <v>240</v>
      </c>
      <c r="J99" s="63"/>
      <c r="K99" s="63"/>
      <c r="N99" s="64"/>
      <c r="O99" s="65"/>
      <c r="P99" s="66"/>
    </row>
    <row r="100" spans="2:27" x14ac:dyDescent="0.25">
      <c r="B100" s="24"/>
      <c r="E100" s="24"/>
      <c r="F100" s="24"/>
      <c r="G100">
        <v>2550</v>
      </c>
      <c r="H100" s="108" t="s">
        <v>241</v>
      </c>
      <c r="I100" s="108" t="s">
        <v>242</v>
      </c>
      <c r="J100" s="63">
        <v>93000</v>
      </c>
      <c r="K100" s="63">
        <v>93000</v>
      </c>
      <c r="L100" s="64"/>
      <c r="M100" s="65"/>
      <c r="N100" s="65"/>
      <c r="O100" s="65">
        <v>20500</v>
      </c>
      <c r="P100" s="66">
        <v>0</v>
      </c>
    </row>
    <row r="101" spans="2:27" x14ac:dyDescent="0.25">
      <c r="B101" s="24"/>
      <c r="E101" s="24"/>
      <c r="F101" s="24"/>
      <c r="G101">
        <v>2551</v>
      </c>
      <c r="H101" s="108" t="s">
        <v>243</v>
      </c>
      <c r="I101" s="108" t="s">
        <v>244</v>
      </c>
      <c r="J101" s="63">
        <v>335500</v>
      </c>
      <c r="K101" s="63">
        <v>271500</v>
      </c>
      <c r="L101" s="64">
        <f>K101/4</f>
        <v>67875</v>
      </c>
      <c r="M101" s="65">
        <v>68000</v>
      </c>
      <c r="N101" s="65">
        <v>68000</v>
      </c>
      <c r="O101" s="65">
        <v>68000</v>
      </c>
      <c r="P101" s="66">
        <v>0</v>
      </c>
    </row>
    <row r="102" spans="2:27" x14ac:dyDescent="0.25">
      <c r="B102" s="24"/>
      <c r="E102" s="24"/>
      <c r="F102" s="24"/>
      <c r="G102" s="78">
        <v>2558</v>
      </c>
      <c r="H102" s="102" t="s">
        <v>245</v>
      </c>
      <c r="I102" s="102" t="s">
        <v>133</v>
      </c>
      <c r="J102" s="63"/>
      <c r="K102" s="63"/>
      <c r="N102" s="64"/>
      <c r="O102" s="65"/>
      <c r="P102" s="66"/>
    </row>
    <row r="103" spans="2:27" x14ac:dyDescent="0.25">
      <c r="B103" s="24"/>
      <c r="E103" s="24"/>
      <c r="F103" s="24"/>
      <c r="G103">
        <v>2560</v>
      </c>
      <c r="H103" s="108" t="s">
        <v>246</v>
      </c>
      <c r="I103" s="108" t="s">
        <v>174</v>
      </c>
      <c r="J103" s="63"/>
      <c r="K103" s="63"/>
      <c r="N103" s="64"/>
      <c r="O103" s="65"/>
      <c r="P103" s="66"/>
    </row>
    <row r="104" spans="2:27" x14ac:dyDescent="0.25">
      <c r="B104" s="24"/>
      <c r="E104" s="24"/>
      <c r="F104" s="49"/>
      <c r="G104">
        <v>2562</v>
      </c>
      <c r="H104" s="108" t="s">
        <v>247</v>
      </c>
      <c r="I104" s="108" t="s">
        <v>139</v>
      </c>
      <c r="J104" s="63">
        <v>101500</v>
      </c>
      <c r="K104" s="63">
        <v>101500</v>
      </c>
      <c r="L104" s="64">
        <f>K104/4</f>
        <v>25375</v>
      </c>
      <c r="M104" s="64">
        <f>L104</f>
        <v>25375</v>
      </c>
      <c r="N104" s="64">
        <f>L104</f>
        <v>25375</v>
      </c>
      <c r="O104" s="64">
        <f>N104</f>
        <v>25375</v>
      </c>
      <c r="P104" s="65"/>
    </row>
    <row r="105" spans="2:27" x14ac:dyDescent="0.25">
      <c r="B105" s="24"/>
      <c r="E105" s="24"/>
      <c r="F105" s="49"/>
      <c r="G105">
        <v>2565</v>
      </c>
      <c r="H105" s="108" t="s">
        <v>248</v>
      </c>
      <c r="I105" s="108" t="s">
        <v>249</v>
      </c>
      <c r="J105" s="63">
        <v>66500</v>
      </c>
      <c r="K105" s="63">
        <v>66500</v>
      </c>
      <c r="L105" s="64">
        <v>17500</v>
      </c>
      <c r="M105" s="65">
        <v>17500</v>
      </c>
      <c r="N105" s="65">
        <v>31000</v>
      </c>
      <c r="O105" s="65">
        <v>0</v>
      </c>
      <c r="P105" s="66">
        <v>0</v>
      </c>
    </row>
    <row r="106" spans="2:27" x14ac:dyDescent="0.25">
      <c r="B106" s="24"/>
      <c r="D106" s="38"/>
      <c r="E106" s="49"/>
      <c r="F106" s="49"/>
      <c r="G106">
        <v>2570</v>
      </c>
      <c r="H106" s="108" t="s">
        <v>250</v>
      </c>
      <c r="I106" s="108" t="s">
        <v>117</v>
      </c>
      <c r="J106" s="63">
        <v>578500</v>
      </c>
      <c r="K106" s="63">
        <v>578500</v>
      </c>
      <c r="L106" s="64">
        <f>K106/4</f>
        <v>144625</v>
      </c>
      <c r="M106" s="66">
        <f>L106</f>
        <v>144625</v>
      </c>
      <c r="N106" s="66">
        <f>M106</f>
        <v>144625</v>
      </c>
      <c r="O106" s="66">
        <f>N106</f>
        <v>144625</v>
      </c>
      <c r="P106" s="66">
        <v>0</v>
      </c>
    </row>
    <row r="107" spans="2:27" x14ac:dyDescent="0.25">
      <c r="B107" s="24"/>
      <c r="D107" s="38"/>
      <c r="E107" s="49"/>
      <c r="F107" s="49"/>
      <c r="G107" s="78">
        <v>2574</v>
      </c>
      <c r="H107" s="102" t="s">
        <v>84</v>
      </c>
      <c r="I107" s="102" t="s">
        <v>152</v>
      </c>
      <c r="J107" s="63"/>
      <c r="K107" s="63"/>
      <c r="N107" s="64"/>
      <c r="O107" s="65"/>
      <c r="P107" s="66"/>
    </row>
    <row r="108" spans="2:27" x14ac:dyDescent="0.25">
      <c r="B108" s="24"/>
      <c r="D108" s="38"/>
      <c r="E108" s="49"/>
      <c r="F108" s="24"/>
      <c r="G108">
        <v>2576</v>
      </c>
      <c r="H108" s="108" t="s">
        <v>251</v>
      </c>
      <c r="I108" s="108" t="s">
        <v>252</v>
      </c>
      <c r="J108" s="63">
        <v>56500</v>
      </c>
      <c r="K108" s="63">
        <v>56500</v>
      </c>
      <c r="L108" s="64">
        <v>6500</v>
      </c>
      <c r="M108" s="65"/>
      <c r="N108" s="65"/>
      <c r="O108" s="66">
        <v>0</v>
      </c>
      <c r="P108" s="66">
        <v>0</v>
      </c>
      <c r="Q108" s="36"/>
    </row>
    <row r="109" spans="2:27" x14ac:dyDescent="0.25">
      <c r="B109" s="24"/>
      <c r="D109" s="38"/>
      <c r="E109" s="49"/>
      <c r="F109" s="2"/>
      <c r="G109">
        <v>2577</v>
      </c>
      <c r="H109" s="108" t="s">
        <v>253</v>
      </c>
      <c r="I109" s="108" t="s">
        <v>254</v>
      </c>
      <c r="J109" s="63">
        <v>893000</v>
      </c>
      <c r="K109" s="63">
        <f>J109-126000</f>
        <v>767000</v>
      </c>
      <c r="L109" s="64">
        <f>K109/4</f>
        <v>191750</v>
      </c>
      <c r="M109" s="64">
        <f>K109/4</f>
        <v>191750</v>
      </c>
      <c r="N109" s="64">
        <f>K109/4</f>
        <v>191750</v>
      </c>
      <c r="O109" s="64">
        <f>K109/4</f>
        <v>191750</v>
      </c>
      <c r="P109" s="66">
        <v>126000</v>
      </c>
      <c r="Q109" s="37" t="s">
        <v>57</v>
      </c>
    </row>
    <row r="110" spans="2:27" x14ac:dyDescent="0.25">
      <c r="B110" s="24"/>
      <c r="E110" s="24"/>
      <c r="F110" s="2"/>
      <c r="G110">
        <v>2582</v>
      </c>
      <c r="H110" s="108" t="s">
        <v>255</v>
      </c>
      <c r="I110" s="108" t="s">
        <v>256</v>
      </c>
      <c r="J110" s="63">
        <v>51000</v>
      </c>
      <c r="K110" s="63">
        <v>51000</v>
      </c>
      <c r="L110" s="64">
        <v>11500</v>
      </c>
      <c r="M110" s="65">
        <v>11500</v>
      </c>
      <c r="N110" s="65"/>
      <c r="O110" s="66"/>
      <c r="P110" s="66"/>
    </row>
    <row r="111" spans="2:27" x14ac:dyDescent="0.25">
      <c r="B111" s="24"/>
      <c r="D111" s="1"/>
      <c r="E111" s="2"/>
      <c r="G111">
        <v>2583</v>
      </c>
      <c r="H111" s="108" t="s">
        <v>257</v>
      </c>
      <c r="I111" s="108" t="s">
        <v>225</v>
      </c>
      <c r="J111" s="63">
        <v>81000</v>
      </c>
      <c r="K111" s="63">
        <v>81000</v>
      </c>
      <c r="N111" s="64">
        <v>38000</v>
      </c>
      <c r="O111" s="65">
        <v>32500</v>
      </c>
      <c r="P111" s="66">
        <v>0</v>
      </c>
      <c r="Q111" s="45"/>
      <c r="W111" s="36"/>
      <c r="X111" s="36"/>
      <c r="Y111" s="36"/>
      <c r="Z111" s="36"/>
      <c r="AA111" s="36"/>
    </row>
    <row r="112" spans="2:27" x14ac:dyDescent="0.25">
      <c r="B112" s="24"/>
      <c r="D112" s="1"/>
      <c r="E112" s="2"/>
      <c r="G112">
        <v>2584</v>
      </c>
      <c r="H112" s="108" t="s">
        <v>258</v>
      </c>
      <c r="I112" s="108" t="s">
        <v>259</v>
      </c>
      <c r="J112" s="63">
        <v>248500</v>
      </c>
      <c r="K112" s="63"/>
      <c r="N112" s="64"/>
      <c r="O112" s="65">
        <v>46500</v>
      </c>
      <c r="P112" s="24" cm="1">
        <f t="array" ref="P112:T112">J112-K112:O112</f>
        <v>248500</v>
      </c>
      <c r="Q112" s="45">
        <v>248500</v>
      </c>
      <c r="R112">
        <v>248500</v>
      </c>
      <c r="S112">
        <v>248500</v>
      </c>
      <c r="T112">
        <v>202000</v>
      </c>
      <c r="W112" s="37"/>
      <c r="X112" s="37"/>
      <c r="Y112" s="42"/>
      <c r="Z112" s="96"/>
      <c r="AA112" s="96"/>
    </row>
    <row r="113" spans="1:28" x14ac:dyDescent="0.25">
      <c r="B113" s="24"/>
      <c r="G113">
        <v>2603</v>
      </c>
      <c r="H113" s="108" t="s">
        <v>260</v>
      </c>
      <c r="I113" s="108" t="s">
        <v>261</v>
      </c>
      <c r="J113" s="63"/>
      <c r="K113" s="63"/>
      <c r="N113" s="64"/>
      <c r="O113" s="65"/>
      <c r="P113" s="18"/>
      <c r="Q113" s="45"/>
      <c r="X113" s="24"/>
      <c r="Z113" s="43"/>
      <c r="AA113" s="26"/>
      <c r="AB113" s="25"/>
    </row>
    <row r="114" spans="1:28" x14ac:dyDescent="0.25">
      <c r="B114" s="24"/>
      <c r="G114">
        <v>2611</v>
      </c>
      <c r="H114" s="108" t="s">
        <v>262</v>
      </c>
      <c r="I114" s="108" t="s">
        <v>261</v>
      </c>
      <c r="J114" s="63"/>
      <c r="K114" s="63"/>
      <c r="N114" s="64"/>
      <c r="O114" s="65"/>
      <c r="P114" s="26"/>
      <c r="Q114" s="40"/>
      <c r="X114" s="24"/>
      <c r="Z114" s="43"/>
      <c r="AA114" s="26"/>
    </row>
    <row r="115" spans="1:28" x14ac:dyDescent="0.25">
      <c r="A115" s="1"/>
      <c r="B115" s="2"/>
      <c r="G115">
        <v>2616</v>
      </c>
      <c r="H115" s="108" t="s">
        <v>263</v>
      </c>
      <c r="I115" s="108" t="s">
        <v>264</v>
      </c>
      <c r="J115" s="63">
        <v>4500</v>
      </c>
      <c r="K115" s="63"/>
      <c r="N115" s="64"/>
      <c r="O115" s="65"/>
      <c r="P115" s="32"/>
      <c r="Q115" s="40"/>
      <c r="X115" s="24"/>
      <c r="Z115" s="43"/>
      <c r="AA115" s="26"/>
    </row>
    <row r="116" spans="1:28" x14ac:dyDescent="0.25">
      <c r="A116" s="1"/>
      <c r="B116" s="2"/>
      <c r="G116">
        <v>2622</v>
      </c>
      <c r="H116" s="108" t="s">
        <v>265</v>
      </c>
      <c r="I116" s="108" t="s">
        <v>266</v>
      </c>
      <c r="J116" s="63">
        <v>219500</v>
      </c>
      <c r="K116" s="63">
        <v>219500</v>
      </c>
      <c r="L116" s="64"/>
      <c r="M116" s="65">
        <v>18500</v>
      </c>
      <c r="N116" s="65">
        <v>18500</v>
      </c>
      <c r="O116" s="65">
        <v>18500</v>
      </c>
      <c r="P116" s="66">
        <f>K116-M116-N116-O116</f>
        <v>164000</v>
      </c>
      <c r="W116" s="1"/>
      <c r="X116" s="46"/>
      <c r="Z116" s="43"/>
      <c r="AA116" s="3"/>
    </row>
    <row r="117" spans="1:28" x14ac:dyDescent="0.25">
      <c r="G117">
        <v>2626</v>
      </c>
      <c r="H117" s="108" t="s">
        <v>267</v>
      </c>
      <c r="I117" s="108" t="s">
        <v>139</v>
      </c>
      <c r="J117" s="63">
        <v>78000</v>
      </c>
      <c r="K117" s="63"/>
      <c r="N117" s="64"/>
      <c r="O117" s="65"/>
      <c r="P117" s="54"/>
      <c r="Q117" s="1"/>
      <c r="X117" s="47"/>
      <c r="AA117" s="26"/>
    </row>
    <row r="118" spans="1:28" x14ac:dyDescent="0.25">
      <c r="G118">
        <v>2627</v>
      </c>
      <c r="H118" s="105" t="s">
        <v>268</v>
      </c>
      <c r="I118" s="105" t="s">
        <v>163</v>
      </c>
      <c r="J118" s="54">
        <v>101500</v>
      </c>
      <c r="K118" s="54">
        <f>J118-37000</f>
        <v>64500</v>
      </c>
      <c r="L118" s="52"/>
      <c r="M118" s="61">
        <v>0</v>
      </c>
      <c r="N118" s="61">
        <v>0</v>
      </c>
      <c r="O118" s="53">
        <v>21500</v>
      </c>
      <c r="P118" s="54">
        <f>J118-O118</f>
        <v>80000</v>
      </c>
      <c r="Q118" s="1"/>
      <c r="AA118" s="26"/>
    </row>
    <row r="119" spans="1:28" x14ac:dyDescent="0.25">
      <c r="G119">
        <v>2630</v>
      </c>
      <c r="H119" s="105" t="s">
        <v>269</v>
      </c>
      <c r="I119" s="105" t="s">
        <v>139</v>
      </c>
      <c r="J119" s="54">
        <v>155000</v>
      </c>
      <c r="K119" s="54">
        <v>155000</v>
      </c>
      <c r="L119" s="52"/>
      <c r="M119" s="56">
        <f>K119/5</f>
        <v>31000</v>
      </c>
      <c r="N119" s="56">
        <f>M119</f>
        <v>31000</v>
      </c>
      <c r="O119" s="54">
        <f>N119</f>
        <v>31000</v>
      </c>
      <c r="P119" s="54">
        <f>O119*2</f>
        <v>62000</v>
      </c>
      <c r="AA119" s="26"/>
    </row>
    <row r="120" spans="1:28" x14ac:dyDescent="0.25">
      <c r="G120">
        <v>2635</v>
      </c>
      <c r="H120" s="105" t="s">
        <v>270</v>
      </c>
      <c r="I120" s="105" t="s">
        <v>271</v>
      </c>
      <c r="J120" s="54">
        <v>9500</v>
      </c>
      <c r="K120" s="54"/>
      <c r="L120" s="52"/>
      <c r="M120" s="56"/>
      <c r="N120" s="56">
        <v>9500</v>
      </c>
      <c r="O120" s="54"/>
      <c r="P120" s="54"/>
      <c r="AA120" s="26"/>
    </row>
    <row r="121" spans="1:28" x14ac:dyDescent="0.25">
      <c r="G121">
        <v>2636</v>
      </c>
      <c r="H121" s="105" t="s">
        <v>272</v>
      </c>
      <c r="I121" s="105" t="s">
        <v>273</v>
      </c>
      <c r="J121" s="54">
        <v>39000</v>
      </c>
      <c r="K121" s="54"/>
      <c r="L121" s="52"/>
      <c r="M121" s="56"/>
      <c r="N121" s="56">
        <v>19500</v>
      </c>
      <c r="O121" s="54">
        <v>19500</v>
      </c>
      <c r="P121" s="54"/>
      <c r="AA121" s="26"/>
    </row>
    <row r="122" spans="1:28" x14ac:dyDescent="0.25">
      <c r="G122">
        <v>2642</v>
      </c>
      <c r="H122" s="105" t="s">
        <v>274</v>
      </c>
      <c r="I122" s="105" t="s">
        <v>275</v>
      </c>
      <c r="J122" s="54">
        <v>262000</v>
      </c>
      <c r="K122" s="54">
        <v>225000</v>
      </c>
      <c r="L122" s="52"/>
      <c r="M122" s="56"/>
      <c r="N122" s="56">
        <f>K122/4</f>
        <v>56250</v>
      </c>
      <c r="O122" s="54">
        <f>N122</f>
        <v>56250</v>
      </c>
      <c r="P122" s="54">
        <f>O122*3</f>
        <v>168750</v>
      </c>
    </row>
    <row r="123" spans="1:28" x14ac:dyDescent="0.25">
      <c r="G123">
        <v>2646</v>
      </c>
      <c r="H123" s="105" t="s">
        <v>276</v>
      </c>
      <c r="I123" s="105" t="s">
        <v>273</v>
      </c>
      <c r="J123" s="54">
        <v>105000</v>
      </c>
      <c r="K123" s="54"/>
      <c r="L123" s="52"/>
      <c r="M123" s="56"/>
      <c r="N123" s="56"/>
      <c r="O123" s="54">
        <v>22000</v>
      </c>
      <c r="P123" s="54" cm="1">
        <f t="array" ref="P123:T123">J123-K123:O123</f>
        <v>105000</v>
      </c>
      <c r="Q123">
        <v>105000</v>
      </c>
      <c r="R123">
        <v>105000</v>
      </c>
      <c r="S123">
        <v>105000</v>
      </c>
      <c r="T123">
        <v>83000</v>
      </c>
    </row>
    <row r="124" spans="1:28" x14ac:dyDescent="0.25">
      <c r="G124">
        <v>2672</v>
      </c>
      <c r="H124" s="105" t="s">
        <v>277</v>
      </c>
      <c r="I124" s="105" t="s">
        <v>278</v>
      </c>
      <c r="J124" s="54">
        <v>837000</v>
      </c>
      <c r="K124" s="54"/>
      <c r="L124" s="52"/>
      <c r="M124" s="56"/>
      <c r="N124" s="56"/>
      <c r="O124" s="54">
        <v>134000</v>
      </c>
      <c r="P124" s="54" cm="1">
        <f t="array" ref="P124:Q124">J124-N124:O124</f>
        <v>837000</v>
      </c>
      <c r="Q124">
        <v>703000</v>
      </c>
    </row>
    <row r="125" spans="1:28" x14ac:dyDescent="0.25">
      <c r="G125">
        <v>2673</v>
      </c>
      <c r="H125" s="105" t="s">
        <v>279</v>
      </c>
      <c r="I125" s="105" t="s">
        <v>280</v>
      </c>
      <c r="J125" s="54">
        <v>155000</v>
      </c>
      <c r="K125" s="54"/>
      <c r="L125" s="52"/>
      <c r="M125" s="56"/>
      <c r="N125" s="56"/>
      <c r="O125" s="54">
        <v>32500</v>
      </c>
      <c r="P125" s="54" cm="1">
        <f t="array" ref="P125:T125">J125-K125:O125</f>
        <v>155000</v>
      </c>
      <c r="Q125">
        <v>155000</v>
      </c>
      <c r="R125">
        <v>155000</v>
      </c>
      <c r="S125">
        <v>155000</v>
      </c>
      <c r="T125">
        <v>122500</v>
      </c>
    </row>
    <row r="126" spans="1:28" x14ac:dyDescent="0.25">
      <c r="H126" s="53"/>
      <c r="I126" s="53"/>
      <c r="J126" s="57">
        <f>SUM(J2:J125)</f>
        <v>6914000</v>
      </c>
      <c r="K126" s="57">
        <f>SUM(K2:K122)</f>
        <v>4331000</v>
      </c>
      <c r="L126" s="57">
        <f>SUM(L2:L122)</f>
        <v>637225</v>
      </c>
      <c r="M126" s="57">
        <f>SUM(M2:M122)</f>
        <v>660750</v>
      </c>
      <c r="N126" s="57">
        <f>SUM(N2:N122)</f>
        <v>705500</v>
      </c>
      <c r="O126" s="57">
        <f>SUM(O2:O122)</f>
        <v>750000</v>
      </c>
      <c r="P126" s="57">
        <f>SUM(P2:P125)</f>
        <v>2268750</v>
      </c>
    </row>
    <row r="127" spans="1:28" x14ac:dyDescent="0.25">
      <c r="H127" s="53"/>
      <c r="I127" s="53"/>
      <c r="J127" s="55"/>
      <c r="K127" s="53"/>
      <c r="L127" s="53"/>
      <c r="M127" s="53"/>
      <c r="N127" s="53"/>
      <c r="O127" s="53"/>
      <c r="P127" s="26"/>
    </row>
    <row r="128" spans="1:28" x14ac:dyDescent="0.25">
      <c r="H128" s="16" t="s">
        <v>5</v>
      </c>
      <c r="I128" s="16"/>
      <c r="J128" s="18"/>
      <c r="K128" s="18"/>
      <c r="L128" s="18">
        <f>L126/3</f>
        <v>212408.33333333334</v>
      </c>
      <c r="M128" s="18">
        <f t="shared" ref="M128:O128" si="2">M126/3</f>
        <v>220250</v>
      </c>
      <c r="N128" s="18">
        <f t="shared" si="2"/>
        <v>235166.66666666666</v>
      </c>
      <c r="O128" s="18">
        <f t="shared" si="2"/>
        <v>250000</v>
      </c>
    </row>
    <row r="129" spans="8:16" x14ac:dyDescent="0.25">
      <c r="H129" s="4"/>
      <c r="I129" s="4"/>
      <c r="J129" s="3"/>
      <c r="L129" s="39"/>
      <c r="M129" s="39"/>
      <c r="N129" s="39"/>
      <c r="O129" s="39"/>
    </row>
    <row r="130" spans="8:16" x14ac:dyDescent="0.25">
      <c r="H130" s="27" t="s">
        <v>55</v>
      </c>
      <c r="I130" s="32"/>
      <c r="J130" s="32"/>
      <c r="K130" s="32"/>
      <c r="L130" s="32"/>
      <c r="M130" s="32"/>
      <c r="N130" s="32"/>
      <c r="O130" s="32"/>
      <c r="P130" s="32"/>
    </row>
    <row r="131" spans="8:16" x14ac:dyDescent="0.25">
      <c r="H131" s="34"/>
      <c r="I131" s="34"/>
      <c r="J131" s="9" t="s">
        <v>16</v>
      </c>
      <c r="K131" s="9" t="s">
        <v>15</v>
      </c>
      <c r="L131" s="9" t="s">
        <v>26</v>
      </c>
      <c r="M131" s="9" t="s">
        <v>27</v>
      </c>
      <c r="N131" s="9"/>
      <c r="O131" s="9"/>
      <c r="P131" s="9" t="s">
        <v>22</v>
      </c>
    </row>
    <row r="132" spans="8:16" x14ac:dyDescent="0.25">
      <c r="H132" s="34" t="s">
        <v>24</v>
      </c>
      <c r="I132" s="34"/>
      <c r="J132" s="11">
        <v>9</v>
      </c>
      <c r="K132" s="67">
        <v>1</v>
      </c>
      <c r="L132" s="11">
        <v>2080</v>
      </c>
      <c r="M132" s="5">
        <v>255</v>
      </c>
      <c r="N132" s="5"/>
      <c r="O132" s="5"/>
      <c r="P132" s="54">
        <f>J132*K132*L132*M132</f>
        <v>4773600</v>
      </c>
    </row>
    <row r="133" spans="8:16" x14ac:dyDescent="0.25">
      <c r="H133" s="35" t="s">
        <v>25</v>
      </c>
      <c r="I133" s="4"/>
      <c r="J133">
        <v>9</v>
      </c>
      <c r="K133" s="67">
        <v>0.75</v>
      </c>
      <c r="L133" s="11">
        <v>2080</v>
      </c>
      <c r="M133" s="5">
        <v>255</v>
      </c>
      <c r="N133" s="5"/>
      <c r="O133" s="5"/>
      <c r="P133" s="54">
        <f t="shared" ref="P133:P134" si="3">J133*K133*L133*M133</f>
        <v>3580200</v>
      </c>
    </row>
    <row r="134" spans="8:16" x14ac:dyDescent="0.25">
      <c r="H134" s="4" t="s">
        <v>36</v>
      </c>
      <c r="I134" s="4"/>
      <c r="J134" s="11">
        <v>5</v>
      </c>
      <c r="K134" s="25">
        <v>0.53</v>
      </c>
      <c r="L134" s="11">
        <v>2080</v>
      </c>
      <c r="M134">
        <v>255</v>
      </c>
      <c r="P134" s="54">
        <f t="shared" si="3"/>
        <v>1405560.0000000002</v>
      </c>
    </row>
    <row r="135" spans="8:16" x14ac:dyDescent="0.25">
      <c r="H135" s="4"/>
      <c r="I135" s="4"/>
      <c r="J135" s="3"/>
    </row>
    <row r="136" spans="8:16" x14ac:dyDescent="0.25">
      <c r="H136" s="4"/>
      <c r="I136" s="4"/>
      <c r="J136" s="3"/>
      <c r="N136" s="24"/>
    </row>
    <row r="137" spans="8:16" x14ac:dyDescent="0.25">
      <c r="H137" s="4"/>
      <c r="I137" s="4"/>
      <c r="J137" s="3"/>
      <c r="K137" s="24"/>
      <c r="N137" s="24"/>
    </row>
    <row r="138" spans="8:16" x14ac:dyDescent="0.25">
      <c r="H138" s="4"/>
      <c r="I138" s="4"/>
      <c r="J138" s="3"/>
      <c r="N138" s="24"/>
    </row>
    <row r="139" spans="8:16" x14ac:dyDescent="0.25">
      <c r="H139" s="4"/>
      <c r="I139" s="4"/>
      <c r="J139" s="3"/>
      <c r="N139" s="26"/>
    </row>
    <row r="140" spans="8:16" x14ac:dyDescent="0.25">
      <c r="H140" s="4"/>
      <c r="I140" s="4"/>
      <c r="J140" s="3"/>
      <c r="O140" s="24"/>
    </row>
    <row r="141" spans="8:16" x14ac:dyDescent="0.25">
      <c r="H141" s="4"/>
      <c r="I141" s="4"/>
      <c r="J141" s="3"/>
      <c r="L141" s="26"/>
    </row>
    <row r="142" spans="8:16" x14ac:dyDescent="0.25">
      <c r="H142" s="4"/>
      <c r="I142" s="4"/>
      <c r="J142" s="3"/>
      <c r="L142" s="26"/>
    </row>
    <row r="143" spans="8:16" x14ac:dyDescent="0.25">
      <c r="H143" s="4"/>
      <c r="I143" s="4"/>
      <c r="J143" s="3"/>
      <c r="P143" s="36"/>
    </row>
    <row r="144" spans="8:16" x14ac:dyDescent="0.25">
      <c r="H144" s="4"/>
      <c r="I144" s="4"/>
      <c r="J144" s="3"/>
      <c r="P144" s="37"/>
    </row>
    <row r="145" spans="7:16" x14ac:dyDescent="0.25">
      <c r="H145" s="4"/>
      <c r="I145" s="4"/>
      <c r="J145" s="3"/>
      <c r="P145" s="24"/>
    </row>
    <row r="146" spans="7:16" x14ac:dyDescent="0.25">
      <c r="H146" s="4"/>
      <c r="I146" s="4"/>
      <c r="J146" s="3"/>
    </row>
    <row r="147" spans="7:16" x14ac:dyDescent="0.25">
      <c r="H147" s="4"/>
      <c r="I147" s="4"/>
      <c r="J147" s="3"/>
    </row>
    <row r="148" spans="7:16" x14ac:dyDescent="0.25">
      <c r="H148" s="4"/>
      <c r="I148" s="4"/>
      <c r="J148" s="3"/>
    </row>
    <row r="149" spans="7:16" x14ac:dyDescent="0.25">
      <c r="H149" s="4"/>
      <c r="I149" s="4"/>
      <c r="J149" s="3"/>
    </row>
    <row r="150" spans="7:16" x14ac:dyDescent="0.25">
      <c r="H150" s="4"/>
      <c r="I150" s="4"/>
      <c r="J150" s="3"/>
    </row>
    <row r="151" spans="7:16" x14ac:dyDescent="0.25">
      <c r="H151" s="4"/>
      <c r="I151" s="4"/>
      <c r="J151" s="3"/>
    </row>
    <row r="152" spans="7:16" x14ac:dyDescent="0.25">
      <c r="H152" s="36"/>
      <c r="I152" s="36"/>
      <c r="J152" s="36"/>
      <c r="K152" s="36"/>
      <c r="L152" s="36"/>
      <c r="M152" s="36"/>
      <c r="N152" s="36"/>
      <c r="O152" s="36"/>
    </row>
    <row r="153" spans="7:16" x14ac:dyDescent="0.25">
      <c r="H153" s="37"/>
      <c r="I153" s="37"/>
      <c r="J153" s="37"/>
      <c r="K153" s="37"/>
      <c r="L153" s="37"/>
      <c r="M153" s="37"/>
      <c r="N153" s="37"/>
      <c r="O153" s="37"/>
    </row>
    <row r="154" spans="7:16" x14ac:dyDescent="0.25">
      <c r="G154" s="36"/>
      <c r="J154" s="24"/>
      <c r="K154" s="24"/>
      <c r="L154" s="24"/>
      <c r="M154" s="24"/>
      <c r="N154" s="24"/>
      <c r="O154" s="24"/>
    </row>
    <row r="155" spans="7:16" x14ac:dyDescent="0.25">
      <c r="J155" s="44"/>
    </row>
    <row r="156" spans="7:16" x14ac:dyDescent="0.25">
      <c r="J156" s="44"/>
    </row>
    <row r="157" spans="7:16" x14ac:dyDescent="0.25">
      <c r="J157" s="24"/>
    </row>
    <row r="158" spans="7:16" x14ac:dyDescent="0.25">
      <c r="H158" s="4"/>
      <c r="I158" s="4"/>
      <c r="J158" s="2"/>
    </row>
    <row r="159" spans="7:16" x14ac:dyDescent="0.25">
      <c r="H159" s="4"/>
      <c r="I159" s="4"/>
      <c r="J159" s="3"/>
    </row>
    <row r="160" spans="7:16" x14ac:dyDescent="0.25">
      <c r="J160" s="48"/>
    </row>
    <row r="161" spans="7:16" x14ac:dyDescent="0.25">
      <c r="J161" s="24"/>
    </row>
    <row r="162" spans="7:16" x14ac:dyDescent="0.25">
      <c r="J162" s="24"/>
    </row>
    <row r="163" spans="7:16" x14ac:dyDescent="0.25">
      <c r="H163" s="38"/>
      <c r="I163" s="38"/>
      <c r="J163" s="24"/>
    </row>
    <row r="164" spans="7:16" x14ac:dyDescent="0.25">
      <c r="H164" s="38"/>
      <c r="I164" s="38"/>
      <c r="J164" s="24"/>
      <c r="P164" s="36"/>
    </row>
    <row r="165" spans="7:16" x14ac:dyDescent="0.25">
      <c r="G165" s="38"/>
      <c r="H165" s="38"/>
      <c r="I165" s="38"/>
      <c r="J165" s="24"/>
      <c r="P165" s="37"/>
    </row>
    <row r="166" spans="7:16" x14ac:dyDescent="0.25">
      <c r="G166" s="38"/>
      <c r="H166" s="38"/>
      <c r="I166" s="38"/>
      <c r="J166" s="24"/>
      <c r="P166" s="24"/>
    </row>
    <row r="167" spans="7:16" x14ac:dyDescent="0.25">
      <c r="G167" s="38"/>
      <c r="H167" s="38"/>
      <c r="I167" s="38"/>
      <c r="J167" s="24"/>
    </row>
    <row r="168" spans="7:16" x14ac:dyDescent="0.25">
      <c r="G168" s="38"/>
      <c r="H168" s="4"/>
      <c r="I168" s="4"/>
      <c r="J168" s="2"/>
    </row>
    <row r="169" spans="7:16" x14ac:dyDescent="0.25">
      <c r="H169" s="4"/>
      <c r="I169" s="4"/>
      <c r="J169" s="3"/>
    </row>
    <row r="173" spans="7:16" x14ac:dyDescent="0.25">
      <c r="H173" s="36"/>
      <c r="I173" s="36"/>
      <c r="J173" s="36"/>
      <c r="K173" s="36"/>
      <c r="L173" s="36"/>
      <c r="M173" s="36"/>
      <c r="N173" s="36"/>
      <c r="O173" s="36"/>
    </row>
    <row r="174" spans="7:16" x14ac:dyDescent="0.25">
      <c r="H174" s="37"/>
      <c r="I174" s="37"/>
      <c r="J174" s="37"/>
      <c r="K174" s="37"/>
      <c r="L174" s="37"/>
      <c r="M174" s="37"/>
      <c r="N174" s="37"/>
      <c r="O174" s="37"/>
    </row>
    <row r="175" spans="7:16" x14ac:dyDescent="0.25">
      <c r="G175" s="36"/>
      <c r="J175" s="24"/>
      <c r="K175" s="24"/>
      <c r="L175" s="24"/>
      <c r="M175" s="24"/>
      <c r="N175" s="24"/>
      <c r="O175" s="24"/>
    </row>
    <row r="176" spans="7:16" x14ac:dyDescent="0.25">
      <c r="J176" s="44"/>
    </row>
    <row r="177" spans="7:10" x14ac:dyDescent="0.25">
      <c r="J177" s="44"/>
    </row>
    <row r="178" spans="7:10" x14ac:dyDescent="0.25">
      <c r="J178" s="24"/>
    </row>
    <row r="179" spans="7:10" x14ac:dyDescent="0.25">
      <c r="H179" s="4"/>
      <c r="I179" s="4"/>
      <c r="J179" s="2"/>
    </row>
    <row r="180" spans="7:10" x14ac:dyDescent="0.25">
      <c r="H180" s="4"/>
      <c r="I180" s="4"/>
      <c r="J180" s="3"/>
    </row>
    <row r="181" spans="7:10" x14ac:dyDescent="0.25">
      <c r="J181" s="48"/>
    </row>
    <row r="182" spans="7:10" x14ac:dyDescent="0.25">
      <c r="J182" s="24"/>
    </row>
    <row r="183" spans="7:10" x14ac:dyDescent="0.25">
      <c r="J183" s="24"/>
    </row>
    <row r="184" spans="7:10" x14ac:dyDescent="0.25">
      <c r="H184" s="38"/>
      <c r="I184" s="38"/>
      <c r="J184" s="24"/>
    </row>
    <row r="185" spans="7:10" x14ac:dyDescent="0.25">
      <c r="H185" s="38"/>
      <c r="I185" s="38"/>
      <c r="J185" s="24"/>
    </row>
    <row r="186" spans="7:10" x14ac:dyDescent="0.25">
      <c r="G186" s="38"/>
      <c r="H186" s="38"/>
      <c r="I186" s="38"/>
      <c r="J186" s="24"/>
    </row>
    <row r="187" spans="7:10" x14ac:dyDescent="0.25">
      <c r="G187" s="38"/>
      <c r="H187" s="38"/>
      <c r="I187" s="38"/>
      <c r="J187" s="24"/>
    </row>
    <row r="188" spans="7:10" x14ac:dyDescent="0.25">
      <c r="G188" s="38"/>
      <c r="H188" s="38"/>
      <c r="I188" s="38"/>
      <c r="J188" s="24"/>
    </row>
    <row r="189" spans="7:10" x14ac:dyDescent="0.25">
      <c r="G189" s="38"/>
      <c r="H189" s="4"/>
      <c r="I189" s="4"/>
      <c r="J189" s="2"/>
    </row>
    <row r="190" spans="7:10" x14ac:dyDescent="0.25">
      <c r="H190" s="4"/>
      <c r="I190" s="4"/>
      <c r="J190" s="3"/>
    </row>
  </sheetData>
  <mergeCells count="7">
    <mergeCell ref="AE1:AG1"/>
    <mergeCell ref="A75:B75"/>
    <mergeCell ref="A96:B96"/>
    <mergeCell ref="Z91:AA91"/>
    <mergeCell ref="Z112:AA112"/>
    <mergeCell ref="A1:B1"/>
    <mergeCell ref="X1:Y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2026-10-13T07:18:00Z</dcterms:created>
  <dcterms:modified xsi:type="dcterms:W3CDTF">2026-10-13T07:18:00Z</dcterms:modified>
</cp:coreProperties>
</file>